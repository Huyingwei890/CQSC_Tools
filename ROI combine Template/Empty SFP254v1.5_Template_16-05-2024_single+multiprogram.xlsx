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omments3.xml" ContentType="application/vnd.openxmlformats-officedocument.spreadsheetml.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omments4.xml" ContentType="application/vnd.openxmlformats-officedocument.spreadsheetml.comment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ms3028\Desktop\CQSC Mass\"/>
    </mc:Choice>
  </mc:AlternateContent>
  <xr:revisionPtr revIDLastSave="0" documentId="13_ncr:1_{DA8B2323-DB1D-4513-8CCF-D984F673F46F}" xr6:coauthVersionLast="47" xr6:coauthVersionMax="47" xr10:uidLastSave="{00000000-0000-0000-0000-000000000000}"/>
  <bookViews>
    <workbookView xWindow="-120" yWindow="-120" windowWidth="29040" windowHeight="15720" tabRatio="844" activeTab="9" xr2:uid="{57075158-556F-4861-B9CD-577BBE5DA693}"/>
  </bookViews>
  <sheets>
    <sheet name="SFP254_Introduction" sheetId="10" r:id="rId1"/>
    <sheet name="SFP254v1.5_CONSOLIDATION" sheetId="5" r:id="rId2"/>
    <sheet name="Bgn&gt;&gt;" sheetId="8" r:id="rId3"/>
    <sheet name="&lt;&lt;End" sheetId="7" r:id="rId4"/>
    <sheet name="PPT1" sheetId="18" r:id="rId5"/>
    <sheet name="PPT2" sheetId="19" r:id="rId6"/>
    <sheet name="PPT2 CM" sheetId="20" r:id="rId7"/>
    <sheet name="Combine" sheetId="21" r:id="rId8"/>
    <sheet name="for summary need" sheetId="22" r:id="rId9"/>
    <sheet name="PI Summary" sheetId="23" r:id="rId10"/>
    <sheet name="SFP254v1.5_CER (Prog1)" sheetId="1" state="hidden" r:id="rId11"/>
    <sheet name="SFP254v1.5_CER (Prog2)" sheetId="16" state="hidden" r:id="rId12"/>
    <sheet name="SFP254v1.5_CER (Prog3)" sheetId="17" state="hidden"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0">#REF!</definedName>
    <definedName name="\A">#REF!</definedName>
    <definedName name="\b">#REF!</definedName>
    <definedName name="\c">#REF!</definedName>
    <definedName name="\CF1">#N/A</definedName>
    <definedName name="\CF2">#N/A</definedName>
    <definedName name="\CF3">#REF!</definedName>
    <definedName name="\CF4">#REF!</definedName>
    <definedName name="\d">#REF!</definedName>
    <definedName name="\e">#REF!</definedName>
    <definedName name="\f">#REF!</definedName>
    <definedName name="\g">#REF!</definedName>
    <definedName name="\h">#REF!</definedName>
    <definedName name="\HL1">#N/A</definedName>
    <definedName name="\HL2">#N/A</definedName>
    <definedName name="\HL3">#REF!</definedName>
    <definedName name="\HL4">#REF!</definedName>
    <definedName name="\i">#REF!</definedName>
    <definedName name="\j">#REF!</definedName>
    <definedName name="\k">#REF!</definedName>
    <definedName name="\l">#REF!</definedName>
    <definedName name="\lily">#REF!</definedName>
    <definedName name="\m">#REF!</definedName>
    <definedName name="\n">#REF!</definedName>
    <definedName name="\NA1">#N/A</definedName>
    <definedName name="\NA2">#N/A</definedName>
    <definedName name="\NA3">#N/A</definedName>
    <definedName name="\NA4">#REF!</definedName>
    <definedName name="\o">#REF!</definedName>
    <definedName name="\p">#REF!</definedName>
    <definedName name="\P_1">#REF!</definedName>
    <definedName name="\PL1">#N/A</definedName>
    <definedName name="\PL2">#N/A</definedName>
    <definedName name="\PL3">#N/A</definedName>
    <definedName name="\PL4">#REF!</definedName>
    <definedName name="\q">#REF!</definedName>
    <definedName name="\r">#REF!</definedName>
    <definedName name="\s">#REF!</definedName>
    <definedName name="\t">#REF!</definedName>
    <definedName name="\u">#REF!</definedName>
    <definedName name="\v">#REF!</definedName>
    <definedName name="\w">#REF!</definedName>
    <definedName name="\x">#REF!</definedName>
    <definedName name="\y">#REF!</definedName>
    <definedName name="\z">#REF!</definedName>
    <definedName name="_">#REF!</definedName>
    <definedName name="_?" hidden="1">{#N/A,#N/A,FALSE,"2???";#N/A,#N/A,FALSE,"1???";#N/A,#N/A,FALSE,"3???"}</definedName>
    <definedName name="_??" hidden="1">{#N/A,#N/A,TRUE,"????-1";#N/A,#N/A,TRUE,"????-2";#N/A,#N/A,TRUE,"????";#N/A,#N/A,TRUE,"RAC";#N/A,#N/A,TRUE,"PAC ";#N/A,#N/A,TRUE,"????";#N/A,#N/A,TRUE,"????"}</definedName>
    <definedName name="_???" hidden="1">{#N/A,#N/A,TRUE,"????-1";#N/A,#N/A,TRUE,"????-2";#N/A,#N/A,TRUE,"????";#N/A,#N/A,TRUE,"RAC";#N/A,#N/A,TRUE,"PAC ";#N/A,#N/A,TRUE,"????";#N/A,#N/A,TRUE,"????"}</definedName>
    <definedName name="_????" hidden="1">{#N/A,#N/A,TRUE,"????-1";#N/A,#N/A,TRUE,"????-2";#N/A,#N/A,TRUE,"????";#N/A,#N/A,TRUE,"RAC";#N/A,#N/A,TRUE,"PAC ";#N/A,#N/A,TRUE,"????";#N/A,#N/A,TRUE,"????"}</definedName>
    <definedName name="_?????" hidden="1">{#N/A,#N/A,FALSE,"2???";#N/A,#N/A,FALSE,"1???";#N/A,#N/A,FALSE,"3???"}</definedName>
    <definedName name="_??????" hidden="1">{#N/A,#N/A,TRUE,"????-1";#N/A,#N/A,TRUE,"????-2";#N/A,#N/A,TRUE,"????";#N/A,#N/A,TRUE,"RAC";#N/A,#N/A,TRUE,"PAC ";#N/A,#N/A,TRUE,"????";#N/A,#N/A,TRUE,"????"}</definedName>
    <definedName name="_???????" hidden="1">{#N/A,#N/A,TRUE,"????-1";#N/A,#N/A,TRUE,"????-2";#N/A,#N/A,TRUE,"????";#N/A,#N/A,TRUE,"RAC";#N/A,#N/A,TRUE,"PAC ";#N/A,#N/A,TRUE,"????";#N/A,#N/A,TRUE,"????"}</definedName>
    <definedName name="_????????" hidden="1">{#N/A,#N/A,TRUE,"????-1";#N/A,#N/A,TRUE,"????-2";#N/A,#N/A,TRUE,"????";#N/A,#N/A,TRUE,"RAC";#N/A,#N/A,TRUE,"PAC ";#N/A,#N/A,TRUE,"????";#N/A,#N/A,TRUE,"????"}</definedName>
    <definedName name="_????????????" hidden="1">{#N/A,#N/A,TRUE,"????-1";#N/A,#N/A,TRUE,"????-2";#N/A,#N/A,TRUE,"????";#N/A,#N/A,TRUE,"RAC";#N/A,#N/A,TRUE,"PAC ";#N/A,#N/A,TRUE,"????";#N/A,#N/A,TRUE,"????"}</definedName>
    <definedName name="_???????2" hidden="1">{#N/A,#N/A,TRUE,"????-1";#N/A,#N/A,TRUE,"????-2";#N/A,#N/A,TRUE,"????";#N/A,#N/A,TRUE,"RAC";#N/A,#N/A,TRUE,"PAC ";#N/A,#N/A,TRUE,"????";#N/A,#N/A,TRUE,"????"}</definedName>
    <definedName name="_?????2" hidden="1">{#N/A,#N/A,FALSE,"2???";#N/A,#N/A,FALSE,"1???";#N/A,#N/A,FALSE,"3???"}</definedName>
    <definedName name="_????_" hidden="1">{#N/A,#N/A,TRUE,"????-1";#N/A,#N/A,TRUE,"????-2";#N/A,#N/A,TRUE,"????";#N/A,#N/A,TRUE,"RAC";#N/A,#N/A,TRUE,"PAC ";#N/A,#N/A,TRUE,"????";#N/A,#N/A,TRUE,"????"}</definedName>
    <definedName name="_????_2" hidden="1">{#N/A,#N/A,TRUE,"????-1";#N/A,#N/A,TRUE,"????-2";#N/A,#N/A,TRUE,"????";#N/A,#N/A,TRUE,"RAC";#N/A,#N/A,TRUE,"PAC ";#N/A,#N/A,TRUE,"????";#N/A,#N/A,TRUE,"????"}</definedName>
    <definedName name="_????2" hidden="1">{#N/A,#N/A,TRUE,"????-1";#N/A,#N/A,TRUE,"????-2";#N/A,#N/A,TRUE,"????";#N/A,#N/A,TRUE,"RAC";#N/A,#N/A,TRUE,"PAC ";#N/A,#N/A,TRUE,"????";#N/A,#N/A,TRUE,"????"}</definedName>
    <definedName name="_???1" hidden="1">{#N/A,#N/A,TRUE,"????-1";#N/A,#N/A,TRUE,"????-2";#N/A,#N/A,TRUE,"????";#N/A,#N/A,TRUE,"RAC";#N/A,#N/A,TRUE,"PAC ";#N/A,#N/A,TRUE,"????";#N/A,#N/A,TRUE,"????"}</definedName>
    <definedName name="_???2" hidden="1">{#N/A,#N/A,TRUE,"????-1";#N/A,#N/A,TRUE,"????-2";#N/A,#N/A,TRUE,"????";#N/A,#N/A,TRUE,"RAC";#N/A,#N/A,TRUE,"PAC ";#N/A,#N/A,TRUE,"????";#N/A,#N/A,TRUE,"????"}</definedName>
    <definedName name="_???PAC" hidden="1">{#N/A,#N/A,TRUE,"????-1";#N/A,#N/A,TRUE,"????-2";#N/A,#N/A,TRUE,"????";#N/A,#N/A,TRUE,"RAC";#N/A,#N/A,TRUE,"PAC ";#N/A,#N/A,TRUE,"????";#N/A,#N/A,TRUE,"????"}</definedName>
    <definedName name="_???PAC2" hidden="1">{#N/A,#N/A,TRUE,"????-1";#N/A,#N/A,TRUE,"????-2";#N/A,#N/A,TRUE,"????";#N/A,#N/A,TRUE,"RAC";#N/A,#N/A,TRUE,"PAC ";#N/A,#N/A,TRUE,"????";#N/A,#N/A,TRUE,"????"}</definedName>
    <definedName name="_???PAC3" hidden="1">{#N/A,#N/A,TRUE,"????-1";#N/A,#N/A,TRUE,"????-2";#N/A,#N/A,TRUE,"????";#N/A,#N/A,TRUE,"RAC";#N/A,#N/A,TRUE,"PAC ";#N/A,#N/A,TRUE,"????";#N/A,#N/A,TRUE,"????"}</definedName>
    <definedName name="_???PAC4" hidden="1">{#N/A,#N/A,TRUE,"????-1";#N/A,#N/A,TRUE,"????-2";#N/A,#N/A,TRUE,"????";#N/A,#N/A,TRUE,"RAC";#N/A,#N/A,TRUE,"PAC ";#N/A,#N/A,TRUE,"????";#N/A,#N/A,TRUE,"????"}</definedName>
    <definedName name="_???PAC5" hidden="1">{#N/A,#N/A,TRUE,"????-1";#N/A,#N/A,TRUE,"????-2";#N/A,#N/A,TRUE,"????";#N/A,#N/A,TRUE,"RAC";#N/A,#N/A,TRUE,"PAC ";#N/A,#N/A,TRUE,"????";#N/A,#N/A,TRUE,"????"}</definedName>
    <definedName name="_???PAC6" hidden="1">{#N/A,#N/A,TRUE,"????-1";#N/A,#N/A,TRUE,"????-2";#N/A,#N/A,TRUE,"????";#N/A,#N/A,TRUE,"RAC";#N/A,#N/A,TRUE,"PAC ";#N/A,#N/A,TRUE,"????";#N/A,#N/A,TRUE,"????"}</definedName>
    <definedName name="_???SM" hidden="1">{#N/A,#N/A,TRUE,"????-1";#N/A,#N/A,TRUE,"????-2";#N/A,#N/A,TRUE,"????";#N/A,#N/A,TRUE,"RAC";#N/A,#N/A,TRUE,"PAC ";#N/A,#N/A,TRUE,"????";#N/A,#N/A,TRUE,"????"}</definedName>
    <definedName name="_???SM2" hidden="1">{#N/A,#N/A,TRUE,"????-1";#N/A,#N/A,TRUE,"????-2";#N/A,#N/A,TRUE,"????";#N/A,#N/A,TRUE,"RAC";#N/A,#N/A,TRUE,"PAC ";#N/A,#N/A,TRUE,"????";#N/A,#N/A,TRUE,"????"}</definedName>
    <definedName name="_??_" hidden="1">{#N/A,#N/A,TRUE,"????-1";#N/A,#N/A,TRUE,"????-2";#N/A,#N/A,TRUE,"????";#N/A,#N/A,TRUE,"RAC";#N/A,#N/A,TRUE,"PAC ";#N/A,#N/A,TRUE,"????";#N/A,#N/A,TRUE,"????"}</definedName>
    <definedName name="_??___" hidden="1">{#N/A,#N/A,TRUE,"????-1";#N/A,#N/A,TRUE,"????-2";#N/A,#N/A,TRUE,"????";#N/A,#N/A,TRUE,"RAC";#N/A,#N/A,TRUE,"PAC ";#N/A,#N/A,TRUE,"????";#N/A,#N/A,TRUE,"????"}</definedName>
    <definedName name="_??lg" hidden="1">{#N/A,#N/A,TRUE,"????-1";#N/A,#N/A,TRUE,"????-2";#N/A,#N/A,TRUE,"????";#N/A,#N/A,TRUE,"RAC";#N/A,#N/A,TRUE,"PAC ";#N/A,#N/A,TRUE,"????";#N/A,#N/A,TRUE,"????"}</definedName>
    <definedName name="_?1" hidden="1">{#N/A,#N/A,TRUE,"????-1";#N/A,#N/A,TRUE,"????-2";#N/A,#N/A,TRUE,"????";#N/A,#N/A,TRUE,"RAC";#N/A,#N/A,TRUE,"PAC ";#N/A,#N/A,TRUE,"????";#N/A,#N/A,TRUE,"????"}</definedName>
    <definedName name="_?1?" hidden="1">{#N/A,#N/A,TRUE,"????-1";#N/A,#N/A,TRUE,"????-2";#N/A,#N/A,TRUE,"????";#N/A,#N/A,TRUE,"RAC";#N/A,#N/A,TRUE,"PAC ";#N/A,#N/A,TRUE,"????";#N/A,#N/A,TRUE,"????"}</definedName>
    <definedName name="_?1?2" hidden="1">{#N/A,#N/A,TRUE,"????-1";#N/A,#N/A,TRUE,"????-2";#N/A,#N/A,TRUE,"????";#N/A,#N/A,TRUE,"RAC";#N/A,#N/A,TRUE,"PAC ";#N/A,#N/A,TRUE,"????";#N/A,#N/A,TRUE,"????"}</definedName>
    <definedName name="_?2" hidden="1">{#N/A,#N/A,FALSE,"2???";#N/A,#N/A,FALSE,"1???";#N/A,#N/A,FALSE,"3???"}</definedName>
    <definedName name="_?2?" hidden="1">{#N/A,#N/A,TRUE,"????-1";#N/A,#N/A,TRUE,"????-2";#N/A,#N/A,TRUE,"????";#N/A,#N/A,TRUE,"RAC";#N/A,#N/A,TRUE,"PAC ";#N/A,#N/A,TRUE,"????";#N/A,#N/A,TRUE,"????"}</definedName>
    <definedName name="_________________________GoA1">#N/A</definedName>
    <definedName name="_______________________GoA1">#N/A</definedName>
    <definedName name="_____________________GoA1">#N/A</definedName>
    <definedName name="____________________GoA1">#N/A</definedName>
    <definedName name="___________________GoA1">#N/A</definedName>
    <definedName name="_________________GoA1">#N/A</definedName>
    <definedName name="________________GoA1">#N/A</definedName>
    <definedName name="_______________GoA1">#N/A</definedName>
    <definedName name="______________GoA1">#N/A</definedName>
    <definedName name="_____________GoA1">#N/A</definedName>
    <definedName name="____________GoA1">#REF!</definedName>
    <definedName name="___________CUA1">#REF!</definedName>
    <definedName name="___________DAT12">#REF!</definedName>
    <definedName name="___________DAT13">#REF!</definedName>
    <definedName name="___________DAT14">#REF!</definedName>
    <definedName name="___________DAT15">#REF!</definedName>
    <definedName name="___________DAT16">#REF!</definedName>
    <definedName name="___________DAT19">#REF!</definedName>
    <definedName name="___________DAT20">#REF!</definedName>
    <definedName name="___________DAT7">#REF!</definedName>
    <definedName name="___________DAT8">#REF!</definedName>
    <definedName name="___________DAT9">#REF!</definedName>
    <definedName name="___________GoA1">#N/A</definedName>
    <definedName name="___________MC1">#REF!</definedName>
    <definedName name="___________mth2001">#REF!</definedName>
    <definedName name="___________mth2004">#REF!</definedName>
    <definedName name="___________mth2007">#REF!</definedName>
    <definedName name="___________mth2010">#REF!</definedName>
    <definedName name="___________mth9801">#REF!</definedName>
    <definedName name="___________mth9804">#REF!</definedName>
    <definedName name="___________mth9807">#REF!</definedName>
    <definedName name="___________mth9810">#REF!</definedName>
    <definedName name="___________mth9901">#REF!</definedName>
    <definedName name="___________mth9904">#REF!</definedName>
    <definedName name="___________mth9907">#REF!</definedName>
    <definedName name="___________mth9910">#REF!</definedName>
    <definedName name="___________TAB2">#REF!</definedName>
    <definedName name="___________TAB3">#REF!</definedName>
    <definedName name="___________TAB4">#REF!</definedName>
    <definedName name="___________TAB7">#REF!</definedName>
    <definedName name="___________tth1">#REF!</definedName>
    <definedName name="___________tth2">#REF!</definedName>
    <definedName name="___________WAS1">#REF!</definedName>
    <definedName name="__________ABC3">#REF!</definedName>
    <definedName name="__________GoA1">#REF!</definedName>
    <definedName name="__________INJ2">#REF!</definedName>
    <definedName name="__________jun03" hidden="1">{#N/A,#N/A,FALSE,"Aging Summary";#N/A,#N/A,FALSE,"Ratio Analysis";#N/A,#N/A,FALSE,"Test 120 Day Accts";#N/A,#N/A,FALSE,"Tickmarks"}</definedName>
    <definedName name="_________ABC3">#REF!</definedName>
    <definedName name="_________CUA1">#REF!</definedName>
    <definedName name="_________DAT12">#REF!</definedName>
    <definedName name="_________DAT13">#REF!</definedName>
    <definedName name="_________DAT14">#REF!</definedName>
    <definedName name="_________DAT15">#REF!</definedName>
    <definedName name="_________DAT16">#REF!</definedName>
    <definedName name="_________DAT19">#REF!</definedName>
    <definedName name="_________DAT20">#REF!</definedName>
    <definedName name="_________DAT7">#REF!</definedName>
    <definedName name="_________DAT8">#REF!</definedName>
    <definedName name="_________DAT9">#REF!</definedName>
    <definedName name="_________DEL1">#REF!</definedName>
    <definedName name="_________FYh1">#REF!</definedName>
    <definedName name="_________fyh2">#REF!</definedName>
    <definedName name="_________GoA1">#N/A</definedName>
    <definedName name="_________INJ2">#N/A</definedName>
    <definedName name="_________jun03" hidden="1">{#N/A,#N/A,FALSE,"Aging Summary";#N/A,#N/A,FALSE,"Ratio Analysis";#N/A,#N/A,FALSE,"Test 120 Day Accts";#N/A,#N/A,FALSE,"Tickmarks"}</definedName>
    <definedName name="_________M1">#REF!</definedName>
    <definedName name="_________M2">#REF!</definedName>
    <definedName name="_________M3">#REF!</definedName>
    <definedName name="_________M4">#REF!</definedName>
    <definedName name="_________MAT1">#REF!</definedName>
    <definedName name="_________MC1">#REF!</definedName>
    <definedName name="_________mth2001">#REF!</definedName>
    <definedName name="_________mth2004">#REF!</definedName>
    <definedName name="_________mth2007">#REF!</definedName>
    <definedName name="_________mth2010">#REF!</definedName>
    <definedName name="_________mth9801">#REF!</definedName>
    <definedName name="_________mth9804">#REF!</definedName>
    <definedName name="_________mth9807">#REF!</definedName>
    <definedName name="_________mth9810">#REF!</definedName>
    <definedName name="_________mth9901">#REF!</definedName>
    <definedName name="_________mth9904">#REF!</definedName>
    <definedName name="_________mth9907">#REF!</definedName>
    <definedName name="_________mth9910">#REF!</definedName>
    <definedName name="_________Mu10">#REF!</definedName>
    <definedName name="_________MU100">#REF!</definedName>
    <definedName name="_________MU101">#REF!</definedName>
    <definedName name="_________Mu11">#REF!</definedName>
    <definedName name="_________Mu15">#REF!</definedName>
    <definedName name="_________Mu17">#REF!</definedName>
    <definedName name="_________Mu18">#REF!</definedName>
    <definedName name="_________Mu20">#REF!</definedName>
    <definedName name="_________Mu23">#REF!</definedName>
    <definedName name="_________Mu24">#REF!</definedName>
    <definedName name="_________Mu32">#REF!</definedName>
    <definedName name="_________Mu33">#REF!</definedName>
    <definedName name="_________Mu34">#REF!</definedName>
    <definedName name="_________Mu35">#REF!</definedName>
    <definedName name="_________Mu37">#REF!</definedName>
    <definedName name="_________Mu38">#REF!</definedName>
    <definedName name="_________Mu4">#REF!</definedName>
    <definedName name="_________Mu40">#REF!</definedName>
    <definedName name="_________Mu41">#REF!</definedName>
    <definedName name="_________Mu43">#REF!</definedName>
    <definedName name="_________Mu44">#REF!</definedName>
    <definedName name="_________Mu46">#REF!</definedName>
    <definedName name="_________Mu47">#REF!</definedName>
    <definedName name="_________Mu5">#REF!</definedName>
    <definedName name="_________Mu51">#REF!</definedName>
    <definedName name="_________mu52">#REF!</definedName>
    <definedName name="_________MU54">#REF!</definedName>
    <definedName name="_________MU55">#REF!</definedName>
    <definedName name="_________MU56">#REF!</definedName>
    <definedName name="_________mU57">#REF!</definedName>
    <definedName name="_________Mu59">#REF!</definedName>
    <definedName name="_________Mu6">#REF!</definedName>
    <definedName name="_________Mu64">#REF!</definedName>
    <definedName name="_________Mu65">#REF!</definedName>
    <definedName name="_________Mu66">#REF!</definedName>
    <definedName name="_________Mu67">#REF!</definedName>
    <definedName name="_________Mu68">#REF!</definedName>
    <definedName name="_________Mu69">#REF!</definedName>
    <definedName name="_________Mu70">#REF!</definedName>
    <definedName name="_________Mu71">#REF!</definedName>
    <definedName name="_________Mu73">#REF!</definedName>
    <definedName name="_________MU75">#REF!</definedName>
    <definedName name="_________MU76">#REF!</definedName>
    <definedName name="_________MU77">#REF!</definedName>
    <definedName name="_________MU78">#REF!</definedName>
    <definedName name="_________MU79">#REF!</definedName>
    <definedName name="_________Mu80">#REF!</definedName>
    <definedName name="_________MU81">#REF!</definedName>
    <definedName name="_________MU82">#REF!</definedName>
    <definedName name="_________MU83">#REF!</definedName>
    <definedName name="_________MU84">#REF!</definedName>
    <definedName name="_________MU85">#REF!</definedName>
    <definedName name="_________MU86">#REF!</definedName>
    <definedName name="_________Mu87">#REF!</definedName>
    <definedName name="_________Mu88">#REF!</definedName>
    <definedName name="_________mU89">#REF!</definedName>
    <definedName name="_________mu90">#REF!</definedName>
    <definedName name="_________mu92">#REF!</definedName>
    <definedName name="_________MU93">#REF!</definedName>
    <definedName name="_________MU94">#REF!</definedName>
    <definedName name="_________MU95">#REF!</definedName>
    <definedName name="_________MU96">#REF!</definedName>
    <definedName name="_________MU97">#REF!</definedName>
    <definedName name="_________MU98">#REF!</definedName>
    <definedName name="_________mu99">#REF!</definedName>
    <definedName name="_________PKG10">#REF!</definedName>
    <definedName name="_________PKG11">#REF!</definedName>
    <definedName name="_________PKG14">#REF!</definedName>
    <definedName name="_________PKG15">#REF!</definedName>
    <definedName name="_________PKG16">#REF!</definedName>
    <definedName name="_________PKG17">#REF!</definedName>
    <definedName name="_________PKG18">#REF!</definedName>
    <definedName name="_________PKG20">#REF!</definedName>
    <definedName name="_________PKG23">#REF!</definedName>
    <definedName name="_________PKG24">#REF!</definedName>
    <definedName name="_________PKG32">#REF!</definedName>
    <definedName name="_________PKG33">#REF!</definedName>
    <definedName name="_________PKG34">#REF!</definedName>
    <definedName name="_________PKG35">#REF!</definedName>
    <definedName name="_________PKG37">#REF!</definedName>
    <definedName name="_________PKG38">#REF!</definedName>
    <definedName name="_________PKG4">#REF!</definedName>
    <definedName name="_________PKG40">#REF!</definedName>
    <definedName name="_________PKG5">#REF!</definedName>
    <definedName name="_________PKG6">#REF!</definedName>
    <definedName name="_________T1">#REF!</definedName>
    <definedName name="_________TAB2">#REF!</definedName>
    <definedName name="_________TAB3">#REF!</definedName>
    <definedName name="_________TAB4">#REF!</definedName>
    <definedName name="_________TAB7">#REF!</definedName>
    <definedName name="_________TM1">#REF!</definedName>
    <definedName name="_________TM10">#REF!</definedName>
    <definedName name="_________TM11">#REF!</definedName>
    <definedName name="_________TM2">#REF!</definedName>
    <definedName name="_________TM3">#REF!</definedName>
    <definedName name="_________TM4">#REF!</definedName>
    <definedName name="_________TM5">#REF!</definedName>
    <definedName name="_________TM6">#REF!</definedName>
    <definedName name="_________TM7">#REF!</definedName>
    <definedName name="_________TM8">#REF!</definedName>
    <definedName name="_________TM9">#REF!</definedName>
    <definedName name="_________tt2">#REF!</definedName>
    <definedName name="_________tt3">#REF!</definedName>
    <definedName name="_________tth1">#REF!</definedName>
    <definedName name="_________tth2">#REF!</definedName>
    <definedName name="_________W1">#REF!</definedName>
    <definedName name="_________WAS1">#REF!</definedName>
    <definedName name="________ABC3">#REF!</definedName>
    <definedName name="________CUA1">#REF!</definedName>
    <definedName name="________DAT12">#REF!</definedName>
    <definedName name="________DAT13">#REF!</definedName>
    <definedName name="________DAT14">#REF!</definedName>
    <definedName name="________DAT15">#REF!</definedName>
    <definedName name="________DAT16">#REF!</definedName>
    <definedName name="________DAT19">#REF!</definedName>
    <definedName name="________DAT20">#REF!</definedName>
    <definedName name="________DAT7">#REF!</definedName>
    <definedName name="________DAT8">#REF!</definedName>
    <definedName name="________DAT9">#REF!</definedName>
    <definedName name="________DEL1">#REF!</definedName>
    <definedName name="________FYh1">#REF!</definedName>
    <definedName name="________fyh2">#REF!</definedName>
    <definedName name="________GoA1">#REF!</definedName>
    <definedName name="________INJ2">#REF!</definedName>
    <definedName name="________MAT1">#REF!</definedName>
    <definedName name="________MC1">#REF!</definedName>
    <definedName name="________mth2001">#REF!</definedName>
    <definedName name="________mth2004">#REF!</definedName>
    <definedName name="________mth2007">#REF!</definedName>
    <definedName name="________mth2010">#REF!</definedName>
    <definedName name="________mth9801">#REF!</definedName>
    <definedName name="________mth9804">#REF!</definedName>
    <definedName name="________mth9807">#REF!</definedName>
    <definedName name="________mth9810">#REF!</definedName>
    <definedName name="________mth9901">#REF!</definedName>
    <definedName name="________mth9904">#REF!</definedName>
    <definedName name="________mth9907">#REF!</definedName>
    <definedName name="________mth9910">#REF!</definedName>
    <definedName name="________Mu10">#REF!</definedName>
    <definedName name="________MU100">#REF!</definedName>
    <definedName name="________MU101">#REF!</definedName>
    <definedName name="________Mu11">#REF!</definedName>
    <definedName name="________Mu15">#REF!</definedName>
    <definedName name="________Mu17">#REF!</definedName>
    <definedName name="________Mu18">#REF!</definedName>
    <definedName name="________Mu20">#REF!</definedName>
    <definedName name="________Mu23">#REF!</definedName>
    <definedName name="________Mu24">#REF!</definedName>
    <definedName name="________Mu32">#REF!</definedName>
    <definedName name="________Mu33">#REF!</definedName>
    <definedName name="________Mu34">#REF!</definedName>
    <definedName name="________Mu35">#REF!</definedName>
    <definedName name="________Mu37">#REF!</definedName>
    <definedName name="________Mu38">#REF!</definedName>
    <definedName name="________Mu4">#REF!</definedName>
    <definedName name="________Mu40">#REF!</definedName>
    <definedName name="________Mu41">#REF!</definedName>
    <definedName name="________Mu43">#REF!</definedName>
    <definedName name="________Mu44">#REF!</definedName>
    <definedName name="________Mu46">#REF!</definedName>
    <definedName name="________Mu47">#REF!</definedName>
    <definedName name="________Mu5">#REF!</definedName>
    <definedName name="________Mu51">#REF!</definedName>
    <definedName name="________mu52">#REF!</definedName>
    <definedName name="________MU54">#REF!</definedName>
    <definedName name="________MU55">#REF!</definedName>
    <definedName name="________MU56">#REF!</definedName>
    <definedName name="________mU57">#REF!</definedName>
    <definedName name="________Mu59">#REF!</definedName>
    <definedName name="________Mu6">#REF!</definedName>
    <definedName name="________Mu64">#REF!</definedName>
    <definedName name="________Mu65">#REF!</definedName>
    <definedName name="________Mu66">#REF!</definedName>
    <definedName name="________Mu67">#REF!</definedName>
    <definedName name="________Mu68">#REF!</definedName>
    <definedName name="________Mu69">#REF!</definedName>
    <definedName name="________Mu70">#REF!</definedName>
    <definedName name="________Mu71">#REF!</definedName>
    <definedName name="________Mu73">#REF!</definedName>
    <definedName name="________MU75">#REF!</definedName>
    <definedName name="________MU76">#REF!</definedName>
    <definedName name="________MU77">#REF!</definedName>
    <definedName name="________MU78">#REF!</definedName>
    <definedName name="________MU79">#REF!</definedName>
    <definedName name="________Mu80">#REF!</definedName>
    <definedName name="________MU81">#REF!</definedName>
    <definedName name="________MU82">#REF!</definedName>
    <definedName name="________MU83">#REF!</definedName>
    <definedName name="________MU84">#REF!</definedName>
    <definedName name="________MU85">#REF!</definedName>
    <definedName name="________MU86">#REF!</definedName>
    <definedName name="________Mu87">#REF!</definedName>
    <definedName name="________Mu88">#REF!</definedName>
    <definedName name="________mU89">#REF!</definedName>
    <definedName name="________mu90">#REF!</definedName>
    <definedName name="________mu92">#REF!</definedName>
    <definedName name="________MU93">#REF!</definedName>
    <definedName name="________MU94">#REF!</definedName>
    <definedName name="________MU95">#REF!</definedName>
    <definedName name="________MU96">#REF!</definedName>
    <definedName name="________MU97">#REF!</definedName>
    <definedName name="________MU98">#REF!</definedName>
    <definedName name="________mu99">#REF!</definedName>
    <definedName name="________PKG10">#REF!</definedName>
    <definedName name="________PKG11">#REF!</definedName>
    <definedName name="________PKG14">#REF!</definedName>
    <definedName name="________PKG15">#REF!</definedName>
    <definedName name="________PKG16">#REF!</definedName>
    <definedName name="________PKG17">#REF!</definedName>
    <definedName name="________PKG18">#REF!</definedName>
    <definedName name="________PKG20">#REF!</definedName>
    <definedName name="________PKG23">#REF!</definedName>
    <definedName name="________PKG24">#REF!</definedName>
    <definedName name="________PKG32">#REF!</definedName>
    <definedName name="________PKG33">#REF!</definedName>
    <definedName name="________PKG34">#REF!</definedName>
    <definedName name="________PKG35">#REF!</definedName>
    <definedName name="________PKG37">#REF!</definedName>
    <definedName name="________PKG38">#REF!</definedName>
    <definedName name="________PKG4">#REF!</definedName>
    <definedName name="________PKG40">#REF!</definedName>
    <definedName name="________PKG5">#REF!</definedName>
    <definedName name="________PKG6">#REF!</definedName>
    <definedName name="________TAB2">#REF!</definedName>
    <definedName name="________TAB3">#REF!</definedName>
    <definedName name="________TAB4">#REF!</definedName>
    <definedName name="________TAB7">#REF!</definedName>
    <definedName name="________TM1">#REF!</definedName>
    <definedName name="________TM10">#REF!</definedName>
    <definedName name="________TM11">#REF!</definedName>
    <definedName name="________TM2">#REF!</definedName>
    <definedName name="________TM3">#REF!</definedName>
    <definedName name="________TM4">#REF!</definedName>
    <definedName name="________TM5">#REF!</definedName>
    <definedName name="________TM6">#REF!</definedName>
    <definedName name="________TM7">#REF!</definedName>
    <definedName name="________TM8">#REF!</definedName>
    <definedName name="________TM9">#REF!</definedName>
    <definedName name="________tt2">#REF!</definedName>
    <definedName name="________tt3">#REF!</definedName>
    <definedName name="________tth1">#REF!</definedName>
    <definedName name="________tth2">#REF!</definedName>
    <definedName name="________WAS1">#REF!</definedName>
    <definedName name="_______ABC3">#REF!</definedName>
    <definedName name="_______CUA1">#REF!</definedName>
    <definedName name="_______DAT12">#REF!</definedName>
    <definedName name="_______DAT13">#REF!</definedName>
    <definedName name="_______DAT14">#REF!</definedName>
    <definedName name="_______DAT15">#REF!</definedName>
    <definedName name="_______DAT16">#REF!</definedName>
    <definedName name="_______DAT19">#REF!</definedName>
    <definedName name="_______DAT20">#REF!</definedName>
    <definedName name="_______DAT7">#REF!</definedName>
    <definedName name="_______DAT8">#REF!</definedName>
    <definedName name="_______DAT9">#REF!</definedName>
    <definedName name="_______DEL1">#REF!</definedName>
    <definedName name="_______F1">#REF!</definedName>
    <definedName name="_______F2">#REF!</definedName>
    <definedName name="_______F3">#REF!</definedName>
    <definedName name="_______F4">#REF!</definedName>
    <definedName name="_______FYh1">#REF!</definedName>
    <definedName name="_______fyh2">#REF!</definedName>
    <definedName name="_______GoA1">#N/A</definedName>
    <definedName name="_______INJ2">#REF!</definedName>
    <definedName name="_______jun03" hidden="1">{#N/A,#N/A,FALSE,"Aging Summary";#N/A,#N/A,FALSE,"Ratio Analysis";#N/A,#N/A,FALSE,"Test 120 Day Accts";#N/A,#N/A,FALSE,"Tickmarks"}</definedName>
    <definedName name="_______M1">#REF!</definedName>
    <definedName name="_______m150">OFFSET(#REF!,0,0,COUNTA(OFFSET(#REF!,0,0,999,1)),1)</definedName>
    <definedName name="_______M2">#REF!</definedName>
    <definedName name="_______M3">#REF!</definedName>
    <definedName name="_______M4">#REF!</definedName>
    <definedName name="_______MAT1">#REF!</definedName>
    <definedName name="_______MC1">#REF!</definedName>
    <definedName name="_______mth2001">#REF!</definedName>
    <definedName name="_______mth2004">#REF!</definedName>
    <definedName name="_______mth2007">#REF!</definedName>
    <definedName name="_______mth2010">#REF!</definedName>
    <definedName name="_______mth9801">#REF!</definedName>
    <definedName name="_______mth9804">#REF!</definedName>
    <definedName name="_______mth9807">#REF!</definedName>
    <definedName name="_______mth9810">#REF!</definedName>
    <definedName name="_______mth9901">#REF!</definedName>
    <definedName name="_______mth9904">#REF!</definedName>
    <definedName name="_______mth9907">#REF!</definedName>
    <definedName name="_______mth9910">#REF!</definedName>
    <definedName name="_______Mu10">#REF!</definedName>
    <definedName name="_______MU100">#REF!</definedName>
    <definedName name="_______MU101">#REF!</definedName>
    <definedName name="_______Mu11">#REF!</definedName>
    <definedName name="_______Mu15">#REF!</definedName>
    <definedName name="_______Mu17">#REF!</definedName>
    <definedName name="_______Mu18">#REF!</definedName>
    <definedName name="_______Mu20">#REF!</definedName>
    <definedName name="_______Mu23">#REF!</definedName>
    <definedName name="_______Mu24">#REF!</definedName>
    <definedName name="_______Mu32">#REF!</definedName>
    <definedName name="_______Mu33">#REF!</definedName>
    <definedName name="_______Mu34">#REF!</definedName>
    <definedName name="_______Mu35">#REF!</definedName>
    <definedName name="_______Mu37">#REF!</definedName>
    <definedName name="_______Mu38">#REF!</definedName>
    <definedName name="_______Mu4">#REF!</definedName>
    <definedName name="_______Mu40">#REF!</definedName>
    <definedName name="_______Mu41">#REF!</definedName>
    <definedName name="_______Mu43">#REF!</definedName>
    <definedName name="_______Mu44">#REF!</definedName>
    <definedName name="_______Mu46">#REF!</definedName>
    <definedName name="_______Mu47">#REF!</definedName>
    <definedName name="_______Mu5">#REF!</definedName>
    <definedName name="_______Mu51">#REF!</definedName>
    <definedName name="_______mu52">#REF!</definedName>
    <definedName name="_______MU54">#REF!</definedName>
    <definedName name="_______MU55">#REF!</definedName>
    <definedName name="_______MU56">#REF!</definedName>
    <definedName name="_______mU57">#REF!</definedName>
    <definedName name="_______Mu59">#REF!</definedName>
    <definedName name="_______Mu6">#REF!</definedName>
    <definedName name="_______Mu64">#REF!</definedName>
    <definedName name="_______Mu65">#REF!</definedName>
    <definedName name="_______Mu66">#REF!</definedName>
    <definedName name="_______Mu67">#REF!</definedName>
    <definedName name="_______Mu68">#REF!</definedName>
    <definedName name="_______Mu69">#REF!</definedName>
    <definedName name="_______Mu70">#REF!</definedName>
    <definedName name="_______Mu71">#REF!</definedName>
    <definedName name="_______Mu73">#REF!</definedName>
    <definedName name="_______MU75">#REF!</definedName>
    <definedName name="_______MU76">#REF!</definedName>
    <definedName name="_______MU77">#REF!</definedName>
    <definedName name="_______MU78">#REF!</definedName>
    <definedName name="_______MU79">#REF!</definedName>
    <definedName name="_______Mu80">#REF!</definedName>
    <definedName name="_______MU81">#REF!</definedName>
    <definedName name="_______MU82">#REF!</definedName>
    <definedName name="_______MU83">#REF!</definedName>
    <definedName name="_______MU84">#REF!</definedName>
    <definedName name="_______MU85">#REF!</definedName>
    <definedName name="_______MU86">#REF!</definedName>
    <definedName name="_______Mu87">#REF!</definedName>
    <definedName name="_______Mu88">#REF!</definedName>
    <definedName name="_______mU89">#REF!</definedName>
    <definedName name="_______mu90">#REF!</definedName>
    <definedName name="_______mu92">#REF!</definedName>
    <definedName name="_______MU93">#REF!</definedName>
    <definedName name="_______MU94">#REF!</definedName>
    <definedName name="_______MU95">#REF!</definedName>
    <definedName name="_______MU96">#REF!</definedName>
    <definedName name="_______MU97">#REF!</definedName>
    <definedName name="_______MU98">#REF!</definedName>
    <definedName name="_______mu99">#REF!</definedName>
    <definedName name="_______PKG10">#REF!</definedName>
    <definedName name="_______PKG11">#REF!</definedName>
    <definedName name="_______PKG14">#REF!</definedName>
    <definedName name="_______PKG15">#REF!</definedName>
    <definedName name="_______PKG16">#REF!</definedName>
    <definedName name="_______PKG17">#REF!</definedName>
    <definedName name="_______PKG18">#REF!</definedName>
    <definedName name="_______PKG20">#REF!</definedName>
    <definedName name="_______PKG23">#REF!</definedName>
    <definedName name="_______PKG24">#REF!</definedName>
    <definedName name="_______PKG32">#REF!</definedName>
    <definedName name="_______PKG33">#REF!</definedName>
    <definedName name="_______PKG34">#REF!</definedName>
    <definedName name="_______PKG35">#REF!</definedName>
    <definedName name="_______PKG37">#REF!</definedName>
    <definedName name="_______PKG38">#REF!</definedName>
    <definedName name="_______PKG4">#REF!</definedName>
    <definedName name="_______PKG40">#REF!</definedName>
    <definedName name="_______PKG5">#REF!</definedName>
    <definedName name="_______PKG6">#REF!</definedName>
    <definedName name="_______Q1">#REF!</definedName>
    <definedName name="_______T1">#REF!</definedName>
    <definedName name="_______TAB2">#REF!</definedName>
    <definedName name="_______TAB3">#REF!</definedName>
    <definedName name="_______TAB4">#REF!</definedName>
    <definedName name="_______TAB7">#REF!</definedName>
    <definedName name="_______TM1">#REF!</definedName>
    <definedName name="_______TM10">#REF!</definedName>
    <definedName name="_______TM11">#REF!</definedName>
    <definedName name="_______TM2">#REF!</definedName>
    <definedName name="_______TM3">#REF!</definedName>
    <definedName name="_______TM4">#REF!</definedName>
    <definedName name="_______TM5">#REF!</definedName>
    <definedName name="_______TM6">#REF!</definedName>
    <definedName name="_______TM7">#REF!</definedName>
    <definedName name="_______TM8">#REF!</definedName>
    <definedName name="_______TM9">#REF!</definedName>
    <definedName name="_______tt2">#REF!</definedName>
    <definedName name="_______tt3">#REF!</definedName>
    <definedName name="_______tth1">#REF!</definedName>
    <definedName name="_______tth2">#REF!</definedName>
    <definedName name="_______W1">#REF!</definedName>
    <definedName name="_______WAS1">#REF!</definedName>
    <definedName name="______ABC3">#REF!</definedName>
    <definedName name="______CBS1">#N/A</definedName>
    <definedName name="______CUA1">#REF!</definedName>
    <definedName name="______DAT1">#REF!</definedName>
    <definedName name="______DAT12">#REF!</definedName>
    <definedName name="______DAT13">#REF!</definedName>
    <definedName name="______DAT14">#REF!</definedName>
    <definedName name="______DAT15">#REF!</definedName>
    <definedName name="______DAT16">#REF!</definedName>
    <definedName name="______DAT19">#REF!</definedName>
    <definedName name="______DAT20">#REF!</definedName>
    <definedName name="______DAT4">#REF!</definedName>
    <definedName name="______DAT7">#REF!</definedName>
    <definedName name="______DAT8">#REF!</definedName>
    <definedName name="______DAT9">#REF!</definedName>
    <definedName name="______DEL1">#REF!</definedName>
    <definedName name="______F1">#REF!</definedName>
    <definedName name="______F2">#REF!</definedName>
    <definedName name="______F3">#REF!</definedName>
    <definedName name="______F4">#REF!</definedName>
    <definedName name="______FYh1">#REF!</definedName>
    <definedName name="______fyh2">#REF!</definedName>
    <definedName name="______GoA1">#REF!</definedName>
    <definedName name="______INJ2">#REF!</definedName>
    <definedName name="______jun03" hidden="1">{#N/A,#N/A,FALSE,"Aging Summary";#N/A,#N/A,FALSE,"Ratio Analysis";#N/A,#N/A,FALSE,"Test 120 Day Accts";#N/A,#N/A,FALSE,"Tickmarks"}</definedName>
    <definedName name="______M1">#REF!</definedName>
    <definedName name="______m150">OFFSET(#REF!,0,0,COUNTA(OFFSET(#REF!,0,0,999,1)),1)</definedName>
    <definedName name="______M2">#REF!</definedName>
    <definedName name="______M3">#REF!</definedName>
    <definedName name="______M4">#REF!</definedName>
    <definedName name="______MAT1">#REF!</definedName>
    <definedName name="______MC1">#REF!</definedName>
    <definedName name="______mth2001">#REF!</definedName>
    <definedName name="______mth2004">#REF!</definedName>
    <definedName name="______mth2007">#REF!</definedName>
    <definedName name="______mth2010">#REF!</definedName>
    <definedName name="______mth9801">#REF!</definedName>
    <definedName name="______mth9804">#REF!</definedName>
    <definedName name="______mth9807">#REF!</definedName>
    <definedName name="______mth9810">#REF!</definedName>
    <definedName name="______mth9901">#REF!</definedName>
    <definedName name="______mth9904">#REF!</definedName>
    <definedName name="______mth9907">#REF!</definedName>
    <definedName name="______mth9910">#REF!</definedName>
    <definedName name="______Mu10">#REF!</definedName>
    <definedName name="______MU100">#REF!</definedName>
    <definedName name="______MU101">#REF!</definedName>
    <definedName name="______Mu11">#REF!</definedName>
    <definedName name="______Mu15">#REF!</definedName>
    <definedName name="______Mu17">#REF!</definedName>
    <definedName name="______Mu18">#REF!</definedName>
    <definedName name="______Mu20">#REF!</definedName>
    <definedName name="______Mu23">#REF!</definedName>
    <definedName name="______Mu24">#REF!</definedName>
    <definedName name="______Mu32">#REF!</definedName>
    <definedName name="______Mu33">#REF!</definedName>
    <definedName name="______Mu34">#REF!</definedName>
    <definedName name="______Mu35">#REF!</definedName>
    <definedName name="______Mu37">#REF!</definedName>
    <definedName name="______Mu38">#REF!</definedName>
    <definedName name="______Mu4">#REF!</definedName>
    <definedName name="______Mu40">#REF!</definedName>
    <definedName name="______Mu41">#REF!</definedName>
    <definedName name="______Mu43">#REF!</definedName>
    <definedName name="______Mu44">#REF!</definedName>
    <definedName name="______Mu46">#REF!</definedName>
    <definedName name="______Mu47">#REF!</definedName>
    <definedName name="______Mu5">#REF!</definedName>
    <definedName name="______Mu51">#REF!</definedName>
    <definedName name="______mu52">#REF!</definedName>
    <definedName name="______MU54">#REF!</definedName>
    <definedName name="______MU55">#REF!</definedName>
    <definedName name="______MU56">#REF!</definedName>
    <definedName name="______mU57">#REF!</definedName>
    <definedName name="______Mu59">#REF!</definedName>
    <definedName name="______Mu6">#REF!</definedName>
    <definedName name="______Mu64">#REF!</definedName>
    <definedName name="______Mu65">#REF!</definedName>
    <definedName name="______Mu66">#REF!</definedName>
    <definedName name="______Mu67">#REF!</definedName>
    <definedName name="______Mu68">#REF!</definedName>
    <definedName name="______Mu69">#REF!</definedName>
    <definedName name="______Mu70">#REF!</definedName>
    <definedName name="______Mu71">#REF!</definedName>
    <definedName name="______Mu73">#REF!</definedName>
    <definedName name="______MU75">#REF!</definedName>
    <definedName name="______MU76">#REF!</definedName>
    <definedName name="______MU77">#REF!</definedName>
    <definedName name="______MU78">#REF!</definedName>
    <definedName name="______MU79">#REF!</definedName>
    <definedName name="______Mu80">#REF!</definedName>
    <definedName name="______MU81">#REF!</definedName>
    <definedName name="______MU82">#REF!</definedName>
    <definedName name="______MU83">#REF!</definedName>
    <definedName name="______MU84">#REF!</definedName>
    <definedName name="______MU85">#REF!</definedName>
    <definedName name="______MU86">#REF!</definedName>
    <definedName name="______Mu87">#REF!</definedName>
    <definedName name="______Mu88">#REF!</definedName>
    <definedName name="______mU89">#REF!</definedName>
    <definedName name="______mu90">#REF!</definedName>
    <definedName name="______mu92">#REF!</definedName>
    <definedName name="______MU93">#REF!</definedName>
    <definedName name="______MU94">#REF!</definedName>
    <definedName name="______MU95">#REF!</definedName>
    <definedName name="______MU96">#REF!</definedName>
    <definedName name="______MU97">#REF!</definedName>
    <definedName name="______MU98">#REF!</definedName>
    <definedName name="______mu99">#REF!</definedName>
    <definedName name="______ok1">#REF!</definedName>
    <definedName name="______ok2">#REF!</definedName>
    <definedName name="______ok3">#REF!</definedName>
    <definedName name="______ok4" hidden="1">[1]Plbyhalf!$L$134</definedName>
    <definedName name="______ok5" hidden="1">#REF!</definedName>
    <definedName name="______p7" hidden="1">{"'MODIFY &amp; REPARE '!$B$1:$S$27"}</definedName>
    <definedName name="______P8" hidden="1">{"'MODIFY &amp; REPARE '!$B$1:$S$27"}</definedName>
    <definedName name="______PKG10">#REF!</definedName>
    <definedName name="______PKG11">#REF!</definedName>
    <definedName name="______PKG14">#REF!</definedName>
    <definedName name="______PKG15">#REF!</definedName>
    <definedName name="______PKG16">#REF!</definedName>
    <definedName name="______PKG17">#REF!</definedName>
    <definedName name="______PKG18">#REF!</definedName>
    <definedName name="______PKG20">#REF!</definedName>
    <definedName name="______PKG23">#REF!</definedName>
    <definedName name="______PKG24">#REF!</definedName>
    <definedName name="______PKG32">#REF!</definedName>
    <definedName name="______PKG33">#REF!</definedName>
    <definedName name="______PKG34">#REF!</definedName>
    <definedName name="______PKG35">#REF!</definedName>
    <definedName name="______PKG37">#REF!</definedName>
    <definedName name="______PKG38">#REF!</definedName>
    <definedName name="______PKG4">#REF!</definedName>
    <definedName name="______PKG40">#REF!</definedName>
    <definedName name="______PKG5">#REF!</definedName>
    <definedName name="______PKG6">#REF!</definedName>
    <definedName name="______Q1">#REF!</definedName>
    <definedName name="______T1">#REF!</definedName>
    <definedName name="______TAB2">#REF!</definedName>
    <definedName name="______TAB3">#REF!</definedName>
    <definedName name="______TAB4">#REF!</definedName>
    <definedName name="______TAB7">#REF!</definedName>
    <definedName name="______TC1">#N/A</definedName>
    <definedName name="______TC2">#N/A</definedName>
    <definedName name="______TC3">#N/A</definedName>
    <definedName name="______TM1">#REF!</definedName>
    <definedName name="______TM10">#REF!</definedName>
    <definedName name="______TM11">#REF!</definedName>
    <definedName name="______TM2">#REF!</definedName>
    <definedName name="______TM3">#REF!</definedName>
    <definedName name="______TM4">#REF!</definedName>
    <definedName name="______TM5">#REF!</definedName>
    <definedName name="______TM6">#REF!</definedName>
    <definedName name="______TM7">#REF!</definedName>
    <definedName name="______TM8">#REF!</definedName>
    <definedName name="______TM9">#REF!</definedName>
    <definedName name="______tt2">#REF!</definedName>
    <definedName name="______tt3">#REF!</definedName>
    <definedName name="______tth1">#REF!</definedName>
    <definedName name="______tth2">#REF!</definedName>
    <definedName name="______uv3000">#REF!</definedName>
    <definedName name="______W1">#REF!</definedName>
    <definedName name="______WAS1">#REF!</definedName>
    <definedName name="_____ABC3">#REF!</definedName>
    <definedName name="_____CBS1">#N/A</definedName>
    <definedName name="_____CUA1">#REF!</definedName>
    <definedName name="_____DAT12">#REF!</definedName>
    <definedName name="_____DAT13">#REF!</definedName>
    <definedName name="_____DAT14">#REF!</definedName>
    <definedName name="_____DAT15">#REF!</definedName>
    <definedName name="_____DAT16">#REF!</definedName>
    <definedName name="_____DAT19">#REF!</definedName>
    <definedName name="_____DAT20">#REF!</definedName>
    <definedName name="_____DAT7">#REF!</definedName>
    <definedName name="_____DAT8">#REF!</definedName>
    <definedName name="_____DAT9">#REF!</definedName>
    <definedName name="_____DEL1">#REF!</definedName>
    <definedName name="_____F1">#REF!</definedName>
    <definedName name="_____F2">#REF!</definedName>
    <definedName name="_____F3">#REF!</definedName>
    <definedName name="_____F4">#REF!</definedName>
    <definedName name="_____FIN1">#REF!</definedName>
    <definedName name="_____FIN2">#REF!</definedName>
    <definedName name="_____FYh1">#REF!</definedName>
    <definedName name="_____fyh2">#REF!</definedName>
    <definedName name="_____GoA1">#N/A</definedName>
    <definedName name="_____INJ2">#REF!</definedName>
    <definedName name="_____jun03" hidden="1">{#N/A,#N/A,FALSE,"Aging Summary";#N/A,#N/A,FALSE,"Ratio Analysis";#N/A,#N/A,FALSE,"Test 120 Day Accts";#N/A,#N/A,FALSE,"Tickmarks"}</definedName>
    <definedName name="_____M1">#REF!</definedName>
    <definedName name="_____m150">OFFSET(#REF!,0,0,COUNTA(OFFSET(#REF!,0,0,999,1)),1)</definedName>
    <definedName name="_____M2">#REF!</definedName>
    <definedName name="_____M3">#REF!</definedName>
    <definedName name="_____M4">#REF!</definedName>
    <definedName name="_____MAT1">#REF!</definedName>
    <definedName name="_____MC1">#REF!</definedName>
    <definedName name="_____mth2001">#REF!</definedName>
    <definedName name="_____mth2004">#REF!</definedName>
    <definedName name="_____mth2007">#REF!</definedName>
    <definedName name="_____mth2010">#REF!</definedName>
    <definedName name="_____mth9801">#REF!</definedName>
    <definedName name="_____mth9804">#REF!</definedName>
    <definedName name="_____mth9807">#REF!</definedName>
    <definedName name="_____mth9810">#REF!</definedName>
    <definedName name="_____mth9901">#REF!</definedName>
    <definedName name="_____mth9904">#REF!</definedName>
    <definedName name="_____mth9907">#REF!</definedName>
    <definedName name="_____mth9910">#REF!</definedName>
    <definedName name="_____Mu10">#REF!</definedName>
    <definedName name="_____MU100">#REF!</definedName>
    <definedName name="_____MU101">#REF!</definedName>
    <definedName name="_____Mu11">#REF!</definedName>
    <definedName name="_____Mu15">#REF!</definedName>
    <definedName name="_____Mu17">#REF!</definedName>
    <definedName name="_____Mu18">#REF!</definedName>
    <definedName name="_____Mu20">#REF!</definedName>
    <definedName name="_____Mu23">#REF!</definedName>
    <definedName name="_____Mu24">#REF!</definedName>
    <definedName name="_____Mu32">#REF!</definedName>
    <definedName name="_____Mu33">#REF!</definedName>
    <definedName name="_____Mu34">#REF!</definedName>
    <definedName name="_____Mu35">#REF!</definedName>
    <definedName name="_____Mu37">#REF!</definedName>
    <definedName name="_____Mu38">#REF!</definedName>
    <definedName name="_____Mu4">#REF!</definedName>
    <definedName name="_____Mu40">#REF!</definedName>
    <definedName name="_____Mu41">#REF!</definedName>
    <definedName name="_____Mu43">#REF!</definedName>
    <definedName name="_____Mu44">#REF!</definedName>
    <definedName name="_____Mu46">#REF!</definedName>
    <definedName name="_____Mu47">#REF!</definedName>
    <definedName name="_____Mu5">#REF!</definedName>
    <definedName name="_____Mu51">#REF!</definedName>
    <definedName name="_____mu52">#REF!</definedName>
    <definedName name="_____MU54">#REF!</definedName>
    <definedName name="_____MU55">#REF!</definedName>
    <definedName name="_____MU56">#REF!</definedName>
    <definedName name="_____mU57">#REF!</definedName>
    <definedName name="_____Mu59">#REF!</definedName>
    <definedName name="_____Mu6">#REF!</definedName>
    <definedName name="_____Mu64">#REF!</definedName>
    <definedName name="_____Mu65">#REF!</definedName>
    <definedName name="_____Mu66">#REF!</definedName>
    <definedName name="_____Mu67">#REF!</definedName>
    <definedName name="_____Mu68">#REF!</definedName>
    <definedName name="_____Mu69">#REF!</definedName>
    <definedName name="_____Mu70">#REF!</definedName>
    <definedName name="_____Mu71">#REF!</definedName>
    <definedName name="_____Mu73">#REF!</definedName>
    <definedName name="_____MU75">#REF!</definedName>
    <definedName name="_____MU76">#REF!</definedName>
    <definedName name="_____MU77">#REF!</definedName>
    <definedName name="_____MU78">#REF!</definedName>
    <definedName name="_____MU79">#REF!</definedName>
    <definedName name="_____Mu80">#REF!</definedName>
    <definedName name="_____MU81">#REF!</definedName>
    <definedName name="_____MU82">#REF!</definedName>
    <definedName name="_____MU83">#REF!</definedName>
    <definedName name="_____MU84">#REF!</definedName>
    <definedName name="_____MU85">#REF!</definedName>
    <definedName name="_____MU86">#REF!</definedName>
    <definedName name="_____Mu87">#REF!</definedName>
    <definedName name="_____Mu88">#REF!</definedName>
    <definedName name="_____mU89">#REF!</definedName>
    <definedName name="_____mu90">#REF!</definedName>
    <definedName name="_____mu92">#REF!</definedName>
    <definedName name="_____MU93">#REF!</definedName>
    <definedName name="_____MU94">#REF!</definedName>
    <definedName name="_____MU95">#REF!</definedName>
    <definedName name="_____MU96">#REF!</definedName>
    <definedName name="_____MU97">#REF!</definedName>
    <definedName name="_____MU98">#REF!</definedName>
    <definedName name="_____mu99">#REF!</definedName>
    <definedName name="_____ok1">#REF!</definedName>
    <definedName name="_____ok2">#REF!</definedName>
    <definedName name="_____ok3">#REF!</definedName>
    <definedName name="_____ok4" hidden="1">[2]Plbyhalf!$L$134</definedName>
    <definedName name="_____ok5" hidden="1">#REF!</definedName>
    <definedName name="_____p7" hidden="1">{"'MODIFY &amp; REPARE '!$B$1:$S$27"}</definedName>
    <definedName name="_____P8" hidden="1">{"'MODIFY &amp; REPARE '!$B$1:$S$27"}</definedName>
    <definedName name="_____PKG1">#REF!</definedName>
    <definedName name="_____PKG10">#REF!</definedName>
    <definedName name="_____PKG11">#REF!</definedName>
    <definedName name="_____PKG14">#REF!</definedName>
    <definedName name="_____PKG15">#REF!</definedName>
    <definedName name="_____PKG16">#REF!</definedName>
    <definedName name="_____PKG17">#REF!</definedName>
    <definedName name="_____PKG18">#REF!</definedName>
    <definedName name="_____PKG2">#REF!</definedName>
    <definedName name="_____PKG20">#REF!</definedName>
    <definedName name="_____PKG23">#REF!</definedName>
    <definedName name="_____PKG24">#REF!</definedName>
    <definedName name="_____PKG32">#REF!</definedName>
    <definedName name="_____PKG33">#REF!</definedName>
    <definedName name="_____PKG34">#REF!</definedName>
    <definedName name="_____PKG35">#REF!</definedName>
    <definedName name="_____PKG37">#REF!</definedName>
    <definedName name="_____PKG38">#REF!</definedName>
    <definedName name="_____PKG4">#REF!</definedName>
    <definedName name="_____PKG40">#REF!</definedName>
    <definedName name="_____PKG5">#REF!</definedName>
    <definedName name="_____PKG6">#REF!</definedName>
    <definedName name="_____PUR1">#REF!</definedName>
    <definedName name="_____PUR2">#REF!</definedName>
    <definedName name="_____PUR3">#REF!</definedName>
    <definedName name="_____PUR4">#REF!</definedName>
    <definedName name="_____PUR5">#REF!</definedName>
    <definedName name="_____PUR6">#REF!</definedName>
    <definedName name="_____Q1">#REF!</definedName>
    <definedName name="_____T1">#REF!</definedName>
    <definedName name="_____TAB2">#REF!</definedName>
    <definedName name="_____TAB3">#REF!</definedName>
    <definedName name="_____TAB4">#REF!</definedName>
    <definedName name="_____TAB7">#REF!</definedName>
    <definedName name="_____TC1">#N/A</definedName>
    <definedName name="_____TC2">#N/A</definedName>
    <definedName name="_____TC3">#N/A</definedName>
    <definedName name="_____TM1">#REF!</definedName>
    <definedName name="_____TM10">#REF!</definedName>
    <definedName name="_____TM11">#REF!</definedName>
    <definedName name="_____TM2">#REF!</definedName>
    <definedName name="_____TM3">#REF!</definedName>
    <definedName name="_____TM4">#REF!</definedName>
    <definedName name="_____TM5">#REF!</definedName>
    <definedName name="_____TM6">#REF!</definedName>
    <definedName name="_____TM7">#REF!</definedName>
    <definedName name="_____TM8">#REF!</definedName>
    <definedName name="_____TM9">#REF!</definedName>
    <definedName name="_____tt2">#REF!</definedName>
    <definedName name="_____tt3">#REF!</definedName>
    <definedName name="_____tth1">#REF!</definedName>
    <definedName name="_____tth2">#REF!</definedName>
    <definedName name="_____uv3000">#REF!</definedName>
    <definedName name="_____W1">#REF!</definedName>
    <definedName name="_____WAS1">#REF!</definedName>
    <definedName name="____ABC3">#REF!</definedName>
    <definedName name="____CBS1">#N/A</definedName>
    <definedName name="____CUA1">#REF!</definedName>
    <definedName name="____DAT12">#REF!</definedName>
    <definedName name="____DAT13">#REF!</definedName>
    <definedName name="____DAT14">#REF!</definedName>
    <definedName name="____DAT15">#REF!</definedName>
    <definedName name="____DAT16">#REF!</definedName>
    <definedName name="____DAT19">#REF!</definedName>
    <definedName name="____DAT20">#REF!</definedName>
    <definedName name="____DAT7">#REF!</definedName>
    <definedName name="____DAT8">#REF!</definedName>
    <definedName name="____DAT9">#REF!</definedName>
    <definedName name="____DEL1">#REF!</definedName>
    <definedName name="____F1">#REF!</definedName>
    <definedName name="____F2">#REF!</definedName>
    <definedName name="____F3">#REF!</definedName>
    <definedName name="____F4">#REF!</definedName>
    <definedName name="____FIN1">#REF!</definedName>
    <definedName name="____FIN2">#REF!</definedName>
    <definedName name="____FYh1">#REF!</definedName>
    <definedName name="____fyh2">#REF!</definedName>
    <definedName name="____GoA1">#REF!</definedName>
    <definedName name="____INJ2">#REF!</definedName>
    <definedName name="____jun03" hidden="1">{#N/A,#N/A,FALSE,"Aging Summary";#N/A,#N/A,FALSE,"Ratio Analysis";#N/A,#N/A,FALSE,"Test 120 Day Accts";#N/A,#N/A,FALSE,"Tickmarks"}</definedName>
    <definedName name="____M1">#REF!</definedName>
    <definedName name="____m150">OFFSET(#REF!,0,0,COUNTA(OFFSET(#REF!,0,0,999,1)),1)</definedName>
    <definedName name="____M2">#REF!</definedName>
    <definedName name="____M3">#REF!</definedName>
    <definedName name="____M4">#REF!</definedName>
    <definedName name="____MAT1">#REF!</definedName>
    <definedName name="____MC1">#REF!</definedName>
    <definedName name="____mth2001">#REF!</definedName>
    <definedName name="____mth2004">#REF!</definedName>
    <definedName name="____mth2007">#REF!</definedName>
    <definedName name="____mth2010">#REF!</definedName>
    <definedName name="____mth9801">#REF!</definedName>
    <definedName name="____mth9804">#REF!</definedName>
    <definedName name="____mth9807">#REF!</definedName>
    <definedName name="____mth9810">#REF!</definedName>
    <definedName name="____mth9901">#REF!</definedName>
    <definedName name="____mth9904">#REF!</definedName>
    <definedName name="____mth9907">#REF!</definedName>
    <definedName name="____mth9910">#REF!</definedName>
    <definedName name="____Mu10">#REF!</definedName>
    <definedName name="____MU100">#REF!</definedName>
    <definedName name="____MU101">#REF!</definedName>
    <definedName name="____Mu11">#REF!</definedName>
    <definedName name="____Mu15">#REF!</definedName>
    <definedName name="____Mu17">#REF!</definedName>
    <definedName name="____Mu18">#REF!</definedName>
    <definedName name="____Mu20">#REF!</definedName>
    <definedName name="____Mu23">#REF!</definedName>
    <definedName name="____Mu24">#REF!</definedName>
    <definedName name="____Mu32">#REF!</definedName>
    <definedName name="____Mu33">#REF!</definedName>
    <definedName name="____Mu34">#REF!</definedName>
    <definedName name="____Mu35">#REF!</definedName>
    <definedName name="____Mu37">#REF!</definedName>
    <definedName name="____Mu38">#REF!</definedName>
    <definedName name="____Mu4">#REF!</definedName>
    <definedName name="____Mu40">#REF!</definedName>
    <definedName name="____Mu41">#REF!</definedName>
    <definedName name="____Mu43">#REF!</definedName>
    <definedName name="____Mu44">#REF!</definedName>
    <definedName name="____Mu46">#REF!</definedName>
    <definedName name="____Mu47">#REF!</definedName>
    <definedName name="____Mu5">#REF!</definedName>
    <definedName name="____Mu51">#REF!</definedName>
    <definedName name="____mu52">#REF!</definedName>
    <definedName name="____MU54">#REF!</definedName>
    <definedName name="____MU55">#REF!</definedName>
    <definedName name="____MU56">#REF!</definedName>
    <definedName name="____mU57">#REF!</definedName>
    <definedName name="____Mu59">#REF!</definedName>
    <definedName name="____Mu6">#REF!</definedName>
    <definedName name="____Mu64">#REF!</definedName>
    <definedName name="____Mu65">#REF!</definedName>
    <definedName name="____Mu66">#REF!</definedName>
    <definedName name="____Mu67">#REF!</definedName>
    <definedName name="____Mu68">#REF!</definedName>
    <definedName name="____Mu69">#REF!</definedName>
    <definedName name="____Mu70">#REF!</definedName>
    <definedName name="____Mu71">#REF!</definedName>
    <definedName name="____Mu73">#REF!</definedName>
    <definedName name="____MU75">#REF!</definedName>
    <definedName name="____MU76">#REF!</definedName>
    <definedName name="____MU77">#REF!</definedName>
    <definedName name="____MU78">#REF!</definedName>
    <definedName name="____MU79">#REF!</definedName>
    <definedName name="____Mu80">#REF!</definedName>
    <definedName name="____MU81">#REF!</definedName>
    <definedName name="____MU82">#REF!</definedName>
    <definedName name="____MU83">#REF!</definedName>
    <definedName name="____MU84">#REF!</definedName>
    <definedName name="____MU85">#REF!</definedName>
    <definedName name="____MU86">#REF!</definedName>
    <definedName name="____Mu87">#REF!</definedName>
    <definedName name="____Mu88">#REF!</definedName>
    <definedName name="____mU89">#REF!</definedName>
    <definedName name="____mu90">#REF!</definedName>
    <definedName name="____mu92">#REF!</definedName>
    <definedName name="____MU93">#REF!</definedName>
    <definedName name="____MU94">#REF!</definedName>
    <definedName name="____MU95">#REF!</definedName>
    <definedName name="____MU96">#REF!</definedName>
    <definedName name="____MU97">#REF!</definedName>
    <definedName name="____MU98">#REF!</definedName>
    <definedName name="____mu99">#REF!</definedName>
    <definedName name="____ok1">#REF!</definedName>
    <definedName name="____ok2">#REF!</definedName>
    <definedName name="____ok3">#REF!</definedName>
    <definedName name="____ok4" hidden="1">[2]Plbyhalf!$L$134</definedName>
    <definedName name="____ok5" hidden="1">#REF!</definedName>
    <definedName name="____PKG1">#REF!</definedName>
    <definedName name="____PKG10">#REF!</definedName>
    <definedName name="____PKG11">#REF!</definedName>
    <definedName name="____PKG14">#REF!</definedName>
    <definedName name="____PKG15">#REF!</definedName>
    <definedName name="____PKG16">#REF!</definedName>
    <definedName name="____PKG17">#REF!</definedName>
    <definedName name="____PKG18">#REF!</definedName>
    <definedName name="____PKG2">#REF!</definedName>
    <definedName name="____PKG20">#REF!</definedName>
    <definedName name="____PKG23">#REF!</definedName>
    <definedName name="____PKG24">#REF!</definedName>
    <definedName name="____PKG32">#REF!</definedName>
    <definedName name="____PKG33">#REF!</definedName>
    <definedName name="____PKG34">#REF!</definedName>
    <definedName name="____PKG35">#REF!</definedName>
    <definedName name="____PKG37">#REF!</definedName>
    <definedName name="____PKG38">#REF!</definedName>
    <definedName name="____PKG4">#REF!</definedName>
    <definedName name="____PKG40">#REF!</definedName>
    <definedName name="____PKG5">#REF!</definedName>
    <definedName name="____PKG6">#REF!</definedName>
    <definedName name="____pp7" hidden="1">{"'MODIFY &amp; REPARE '!$B$1:$S$27"}</definedName>
    <definedName name="____pp8" hidden="1">{"'MODIFY &amp; REPARE '!$B$1:$S$27"}</definedName>
    <definedName name="____PPP7" hidden="1">{"'MODIFY &amp; REPARE '!$B$1:$S$27"}</definedName>
    <definedName name="____PPP8" hidden="1">{"'MODIFY &amp; REPARE '!$B$1:$S$27"}</definedName>
    <definedName name="____PUR1">#REF!</definedName>
    <definedName name="____PUR2">#REF!</definedName>
    <definedName name="____PUR3">#REF!</definedName>
    <definedName name="____PUR4">#REF!</definedName>
    <definedName name="____PUR5">#REF!</definedName>
    <definedName name="____PUR6">#REF!</definedName>
    <definedName name="____Q1">#REF!</definedName>
    <definedName name="____RH6">#REF!</definedName>
    <definedName name="____T1">#REF!</definedName>
    <definedName name="____TAB2">#REF!</definedName>
    <definedName name="____TAB3">#REF!</definedName>
    <definedName name="____TAB4">#REF!</definedName>
    <definedName name="____TAB7">#REF!</definedName>
    <definedName name="____TC1">#N/A</definedName>
    <definedName name="____TC2">#N/A</definedName>
    <definedName name="____TC3">#N/A</definedName>
    <definedName name="____TM1">#REF!</definedName>
    <definedName name="____TM10">#REF!</definedName>
    <definedName name="____TM11">#REF!</definedName>
    <definedName name="____TM2">#REF!</definedName>
    <definedName name="____TM3">#REF!</definedName>
    <definedName name="____TM4">#REF!</definedName>
    <definedName name="____TM5">#REF!</definedName>
    <definedName name="____TM6">#REF!</definedName>
    <definedName name="____TM7">#REF!</definedName>
    <definedName name="____TM8">#REF!</definedName>
    <definedName name="____TM9">#REF!</definedName>
    <definedName name="____tt2">#REF!</definedName>
    <definedName name="____tt3">#REF!</definedName>
    <definedName name="____tth1">#REF!</definedName>
    <definedName name="____tth2">#REF!</definedName>
    <definedName name="____uv3000">#REF!</definedName>
    <definedName name="____W1">#REF!</definedName>
    <definedName name="____WAS1">#REF!</definedName>
    <definedName name="___ABC3">#REF!</definedName>
    <definedName name="___bom1">#REF!</definedName>
    <definedName name="___CBS1">#N/A</definedName>
    <definedName name="___DAT2">#REF!</definedName>
    <definedName name="___DAT3">#REF!</definedName>
    <definedName name="___DAT5">#REF!</definedName>
    <definedName name="___DAT6">#REF!</definedName>
    <definedName name="___DEL1">#REF!</definedName>
    <definedName name="___EMS753">#REF!</definedName>
    <definedName name="___F1">#REF!</definedName>
    <definedName name="___F2">#REF!</definedName>
    <definedName name="___F3">#REF!</definedName>
    <definedName name="___F4">#REF!</definedName>
    <definedName name="___FIN1">#REF!</definedName>
    <definedName name="___FIN2">#REF!</definedName>
    <definedName name="___FYh1">#REF!</definedName>
    <definedName name="___fyh2">#REF!</definedName>
    <definedName name="___GoA1">#N/A</definedName>
    <definedName name="___INJ2">#REF!</definedName>
    <definedName name="___jun03" hidden="1">{#N/A,#N/A,FALSE,"Aging Summary";#N/A,#N/A,FALSE,"Ratio Analysis";#N/A,#N/A,FALSE,"Test 120 Day Accts";#N/A,#N/A,FALSE,"Tickmarks"}</definedName>
    <definedName name="___M1">#REF!</definedName>
    <definedName name="___m150">OFFSET(#REF!,0,0,COUNTA(OFFSET(#REF!,0,0,999,1)),1)</definedName>
    <definedName name="___M2">#REF!</definedName>
    <definedName name="___M3">#REF!</definedName>
    <definedName name="___M4">#REF!</definedName>
    <definedName name="___MAT1">#REF!</definedName>
    <definedName name="___MC1">#REF!</definedName>
    <definedName name="___mer1">#REF!</definedName>
    <definedName name="___mer2">#REF!</definedName>
    <definedName name="___mk1">#REF!</definedName>
    <definedName name="___Mu10">#REF!</definedName>
    <definedName name="___MU100">#REF!</definedName>
    <definedName name="___MU101">#REF!</definedName>
    <definedName name="___Mu11">#REF!</definedName>
    <definedName name="___Mu15">#REF!</definedName>
    <definedName name="___Mu17">#REF!</definedName>
    <definedName name="___Mu18">#REF!</definedName>
    <definedName name="___Mu20">#REF!</definedName>
    <definedName name="___Mu23">#REF!</definedName>
    <definedName name="___Mu24">#REF!</definedName>
    <definedName name="___Mu32">#REF!</definedName>
    <definedName name="___Mu33">#REF!</definedName>
    <definedName name="___Mu34">#REF!</definedName>
    <definedName name="___Mu35">#REF!</definedName>
    <definedName name="___Mu37">#REF!</definedName>
    <definedName name="___Mu38">#REF!</definedName>
    <definedName name="___Mu4">#REF!</definedName>
    <definedName name="___Mu40">#REF!</definedName>
    <definedName name="___Mu41">#REF!</definedName>
    <definedName name="___Mu43">#REF!</definedName>
    <definedName name="___Mu44">#REF!</definedName>
    <definedName name="___Mu46">#REF!</definedName>
    <definedName name="___Mu47">#REF!</definedName>
    <definedName name="___Mu5">#REF!</definedName>
    <definedName name="___Mu51">#REF!</definedName>
    <definedName name="___mu52">#REF!</definedName>
    <definedName name="___MU54">#REF!</definedName>
    <definedName name="___MU55">#REF!</definedName>
    <definedName name="___MU56">#REF!</definedName>
    <definedName name="___mU57">#REF!</definedName>
    <definedName name="___Mu59">#REF!</definedName>
    <definedName name="___Mu6">#REF!</definedName>
    <definedName name="___Mu64">#REF!</definedName>
    <definedName name="___Mu65">#REF!</definedName>
    <definedName name="___Mu66">#REF!</definedName>
    <definedName name="___Mu67">#REF!</definedName>
    <definedName name="___Mu68">#REF!</definedName>
    <definedName name="___Mu69">#REF!</definedName>
    <definedName name="___Mu70">#REF!</definedName>
    <definedName name="___Mu71">#REF!</definedName>
    <definedName name="___Mu73">#REF!</definedName>
    <definedName name="___MU75">#REF!</definedName>
    <definedName name="___MU76">#REF!</definedName>
    <definedName name="___MU77">#REF!</definedName>
    <definedName name="___MU78">#REF!</definedName>
    <definedName name="___MU79">#REF!</definedName>
    <definedName name="___Mu80">#REF!</definedName>
    <definedName name="___MU81">#REF!</definedName>
    <definedName name="___MU82">#REF!</definedName>
    <definedName name="___MU83">#REF!</definedName>
    <definedName name="___MU84">#REF!</definedName>
    <definedName name="___MU85">#REF!</definedName>
    <definedName name="___MU86">#REF!</definedName>
    <definedName name="___Mu87">#REF!</definedName>
    <definedName name="___Mu88">#REF!</definedName>
    <definedName name="___mU89">#REF!</definedName>
    <definedName name="___mu90">#REF!</definedName>
    <definedName name="___mu92">#REF!</definedName>
    <definedName name="___MU93">#REF!</definedName>
    <definedName name="___MU94">#REF!</definedName>
    <definedName name="___MU95">#REF!</definedName>
    <definedName name="___MU96">#REF!</definedName>
    <definedName name="___MU97">#REF!</definedName>
    <definedName name="___MU98">#REF!</definedName>
    <definedName name="___mu99">#REF!</definedName>
    <definedName name="___ok1">#REF!</definedName>
    <definedName name="___ok2">#REF!</definedName>
    <definedName name="___ok3">#REF!</definedName>
    <definedName name="___ok4" hidden="1">[2]Plbyhalf!$L$134</definedName>
    <definedName name="___ok5" hidden="1">#REF!</definedName>
    <definedName name="___OUT1">#REF!</definedName>
    <definedName name="___p7" hidden="1">{"'MODIFY &amp; REPARE '!$B$1:$S$27"}</definedName>
    <definedName name="___P8" hidden="1">{"'MODIFY &amp; REPARE '!$B$1:$S$27"}</definedName>
    <definedName name="___PG1">#REF!</definedName>
    <definedName name="___PG2">#REF!</definedName>
    <definedName name="___pg3">#REF!</definedName>
    <definedName name="___PKG1">#REF!</definedName>
    <definedName name="___PKG10">#REF!</definedName>
    <definedName name="___PKG11">#REF!</definedName>
    <definedName name="___PKG14">#REF!</definedName>
    <definedName name="___PKG15">#REF!</definedName>
    <definedName name="___PKG16">#REF!</definedName>
    <definedName name="___PKG17">#REF!</definedName>
    <definedName name="___PKG18">#REF!</definedName>
    <definedName name="___PKG2">#REF!</definedName>
    <definedName name="___PKG20">#REF!</definedName>
    <definedName name="___PKG23">#REF!</definedName>
    <definedName name="___PKG24">#REF!</definedName>
    <definedName name="___PKG32">#REF!</definedName>
    <definedName name="___PKG33">#REF!</definedName>
    <definedName name="___PKG34">#REF!</definedName>
    <definedName name="___PKG35">#REF!</definedName>
    <definedName name="___PKG37">#REF!</definedName>
    <definedName name="___PKG38">#REF!</definedName>
    <definedName name="___PKG4">#REF!</definedName>
    <definedName name="___PKG40">#REF!</definedName>
    <definedName name="___PKG5">#REF!</definedName>
    <definedName name="___PKG6">#REF!</definedName>
    <definedName name="___pp7" hidden="1">{"'MODIFY &amp; REPARE '!$B$1:$S$27"}</definedName>
    <definedName name="___pp8" hidden="1">{"'MODIFY &amp; REPARE '!$B$1:$S$27"}</definedName>
    <definedName name="___PPP7" hidden="1">{"'MODIFY &amp; REPARE '!$B$1:$S$27"}</definedName>
    <definedName name="___PPP8" hidden="1">{"'MODIFY &amp; REPARE '!$B$1:$S$27"}</definedName>
    <definedName name="___prc1">#REF!</definedName>
    <definedName name="___prc2">#REF!</definedName>
    <definedName name="___prc3">#REF!</definedName>
    <definedName name="___PUR1">#REF!</definedName>
    <definedName name="___PUR2">#REF!</definedName>
    <definedName name="___PUR3">#REF!</definedName>
    <definedName name="___PUR4">#REF!</definedName>
    <definedName name="___PUR5">#REF!</definedName>
    <definedName name="___PUR6">#REF!</definedName>
    <definedName name="___Q1">#REF!</definedName>
    <definedName name="___qt1">#REF!</definedName>
    <definedName name="___QUO1">#REF!</definedName>
    <definedName name="___RH6">#REF!</definedName>
    <definedName name="___T1">#REF!</definedName>
    <definedName name="___TAB7">#REF!</definedName>
    <definedName name="___tc1">#REF!</definedName>
    <definedName name="___tc2">#REF!</definedName>
    <definedName name="___tc3">#REF!</definedName>
    <definedName name="___tc4">#REF!</definedName>
    <definedName name="___tc5">#REF!</definedName>
    <definedName name="___TM1">#REF!</definedName>
    <definedName name="___TM10">#REF!</definedName>
    <definedName name="___TM11">#REF!</definedName>
    <definedName name="___TM2">#REF!</definedName>
    <definedName name="___TM3">#REF!</definedName>
    <definedName name="___TM4">#REF!</definedName>
    <definedName name="___TM5">#REF!</definedName>
    <definedName name="___TM6">#REF!</definedName>
    <definedName name="___TM7">#REF!</definedName>
    <definedName name="___TM8">#REF!</definedName>
    <definedName name="___TM9">#REF!</definedName>
    <definedName name="___tt2">#REF!</definedName>
    <definedName name="___tt3">#REF!</definedName>
    <definedName name="___uv3000">#REF!</definedName>
    <definedName name="___W1">#REF!</definedName>
    <definedName name="___WAS1">#REF!</definedName>
    <definedName name="___wk1">#REF!</definedName>
    <definedName name="___wk2">#REF!</definedName>
    <definedName name="___wk3">#REF!</definedName>
    <definedName name="___wk4">#REF!</definedName>
    <definedName name="__1____e___u__1">#REF!</definedName>
    <definedName name="__123Graph_A" hidden="1">#REF!</definedName>
    <definedName name="__123Graph_ABAL" localSheetId="10" hidden="1">#REF!</definedName>
    <definedName name="__123Graph_ABAL" localSheetId="11" hidden="1">#REF!</definedName>
    <definedName name="__123Graph_ABAL" localSheetId="12" hidden="1">#REF!</definedName>
    <definedName name="__123Graph_ABAL" localSheetId="1" hidden="1">#REF!</definedName>
    <definedName name="__123Graph_ABAL" hidden="1">#REF!</definedName>
    <definedName name="__123Graph_LBL_ABAL" localSheetId="10" hidden="1">#REF!</definedName>
    <definedName name="__123Graph_LBL_ABAL" localSheetId="11" hidden="1">#REF!</definedName>
    <definedName name="__123Graph_LBL_ABAL" localSheetId="12" hidden="1">#REF!</definedName>
    <definedName name="__123Graph_LBL_ABAL" localSheetId="1" hidden="1">#REF!</definedName>
    <definedName name="__123Graph_LBL_ABAL" hidden="1">#REF!</definedName>
    <definedName name="__123Graph_X" hidden="1">#REF!</definedName>
    <definedName name="__123Graph_XBAL" localSheetId="10" hidden="1">#REF!</definedName>
    <definedName name="__123Graph_XBAL" localSheetId="11" hidden="1">#REF!</definedName>
    <definedName name="__123Graph_XBAL" localSheetId="12" hidden="1">#REF!</definedName>
    <definedName name="__123Graph_XBAL" localSheetId="1" hidden="1">#REF!</definedName>
    <definedName name="__123Graph_XBAL" hidden="1">#REF!</definedName>
    <definedName name="__1F1_">#REF!</definedName>
    <definedName name="__2___e___u__1">#REF!</definedName>
    <definedName name="__2F2_">#REF!</definedName>
    <definedName name="__3__e___u__1">#REF!</definedName>
    <definedName name="__3F3_">#REF!</definedName>
    <definedName name="__4e___u__1">#REF!</definedName>
    <definedName name="__4F4_">#REF!</definedName>
    <definedName name="__89" hidden="1">#REF!</definedName>
    <definedName name="__AAA2" hidden="1">{#N/A,#N/A,TRUE,"????-1";#N/A,#N/A,TRUE,"????-2";#N/A,#N/A,TRUE,"????";#N/A,#N/A,TRUE,"RAC";#N/A,#N/A,TRUE,"PAC ";#N/A,#N/A,TRUE,"????";#N/A,#N/A,TRUE,"????"}</definedName>
    <definedName name="__ABC3">#REF!</definedName>
    <definedName name="__acc34250">#REF!</definedName>
    <definedName name="__acc34400">#REF!</definedName>
    <definedName name="__acc34480">#REF!</definedName>
    <definedName name="__acc35300">#REF!</definedName>
    <definedName name="__Acc36170">#REF!</definedName>
    <definedName name="__Acc36250">#REF!</definedName>
    <definedName name="__Acc36420">#REF!</definedName>
    <definedName name="__Acc36470">#REF!</definedName>
    <definedName name="__Acc44100">#REF!</definedName>
    <definedName name="__Acc44110">#REF!</definedName>
    <definedName name="__AdH142">#REF!</definedName>
    <definedName name="__aof2">#REF!</definedName>
    <definedName name="__bom1">#REF!</definedName>
    <definedName name="__CBS1">#N/A</definedName>
    <definedName name="__CUA1">#REF!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9">#REF!</definedName>
    <definedName name="__DAT2">#REF!</definedName>
    <definedName name="__DAT20">#REF!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2">#REF!</definedName>
    <definedName name="__DEC12">#REF!</definedName>
    <definedName name="__DEL1">#REF!</definedName>
    <definedName name="__E1" hidden="1">{#N/A,#N/A,TRUE,"????-1";#N/A,#N/A,TRUE,"????-2";#N/A,#N/A,TRUE,"????";#N/A,#N/A,TRUE,"RAC";#N/A,#N/A,TRUE,"PAC ";#N/A,#N/A,TRUE,"????";#N/A,#N/A,TRUE,"????"}</definedName>
    <definedName name="__e3" hidden="1">{"'Broadway ML#4'!$J$7:$N$490"}</definedName>
    <definedName name="__ELA2" hidden="1">{#N/A,#N/A,FALSE,"2???";#N/A,#N/A,FALSE,"1???";#N/A,#N/A,FALSE,"3???"}</definedName>
    <definedName name="__EMS753">#REF!</definedName>
    <definedName name="__F1">#REF!</definedName>
    <definedName name="__F2">#REF!</definedName>
    <definedName name="__F3">#REF!</definedName>
    <definedName name="__F4">#REF!</definedName>
    <definedName name="__FF2" hidden="1">{#N/A,#N/A,TRUE,"????-1";#N/A,#N/A,TRUE,"????-2";#N/A,#N/A,TRUE,"????";#N/A,#N/A,TRUE,"RAC";#N/A,#N/A,TRUE,"PAC ";#N/A,#N/A,TRUE,"????";#N/A,#N/A,TRUE,"????"}</definedName>
    <definedName name="__FIN1">#REF!</definedName>
    <definedName name="__FIN2">#REF!</definedName>
    <definedName name="__FYh1">#REF!</definedName>
    <definedName name="__fyh2">#REF!</definedName>
    <definedName name="__GoA1">#N/A</definedName>
    <definedName name="__INJ2">#REF!</definedName>
    <definedName name="__Jan08">#REF!</definedName>
    <definedName name="__jun03" hidden="1">{#N/A,#N/A,FALSE,"Aging Summary";#N/A,#N/A,FALSE,"Ratio Analysis";#N/A,#N/A,FALSE,"Test 120 Day Accts";#N/A,#N/A,FALSE,"Tickmarks"}</definedName>
    <definedName name="__LG2" hidden="1">{#N/A,#N/A,TRUE,"????-1";#N/A,#N/A,TRUE,"????-2";#N/A,#N/A,TRUE,"????";#N/A,#N/A,TRUE,"RAC";#N/A,#N/A,TRUE,"PAC ";#N/A,#N/A,TRUE,"????";#N/A,#N/A,TRUE,"????"}</definedName>
    <definedName name="__LG22" hidden="1">{#N/A,#N/A,TRUE,"????-1";#N/A,#N/A,TRUE,"????-2";#N/A,#N/A,TRUE,"????";#N/A,#N/A,TRUE,"RAC";#N/A,#N/A,TRUE,"PAC ";#N/A,#N/A,TRUE,"????";#N/A,#N/A,TRUE,"????"}</definedName>
    <definedName name="__M1">#REF!</definedName>
    <definedName name="__m150">OFFSET(#REF!,0,0,COUNTA(OFFSET(#REF!,0,0,999,1)),1)</definedName>
    <definedName name="__M2">#REF!</definedName>
    <definedName name="__M3">#REF!</definedName>
    <definedName name="__M4">#REF!</definedName>
    <definedName name="__MAT1">#REF!</definedName>
    <definedName name="__mb2">"文字方塊 25"</definedName>
    <definedName name="__MC1">#REF!</definedName>
    <definedName name="__mc2">#REF!</definedName>
    <definedName name="__mc3">#REF!</definedName>
    <definedName name="__mc4">#REF!</definedName>
    <definedName name="__mc5">#REF!</definedName>
    <definedName name="__mc6">#REF!</definedName>
    <definedName name="__mc7">#REF!</definedName>
    <definedName name="__mer1">#REF!</definedName>
    <definedName name="__mer2">#REF!</definedName>
    <definedName name="__mk1">#REF!</definedName>
    <definedName name="__mth2001">#REF!</definedName>
    <definedName name="__mth2004">#REF!</definedName>
    <definedName name="__mth2007">#REF!</definedName>
    <definedName name="__mth2010">#REF!</definedName>
    <definedName name="__mth9801">#REF!</definedName>
    <definedName name="__mth9804">#REF!</definedName>
    <definedName name="__mth9807">#REF!</definedName>
    <definedName name="__mth9810">#REF!</definedName>
    <definedName name="__mth9901">#REF!</definedName>
    <definedName name="__mth9904">#REF!</definedName>
    <definedName name="__mth9907">#REF!</definedName>
    <definedName name="__mth9910">#REF!</definedName>
    <definedName name="__Mu10">#REF!</definedName>
    <definedName name="__MU100">#REF!</definedName>
    <definedName name="__MU101">#REF!</definedName>
    <definedName name="__Mu11">#REF!</definedName>
    <definedName name="__Mu15">#REF!</definedName>
    <definedName name="__Mu17">#REF!</definedName>
    <definedName name="__Mu18">#REF!</definedName>
    <definedName name="__Mu20">#REF!</definedName>
    <definedName name="__Mu23">#REF!</definedName>
    <definedName name="__Mu24">#REF!</definedName>
    <definedName name="__Mu32">#REF!</definedName>
    <definedName name="__Mu33">#REF!</definedName>
    <definedName name="__Mu34">#REF!</definedName>
    <definedName name="__Mu35">#REF!</definedName>
    <definedName name="__Mu37">#REF!</definedName>
    <definedName name="__Mu38">#REF!</definedName>
    <definedName name="__Mu4">#REF!</definedName>
    <definedName name="__Mu40">#REF!</definedName>
    <definedName name="__Mu41">#REF!</definedName>
    <definedName name="__Mu43">#REF!</definedName>
    <definedName name="__Mu44">#REF!</definedName>
    <definedName name="__Mu46">#REF!</definedName>
    <definedName name="__Mu47">#REF!</definedName>
    <definedName name="__Mu5">#REF!</definedName>
    <definedName name="__Mu51">#REF!</definedName>
    <definedName name="__mu52">#REF!</definedName>
    <definedName name="__MU54">#REF!</definedName>
    <definedName name="__MU55">#REF!</definedName>
    <definedName name="__MU56">#REF!</definedName>
    <definedName name="__mU57">#REF!</definedName>
    <definedName name="__Mu59">#REF!</definedName>
    <definedName name="__Mu6">#REF!</definedName>
    <definedName name="__Mu64">#REF!</definedName>
    <definedName name="__Mu65">#REF!</definedName>
    <definedName name="__Mu66">#REF!</definedName>
    <definedName name="__Mu67">#REF!</definedName>
    <definedName name="__Mu68">#REF!</definedName>
    <definedName name="__Mu69">#REF!</definedName>
    <definedName name="__Mu70">#REF!</definedName>
    <definedName name="__Mu71">#REF!</definedName>
    <definedName name="__Mu73">#REF!</definedName>
    <definedName name="__MU75">#REF!</definedName>
    <definedName name="__MU76">#REF!</definedName>
    <definedName name="__MU77">#REF!</definedName>
    <definedName name="__MU78">#REF!</definedName>
    <definedName name="__MU79">#REF!</definedName>
    <definedName name="__Mu80">#REF!</definedName>
    <definedName name="__MU81">#REF!</definedName>
    <definedName name="__MU82">#REF!</definedName>
    <definedName name="__MU83">#REF!</definedName>
    <definedName name="__MU84">#REF!</definedName>
    <definedName name="__MU85">#REF!</definedName>
    <definedName name="__MU86">#REF!</definedName>
    <definedName name="__Mu87">#REF!</definedName>
    <definedName name="__Mu88">#REF!</definedName>
    <definedName name="__mU89">#REF!</definedName>
    <definedName name="__mu90">#REF!</definedName>
    <definedName name="__mu92">#REF!</definedName>
    <definedName name="__MU93">#REF!</definedName>
    <definedName name="__MU94">#REF!</definedName>
    <definedName name="__MU95">#REF!</definedName>
    <definedName name="__MU96">#REF!</definedName>
    <definedName name="__MU97">#REF!</definedName>
    <definedName name="__MU98">#REF!</definedName>
    <definedName name="__mu99">#REF!</definedName>
    <definedName name="__new1">#REF!</definedName>
    <definedName name="__new1205">#REF!</definedName>
    <definedName name="__new2">#REF!</definedName>
    <definedName name="__ok1">#REF!</definedName>
    <definedName name="__ok2">#REF!</definedName>
    <definedName name="__ok3">#REF!</definedName>
    <definedName name="__ok4" hidden="1">[2]Plbyhalf!$L$134</definedName>
    <definedName name="__ok5" hidden="1">#REF!</definedName>
    <definedName name="__OUT1">#REF!</definedName>
    <definedName name="__p7" hidden="1">{"'MODIFY &amp; REPARE '!$B$1:$S$27"}</definedName>
    <definedName name="__P8" hidden="1">{"'MODIFY &amp; REPARE '!$B$1:$S$27"}</definedName>
    <definedName name="__PG1">#REF!</definedName>
    <definedName name="__PG2">#REF!</definedName>
    <definedName name="__pg3">#REF!</definedName>
    <definedName name="__pi2">#N/A</definedName>
    <definedName name="__PKG1">#REF!</definedName>
    <definedName name="__PKG10">#REF!</definedName>
    <definedName name="__PKG11">#REF!</definedName>
    <definedName name="__PKG14">#REF!</definedName>
    <definedName name="__PKG15">#REF!</definedName>
    <definedName name="__PKG16">#REF!</definedName>
    <definedName name="__PKG17">#REF!</definedName>
    <definedName name="__PKG18">#REF!</definedName>
    <definedName name="__PKG2">#REF!</definedName>
    <definedName name="__PKG20">#REF!</definedName>
    <definedName name="__PKG23">#REF!</definedName>
    <definedName name="__PKG24">#REF!</definedName>
    <definedName name="__PKG32">#REF!</definedName>
    <definedName name="__PKG33">#REF!</definedName>
    <definedName name="__PKG34">#REF!</definedName>
    <definedName name="__PKG35">#REF!</definedName>
    <definedName name="__PKG37">#REF!</definedName>
    <definedName name="__PKG38">#REF!</definedName>
    <definedName name="__PKG4">#REF!</definedName>
    <definedName name="__PKG40">#REF!</definedName>
    <definedName name="__PKG5">#REF!</definedName>
    <definedName name="__PKG6">#REF!</definedName>
    <definedName name="__pp7" hidden="1">{"'MODIFY &amp; REPARE '!$B$1:$S$27"}</definedName>
    <definedName name="__pp8" hidden="1">{"'MODIFY &amp; REPARE '!$B$1:$S$27"}</definedName>
    <definedName name="__PPP7" hidden="1">{"'MODIFY &amp; REPARE '!$B$1:$S$27"}</definedName>
    <definedName name="__PPP8" hidden="1">{"'MODIFY &amp; REPARE '!$B$1:$S$27"}</definedName>
    <definedName name="__prc1">#REF!</definedName>
    <definedName name="__prc2">#REF!</definedName>
    <definedName name="__prc3">#REF!</definedName>
    <definedName name="__PUR1">#REF!</definedName>
    <definedName name="__PUR2">#REF!</definedName>
    <definedName name="__PUR3">#REF!</definedName>
    <definedName name="__PUR4">#REF!</definedName>
    <definedName name="__PUR5">#REF!</definedName>
    <definedName name="__PUR6">#REF!</definedName>
    <definedName name="__Q1">#REF!</definedName>
    <definedName name="__QQQ2" hidden="1">{#N/A,#N/A,TRUE,"????-1";#N/A,#N/A,TRUE,"????-2";#N/A,#N/A,TRUE,"????";#N/A,#N/A,TRUE,"RAC";#N/A,#N/A,TRUE,"PAC ";#N/A,#N/A,TRUE,"????";#N/A,#N/A,TRUE,"????"}</definedName>
    <definedName name="__qt1">#REF!</definedName>
    <definedName name="__QUO1">#REF!</definedName>
    <definedName name="__RH6">#REF!</definedName>
    <definedName name="__s1" hidden="1">{#N/A,#N/A,TRUE,"????-1";#N/A,#N/A,TRUE,"????-2";#N/A,#N/A,TRUE,"????";#N/A,#N/A,TRUE,"RAC";#N/A,#N/A,TRUE,"PAC ";#N/A,#N/A,TRUE,"????";#N/A,#N/A,TRUE,"????"}</definedName>
    <definedName name="__Sub1">#REF!</definedName>
    <definedName name="__Sub2">#REF!</definedName>
    <definedName name="__Sub3">#REF!</definedName>
    <definedName name="__Sub4">#REF!</definedName>
    <definedName name="__Sub5">#REF!</definedName>
    <definedName name="__Sub6">#REF!</definedName>
    <definedName name="__T1">#REF!</definedName>
    <definedName name="__TAB2">#REF!</definedName>
    <definedName name="__TAB3">#REF!</definedName>
    <definedName name="__TAB4">#REF!</definedName>
    <definedName name="__TAB7">#REF!</definedName>
    <definedName name="__tc1">#REF!</definedName>
    <definedName name="__tc2">#REF!</definedName>
    <definedName name="__tc3">#REF!</definedName>
    <definedName name="__tc4">#REF!</definedName>
    <definedName name="__tc5">#REF!</definedName>
    <definedName name="__TM1">#REF!</definedName>
    <definedName name="__TM10">#REF!</definedName>
    <definedName name="__TM11">#REF!</definedName>
    <definedName name="__TM2">#REF!</definedName>
    <definedName name="__TM3">#REF!</definedName>
    <definedName name="__TM4">#REF!</definedName>
    <definedName name="__TM5">#REF!</definedName>
    <definedName name="__TM6">#REF!</definedName>
    <definedName name="__TM7">#REF!</definedName>
    <definedName name="__TM8">#REF!</definedName>
    <definedName name="__TM9">#REF!</definedName>
    <definedName name="__tt2">#REF!</definedName>
    <definedName name="__tt3">#REF!</definedName>
    <definedName name="__TT7">#REF!</definedName>
    <definedName name="__tth1">#REF!</definedName>
    <definedName name="__tth2">#REF!</definedName>
    <definedName name="__uv3000">#REF!</definedName>
    <definedName name="__W1">#REF!</definedName>
    <definedName name="__w12" hidden="1">{"'Broadway ML#4'!$J$7:$N$490"}</definedName>
    <definedName name="__WAS1">#REF!</definedName>
    <definedName name="__win1">#REF!</definedName>
    <definedName name="__WIN2">#REF!</definedName>
    <definedName name="__win4">#REF!</definedName>
    <definedName name="__win5">#REF!</definedName>
    <definedName name="__wk1">#REF!</definedName>
    <definedName name="__wk2">#REF!</definedName>
    <definedName name="__wk3">#REF!</definedName>
    <definedName name="__wk4">#REF!</definedName>
    <definedName name="__ww4">#REF!</definedName>
    <definedName name="__ww6">#REF!</definedName>
    <definedName name="_0">MATCH(0.01,End_Bal,-1)+1</definedName>
    <definedName name="_00">#REF!</definedName>
    <definedName name="_0000">#REF!</definedName>
    <definedName name="_000000" hidden="1">#REF!</definedName>
    <definedName name="_001年度発注済・発注予定1_28">#REF!</definedName>
    <definedName name="_00N7257">#REF!</definedName>
    <definedName name="_00N7745">#REF!</definedName>
    <definedName name="_0309_10A1">#REF!</definedName>
    <definedName name="_03K9005">#REF!</definedName>
    <definedName name="_09N7245">#REF!</definedName>
    <definedName name="_09N9439">#REF!</definedName>
    <definedName name="_09N9443">#REF!</definedName>
    <definedName name="_0C">#REF!</definedName>
    <definedName name="_0J">#REF!</definedName>
    <definedName name="_1">#REF!</definedName>
    <definedName name="_1_?" hidden="1">{#N/A,#N/A,FALSE,"2???";#N/A,#N/A,FALSE,"1???";#N/A,#N/A,FALSE,"3???"}</definedName>
    <definedName name="_1________________________e___u__1">#REF!</definedName>
    <definedName name="_1____e___u__1">#REF!</definedName>
    <definedName name="_10_???????2" hidden="1">{#N/A,#N/A,TRUE,"????-1";#N/A,#N/A,TRUE,"????-2";#N/A,#N/A,TRUE,"????";#N/A,#N/A,TRUE,"RAC";#N/A,#N/A,TRUE,"PAC ";#N/A,#N/A,TRUE,"????";#N/A,#N/A,TRUE,"????"}</definedName>
    <definedName name="_10_______________e___u__1">#REF!</definedName>
    <definedName name="_100f88_">#REF!</definedName>
    <definedName name="_101f89_">#REF!</definedName>
    <definedName name="_102f9_">#N/A</definedName>
    <definedName name="_103f90_">#REF!</definedName>
    <definedName name="_104f91_">#REF!</definedName>
    <definedName name="_105f92_">#REF!</definedName>
    <definedName name="_106f93_">#REF!</definedName>
    <definedName name="_107f94_">#REF!</definedName>
    <definedName name="_108f95_">#REF!</definedName>
    <definedName name="_109f96_">#REF!</definedName>
    <definedName name="_10f01">#REF!</definedName>
    <definedName name="_10f02">#REF!</definedName>
    <definedName name="_10f11_">#N/A</definedName>
    <definedName name="_10M2_">#REF!</definedName>
    <definedName name="_10p7_" hidden="1">{"'MODIFY &amp; REPARE '!$B$1:$S$27"}</definedName>
    <definedName name="_10Q1_">#REF!</definedName>
    <definedName name="_10S">#REF!</definedName>
    <definedName name="_10T1_">#REF!</definedName>
    <definedName name="_11_?????2" hidden="1">{#N/A,#N/A,FALSE,"2???";#N/A,#N/A,FALSE,"1???";#N/A,#N/A,FALSE,"3???"}</definedName>
    <definedName name="_11______________e___u__1">#REF!</definedName>
    <definedName name="_110f97_">#REF!</definedName>
    <definedName name="_111M1_">#N/A</definedName>
    <definedName name="_112M11_" hidden="1">{"'MODIFY &amp; REPARE '!$B$1:$S$27"}</definedName>
    <definedName name="_112m12_">#REF!</definedName>
    <definedName name="_113m12_">#N/A</definedName>
    <definedName name="_113p7_" hidden="1">{"'MODIFY &amp; REPARE '!$B$1:$S$27"}</definedName>
    <definedName name="_114M2_" hidden="1">{"'MODIFY &amp; REPARE '!$B$1:$S$27"}</definedName>
    <definedName name="_114P8_" hidden="1">{"'MODIFY &amp; REPARE '!$B$1:$S$27"}</definedName>
    <definedName name="_115M22_" hidden="1">{"'MODIFY &amp; REPARE '!$B$1:$S$27"}</definedName>
    <definedName name="_115Q50_">#REF!</definedName>
    <definedName name="_116M3_" hidden="1">{"'MODIFY &amp; REPARE '!$B$1:$S$27"}</definedName>
    <definedName name="_117M4_" hidden="1">{"'MODIFY &amp; REPARE '!$B$1:$S$27"}</definedName>
    <definedName name="_118M44_" hidden="1">{"'MODIFY &amp; REPARE '!$B$1:$S$27"}</definedName>
    <definedName name="_119M5_" hidden="1">{"'MODIFY &amp; REPARE '!$B$1:$S$27"}</definedName>
    <definedName name="_11f01">#REF!</definedName>
    <definedName name="_11f02">#REF!</definedName>
    <definedName name="_11f03">#REF!</definedName>
    <definedName name="_11f12_">#N/A</definedName>
    <definedName name="_11M2_">#REF!</definedName>
    <definedName name="_11M3_">#REF!</definedName>
    <definedName name="_11S">#REF!</definedName>
    <definedName name="_11W1_">#REF!</definedName>
    <definedName name="_12_????_" hidden="1">{#N/A,#N/A,TRUE,"????-1";#N/A,#N/A,TRUE,"????-2";#N/A,#N/A,TRUE,"????";#N/A,#N/A,TRUE,"RAC";#N/A,#N/A,TRUE,"PAC ";#N/A,#N/A,TRUE,"????";#N/A,#N/A,TRUE,"????"}</definedName>
    <definedName name="_12_____________e___u__1">#REF!</definedName>
    <definedName name="_120M6_" hidden="1">{"'MODIFY &amp; REPARE '!$B$1:$S$27"}</definedName>
    <definedName name="_121M7_" hidden="1">{"'MODIFY &amp; REPARE '!$B$1:$S$27"}</definedName>
    <definedName name="_122M8_" hidden="1">{"'MODIFY &amp; REPARE '!$B$1:$S$27"}</definedName>
    <definedName name="_123M9_" hidden="1">{"'MODIFY &amp; REPARE '!$B$1:$S$27"}</definedName>
    <definedName name="_124p7_" hidden="1">{"'MODIFY &amp; REPARE '!$B$1:$S$27"}</definedName>
    <definedName name="_125p70_" hidden="1">{"'MODIFY &amp; REPARE '!$B$1:$S$27"}</definedName>
    <definedName name="_126P8_" hidden="1">{"'MODIFY &amp; REPARE '!$B$1:$S$27"}</definedName>
    <definedName name="_127Q1_" hidden="1">{"'MODIFY &amp; REPARE '!$B$1:$S$27"}</definedName>
    <definedName name="_128Q2_" hidden="1">{"'MODIFY &amp; REPARE '!$B$1:$S$27"}</definedName>
    <definedName name="_129Q3_" hidden="1">{"'MODIFY &amp; REPARE '!$B$1:$S$27"}</definedName>
    <definedName name="_12f01">#REF!</definedName>
    <definedName name="_12f13_">#N/A</definedName>
    <definedName name="_12F4_">#REF!</definedName>
    <definedName name="_12M3_">#REF!</definedName>
    <definedName name="_12S">#REF!</definedName>
    <definedName name="_12T1_">#REF!</definedName>
    <definedName name="_13_????_2" hidden="1">{#N/A,#N/A,TRUE,"????-1";#N/A,#N/A,TRUE,"????-2";#N/A,#N/A,TRUE,"????";#N/A,#N/A,TRUE,"RAC";#N/A,#N/A,TRUE,"PAC ";#N/A,#N/A,TRUE,"????";#N/A,#N/A,TRUE,"????"}</definedName>
    <definedName name="_13____________e___u__1">#REF!</definedName>
    <definedName name="_130Q50_">#REF!</definedName>
    <definedName name="_133W1_" hidden="1">{"'MODIFY &amp; REPARE '!$B$1:$S$27"}</definedName>
    <definedName name="_13f14_">#N/A</definedName>
    <definedName name="_13M4_">#REF!</definedName>
    <definedName name="_13P8_" hidden="1">{"'MODIFY &amp; REPARE '!$B$1:$S$27"}</definedName>
    <definedName name="_13S">#REF!</definedName>
    <definedName name="_14_????2" hidden="1">{#N/A,#N/A,TRUE,"????-1";#N/A,#N/A,TRUE,"????-2";#N/A,#N/A,TRUE,"????";#N/A,#N/A,TRUE,"RAC";#N/A,#N/A,TRUE,"PAC ";#N/A,#N/A,TRUE,"????";#N/A,#N/A,TRUE,"????"}</definedName>
    <definedName name="_14___________e___u__1">#REF!</definedName>
    <definedName name="_14f01">#REF!</definedName>
    <definedName name="_14f02">#REF!</definedName>
    <definedName name="_14f15_">#N/A</definedName>
    <definedName name="_14M3_">#REF!</definedName>
    <definedName name="_14M4_">#REF!</definedName>
    <definedName name="_14Q1_">#REF!</definedName>
    <definedName name="_14S">#REF!</definedName>
    <definedName name="_14W1_">#REF!</definedName>
    <definedName name="_15_???1" hidden="1">{#N/A,#N/A,TRUE,"????-1";#N/A,#N/A,TRUE,"????-2";#N/A,#N/A,TRUE,"????";#N/A,#N/A,TRUE,"RAC";#N/A,#N/A,TRUE,"PAC ";#N/A,#N/A,TRUE,"????";#N/A,#N/A,TRUE,"????"}</definedName>
    <definedName name="_15__________e___u__1">#REF!</definedName>
    <definedName name="_15f01">#REF!</definedName>
    <definedName name="_15f16_">#N/A</definedName>
    <definedName name="_15M1_">#REF!</definedName>
    <definedName name="_15Q1_">#REF!</definedName>
    <definedName name="_15S">#REF!</definedName>
    <definedName name="_16_???2" hidden="1">{#N/A,#N/A,TRUE,"????-1";#N/A,#N/A,TRUE,"????-2";#N/A,#N/A,TRUE,"????";#N/A,#N/A,TRUE,"RAC";#N/A,#N/A,TRUE,"PAC ";#N/A,#N/A,TRUE,"????";#N/A,#N/A,TRUE,"????"}</definedName>
    <definedName name="_16_________e___u__1">#REF!</definedName>
    <definedName name="_16f17_">#N/A</definedName>
    <definedName name="_16T1_">#REF!</definedName>
    <definedName name="_17_???PAC" hidden="1">{#N/A,#N/A,TRUE,"????-1";#N/A,#N/A,TRUE,"????-2";#N/A,#N/A,TRUE,"????";#N/A,#N/A,TRUE,"RAC";#N/A,#N/A,TRUE,"PAC ";#N/A,#N/A,TRUE,"????";#N/A,#N/A,TRUE,"????"}</definedName>
    <definedName name="_17________e___u__1">#REF!</definedName>
    <definedName name="_17f18_">#N/A</definedName>
    <definedName name="_17M4_">#REF!</definedName>
    <definedName name="_18_???PAC2" hidden="1">{#N/A,#N/A,TRUE,"????-1";#N/A,#N/A,TRUE,"????-2";#N/A,#N/A,TRUE,"????";#N/A,#N/A,TRUE,"RAC";#N/A,#N/A,TRUE,"PAC ";#N/A,#N/A,TRUE,"????";#N/A,#N/A,TRUE,"????"}</definedName>
    <definedName name="_18_______e___u__1">#REF!</definedName>
    <definedName name="_18f19_">#N/A</definedName>
    <definedName name="_18M2_">#REF!</definedName>
    <definedName name="_18Q1_">#REF!</definedName>
    <definedName name="_18T1_">#REF!</definedName>
    <definedName name="_18W1_">#REF!</definedName>
    <definedName name="_19_???PAC3" hidden="1">{#N/A,#N/A,TRUE,"????-1";#N/A,#N/A,TRUE,"????-2";#N/A,#N/A,TRUE,"????";#N/A,#N/A,TRUE,"RAC";#N/A,#N/A,TRUE,"PAC ";#N/A,#N/A,TRUE,"????";#N/A,#N/A,TRUE,"????"}</definedName>
    <definedName name="_19______e___u__1">#REF!</definedName>
    <definedName name="_19f20_">#N/A</definedName>
    <definedName name="_19K8666">#REF!</definedName>
    <definedName name="_19K8667">#REF!</definedName>
    <definedName name="_19K8668">#REF!</definedName>
    <definedName name="_19K8669">#REF!</definedName>
    <definedName name="_19K8673">#REF!</definedName>
    <definedName name="_19K8690">#REF!</definedName>
    <definedName name="_19K8692">#REF!</definedName>
    <definedName name="_19K8713">#REF!</definedName>
    <definedName name="_19K8741">#REF!</definedName>
    <definedName name="_19K8748">#REF!</definedName>
    <definedName name="_19K8760">#REF!</definedName>
    <definedName name="_19K8770">#REF!</definedName>
    <definedName name="_19K8796">#REF!</definedName>
    <definedName name="_19T1_">#REF!</definedName>
    <definedName name="_1A1_" hidden="1">{"'MODIFY &amp; REPARE '!$B$1:$S$27"}</definedName>
    <definedName name="_1C">#REF!</definedName>
    <definedName name="_1E">#REF!</definedName>
    <definedName name="_1E2_">#REF!</definedName>
    <definedName name="_1F1_">#REF!</definedName>
    <definedName name="_1H">#REF!</definedName>
    <definedName name="_1M">#REF!</definedName>
    <definedName name="_1S">#REF!</definedName>
    <definedName name="_2">#REF!</definedName>
    <definedName name="_2_??" hidden="1">{#N/A,#N/A,TRUE,"????-1";#N/A,#N/A,TRUE,"????-2";#N/A,#N/A,TRUE,"????";#N/A,#N/A,TRUE,"RAC";#N/A,#N/A,TRUE,"PAC ";#N/A,#N/A,TRUE,"????";#N/A,#N/A,TRUE,"????"}</definedName>
    <definedName name="_2_______________________e___u__1">#REF!</definedName>
    <definedName name="_2___e___u__1">#REF!</definedName>
    <definedName name="_20_???PAC4" hidden="1">{#N/A,#N/A,TRUE,"????-1";#N/A,#N/A,TRUE,"????-2";#N/A,#N/A,TRUE,"????";#N/A,#N/A,TRUE,"RAC";#N/A,#N/A,TRUE,"PAC ";#N/A,#N/A,TRUE,"????";#N/A,#N/A,TRUE,"????"}</definedName>
    <definedName name="_20_____e___u__1">#REF!</definedName>
    <definedName name="_20_20_F_W2KS_CD_RW">#REF!</definedName>
    <definedName name="_20f200_">#REF!</definedName>
    <definedName name="_20W1_">#REF!</definedName>
    <definedName name="_21_???PAC5" hidden="1">{#N/A,#N/A,TRUE,"????-1";#N/A,#N/A,TRUE,"????-2";#N/A,#N/A,TRUE,"????";#N/A,#N/A,TRUE,"RAC";#N/A,#N/A,TRUE,"PAC ";#N/A,#N/A,TRUE,"????";#N/A,#N/A,TRUE,"????"}</definedName>
    <definedName name="_21____e___u__1">#REF!</definedName>
    <definedName name="_21f201_">#REF!</definedName>
    <definedName name="_21M3_">#REF!</definedName>
    <definedName name="_21P9915">#REF!</definedName>
    <definedName name="_21P9921">#REF!</definedName>
    <definedName name="_21P9922">#REF!</definedName>
    <definedName name="_21P9923">#REF!</definedName>
    <definedName name="_21P9924">#REF!</definedName>
    <definedName name="_21P9925">#REF!</definedName>
    <definedName name="_21P9926">#REF!</definedName>
    <definedName name="_21P9927">#REF!</definedName>
    <definedName name="_22_???PAC6" hidden="1">{#N/A,#N/A,TRUE,"????-1";#N/A,#N/A,TRUE,"????-2";#N/A,#N/A,TRUE,"????";#N/A,#N/A,TRUE,"RAC";#N/A,#N/A,TRUE,"PAC ";#N/A,#N/A,TRUE,"????";#N/A,#N/A,TRUE,"????"}</definedName>
    <definedName name="_22___e___u__1">#REF!</definedName>
    <definedName name="_22f202_">#REF!</definedName>
    <definedName name="_22W1_">#REF!</definedName>
    <definedName name="_23_???SM" hidden="1">{#N/A,#N/A,TRUE,"????-1";#N/A,#N/A,TRUE,"????-2";#N/A,#N/A,TRUE,"????";#N/A,#N/A,TRUE,"RAC";#N/A,#N/A,TRUE,"PAC ";#N/A,#N/A,TRUE,"????";#N/A,#N/A,TRUE,"????"}</definedName>
    <definedName name="_23__e___u__1">#REF!</definedName>
    <definedName name="_23f203_">#REF!</definedName>
    <definedName name="_24_???SM2" hidden="1">{#N/A,#N/A,TRUE,"????-1";#N/A,#N/A,TRUE,"????-2";#N/A,#N/A,TRUE,"????";#N/A,#N/A,TRUE,"RAC";#N/A,#N/A,TRUE,"PAC ";#N/A,#N/A,TRUE,"????";#N/A,#N/A,TRUE,"????"}</definedName>
    <definedName name="_24e___u__1">#REF!</definedName>
    <definedName name="_24f204_">#REF!</definedName>
    <definedName name="_24M4_">#REF!</definedName>
    <definedName name="_25_??_" hidden="1">{#N/A,#N/A,TRUE,"????-1";#N/A,#N/A,TRUE,"????-2";#N/A,#N/A,TRUE,"????";#N/A,#N/A,TRUE,"RAC";#N/A,#N/A,TRUE,"PAC ";#N/A,#N/A,TRUE,"????";#N/A,#N/A,TRUE,"????"}</definedName>
    <definedName name="_25f205_">#REF!</definedName>
    <definedName name="_26_??___" hidden="1">{#N/A,#N/A,TRUE,"????-1";#N/A,#N/A,TRUE,"????-2";#N/A,#N/A,TRUE,"????";#N/A,#N/A,TRUE,"RAC";#N/A,#N/A,TRUE,"PAC ";#N/A,#N/A,TRUE,"????";#N/A,#N/A,TRUE,"????"}</definedName>
    <definedName name="_26f206_">#REF!</definedName>
    <definedName name="_27_??lg" hidden="1">{#N/A,#N/A,TRUE,"????-1";#N/A,#N/A,TRUE,"????-2";#N/A,#N/A,TRUE,"????";#N/A,#N/A,TRUE,"RAC";#N/A,#N/A,TRUE,"PAC ";#N/A,#N/A,TRUE,"????";#N/A,#N/A,TRUE,"????"}</definedName>
    <definedName name="_27f207_">#REF!</definedName>
    <definedName name="_27Q1_">#REF!</definedName>
    <definedName name="_28_?1" hidden="1">{#N/A,#N/A,TRUE,"????-1";#N/A,#N/A,TRUE,"????-2";#N/A,#N/A,TRUE,"????";#N/A,#N/A,TRUE,"RAC";#N/A,#N/A,TRUE,"PAC ";#N/A,#N/A,TRUE,"????";#N/A,#N/A,TRUE,"????"}</definedName>
    <definedName name="_28f208_">#REF!</definedName>
    <definedName name="_29_?1?" hidden="1">{#N/A,#N/A,TRUE,"????-1";#N/A,#N/A,TRUE,"????-2";#N/A,#N/A,TRUE,"????";#N/A,#N/A,TRUE,"RAC";#N/A,#N/A,TRUE,"PAC ";#N/A,#N/A,TRUE,"????";#N/A,#N/A,TRUE,"????"}</definedName>
    <definedName name="_29f209_">#REF!</definedName>
    <definedName name="_2C">#REF!</definedName>
    <definedName name="_2Excel_BuiltIn_Print_Area_1_1">#REF!</definedName>
    <definedName name="_2F2_">#REF!</definedName>
    <definedName name="_2H">#REF!</definedName>
    <definedName name="_2J">#REF!</definedName>
    <definedName name="_2M">#REF!</definedName>
    <definedName name="_2S">#REF!</definedName>
    <definedName name="_3">#REF!</definedName>
    <definedName name="_3_???" hidden="1">{#N/A,#N/A,TRUE,"????-1";#N/A,#N/A,TRUE,"????-2";#N/A,#N/A,TRUE,"????";#N/A,#N/A,TRUE,"RAC";#N/A,#N/A,TRUE,"PAC ";#N/A,#N/A,TRUE,"????";#N/A,#N/A,TRUE,"????"}</definedName>
    <definedName name="_3______________________e___u__1">#REF!</definedName>
    <definedName name="_3__e___u__1">#REF!</definedName>
    <definedName name="_30_?1?2" hidden="1">{#N/A,#N/A,TRUE,"????-1";#N/A,#N/A,TRUE,"????-2";#N/A,#N/A,TRUE,"????";#N/A,#N/A,TRUE,"RAC";#N/A,#N/A,TRUE,"PAC ";#N/A,#N/A,TRUE,"????";#N/A,#N/A,TRUE,"????"}</definedName>
    <definedName name="_30f21_">#N/A</definedName>
    <definedName name="_30T1_">#REF!</definedName>
    <definedName name="_31_?2" hidden="1">{#N/A,#N/A,FALSE,"2???";#N/A,#N/A,FALSE,"1???";#N/A,#N/A,FALSE,"3???"}</definedName>
    <definedName name="_31f22_">#N/A</definedName>
    <definedName name="_32_?2?" hidden="1">{#N/A,#N/A,TRUE,"????-1";#N/A,#N/A,TRUE,"????-2";#N/A,#N/A,TRUE,"????";#N/A,#N/A,TRUE,"RAC";#N/A,#N/A,TRUE,"PAC ";#N/A,#N/A,TRUE,"????";#N/A,#N/A,TRUE,"????"}</definedName>
    <definedName name="_32f23_">#N/A</definedName>
    <definedName name="_33E1_" hidden="1">{#N/A,#N/A,TRUE,"????-1";#N/A,#N/A,TRUE,"????-2";#N/A,#N/A,TRUE,"????";#N/A,#N/A,TRUE,"RAC";#N/A,#N/A,TRUE,"PAC ";#N/A,#N/A,TRUE,"????";#N/A,#N/A,TRUE,"????"}</definedName>
    <definedName name="_33f24_">#N/A</definedName>
    <definedName name="_33W1_">#REF!</definedName>
    <definedName name="_34f25_">#N/A</definedName>
    <definedName name="_34FF2_" hidden="1">{#N/A,#N/A,TRUE,"????-1";#N/A,#N/A,TRUE,"????-2";#N/A,#N/A,TRUE,"????";#N/A,#N/A,TRUE,"RAC";#N/A,#N/A,TRUE,"PAC ";#N/A,#N/A,TRUE,"????";#N/A,#N/A,TRUE,"????"}</definedName>
    <definedName name="_35f26_">#N/A</definedName>
    <definedName name="_35s1_" hidden="1">{#N/A,#N/A,TRUE,"????-1";#N/A,#N/A,TRUE,"????-2";#N/A,#N/A,TRUE,"????";#N/A,#N/A,TRUE,"RAC";#N/A,#N/A,TRUE,"PAC ";#N/A,#N/A,TRUE,"????";#N/A,#N/A,TRUE,"????"}</definedName>
    <definedName name="_36f27_">#N/A</definedName>
    <definedName name="_37f28_">#N/A</definedName>
    <definedName name="_37L6466">#REF!</definedName>
    <definedName name="_38f29_">#N/A</definedName>
    <definedName name="_39f3_" hidden="1">{"'MODIFY &amp; REPARE '!$B$1:$S$27"}</definedName>
    <definedName name="_3C">#REF!</definedName>
    <definedName name="_3f012_">#REF!</definedName>
    <definedName name="_3F1_">#REF!</definedName>
    <definedName name="_3F3_">#REF!</definedName>
    <definedName name="_3H">#REF!</definedName>
    <definedName name="_3J">#REF!</definedName>
    <definedName name="_3M">#REF!</definedName>
    <definedName name="_3M3_" hidden="1">{"'MODIFY &amp; REPARE '!$B$1:$S$27"}</definedName>
    <definedName name="_3S">#REF!</definedName>
    <definedName name="_4">#REF!</definedName>
    <definedName name="_4_????" hidden="1">{#N/A,#N/A,TRUE,"????-1";#N/A,#N/A,TRUE,"????-2";#N/A,#N/A,TRUE,"????";#N/A,#N/A,TRUE,"RAC";#N/A,#N/A,TRUE,"PAC ";#N/A,#N/A,TRUE,"????";#N/A,#N/A,TRUE,"????"}</definedName>
    <definedName name="_4_____________________e___u__1">#REF!</definedName>
    <definedName name="_40f30_">#N/A</definedName>
    <definedName name="_41f300_">#REF!</definedName>
    <definedName name="_42f31_">#N/A</definedName>
    <definedName name="_43f310_">#REF!</definedName>
    <definedName name="_44f311_">#REF!</definedName>
    <definedName name="_45f32_">#REF!</definedName>
    <definedName name="_46f323_">#REF!</definedName>
    <definedName name="_47f33_">#REF!</definedName>
    <definedName name="_48f3332_">#REF!</definedName>
    <definedName name="_49f3333_">#REF!</definedName>
    <definedName name="_4C_1">#REF!</definedName>
    <definedName name="_4C_2">#REF!</definedName>
    <definedName name="_4C_3">#REF!</definedName>
    <definedName name="_4e___u__1">#REF!</definedName>
    <definedName name="_4f014_">#REF!</definedName>
    <definedName name="_4F4_">#REF!</definedName>
    <definedName name="_4J">#REF!</definedName>
    <definedName name="_4M">#REF!</definedName>
    <definedName name="_4p7_" hidden="1">{"'MODIFY &amp; REPARE '!$B$1:$S$27"}</definedName>
    <definedName name="_4S">#REF!</definedName>
    <definedName name="_5">#REF!</definedName>
    <definedName name="_5_?????" hidden="1">{#N/A,#N/A,FALSE,"2???";#N/A,#N/A,FALSE,"1???";#N/A,#N/A,FALSE,"3???"}</definedName>
    <definedName name="_5____________________e___u__1">#REF!</definedName>
    <definedName name="_50f34_">#REF!</definedName>
    <definedName name="_51f35_">#REF!</definedName>
    <definedName name="_52f36_">#REF!</definedName>
    <definedName name="_53f37_">#REF!</definedName>
    <definedName name="_54f38_">#REF!</definedName>
    <definedName name="_55f39_">#REF!</definedName>
    <definedName name="_56f4_">#N/A</definedName>
    <definedName name="_57f40_">#REF!</definedName>
    <definedName name="_58f41_">#REF!</definedName>
    <definedName name="_59f42_">#REF!</definedName>
    <definedName name="_5C">#REF!</definedName>
    <definedName name="_5f015_">#REF!</definedName>
    <definedName name="_5J">#REF!</definedName>
    <definedName name="_5M1_">#REF!</definedName>
    <definedName name="_5P8_" hidden="1">{"'MODIFY &amp; REPARE '!$B$1:$S$27"}</definedName>
    <definedName name="_5S">#REF!</definedName>
    <definedName name="_6_??????" hidden="1">{#N/A,#N/A,TRUE,"????-1";#N/A,#N/A,TRUE,"????-2";#N/A,#N/A,TRUE,"????";#N/A,#N/A,TRUE,"RAC";#N/A,#N/A,TRUE,"PAC ";#N/A,#N/A,TRUE,"????";#N/A,#N/A,TRUE,"????"}</definedName>
    <definedName name="_6___________________e___u__1">#REF!</definedName>
    <definedName name="_60f43_">#REF!</definedName>
    <definedName name="_61f44_">#REF!</definedName>
    <definedName name="_62f45_">#REF!</definedName>
    <definedName name="_63f46_">#REF!</definedName>
    <definedName name="_64f47_">#REF!</definedName>
    <definedName name="_65f48_">#REF!</definedName>
    <definedName name="_66f49_">#REF!</definedName>
    <definedName name="_67f5_">#N/A</definedName>
    <definedName name="_68f50_">#REF!</definedName>
    <definedName name="_69f51_">#REF!</definedName>
    <definedName name="_6C">#REF!</definedName>
    <definedName name="_6f10_">#N/A</definedName>
    <definedName name="_6F2_">#REF!</definedName>
    <definedName name="_6M1_">#REF!</definedName>
    <definedName name="_6M2_">#REF!</definedName>
    <definedName name="_6S">#REF!</definedName>
    <definedName name="_7_???????" hidden="1">{#N/A,#N/A,TRUE,"????-1";#N/A,#N/A,TRUE,"????-2";#N/A,#N/A,TRUE,"????";#N/A,#N/A,TRUE,"RAC";#N/A,#N/A,TRUE,"PAC ";#N/A,#N/A,TRUE,"????";#N/A,#N/A,TRUE,"????"}</definedName>
    <definedName name="_7__________________e___u__1">#REF!</definedName>
    <definedName name="_77f59_">#N/A</definedName>
    <definedName name="_78f6_">#N/A</definedName>
    <definedName name="_7f100_">#REF!</definedName>
    <definedName name="_7K1_" hidden="1">{#N/A,#N/A,FALSE,"Sheet1"}</definedName>
    <definedName name="_7M1_">#REF!</definedName>
    <definedName name="_7m150_">OFFSET(#REF!,0,0,COUNTA(OFFSET(#REF!,0,0,999,1)),1)</definedName>
    <definedName name="_7M2_">#REF!</definedName>
    <definedName name="_7M3_">#REF!</definedName>
    <definedName name="_7S">#REF!</definedName>
    <definedName name="_8_????????" hidden="1">{#N/A,#N/A,TRUE,"????-1";#N/A,#N/A,TRUE,"????-2";#N/A,#N/A,TRUE,"????";#N/A,#N/A,TRUE,"RAC";#N/A,#N/A,TRUE,"PAC ";#N/A,#N/A,TRUE,"????";#N/A,#N/A,TRUE,"????"}</definedName>
    <definedName name="_8_________________e___u__1">#REF!</definedName>
    <definedName name="_80f61_">#N/A</definedName>
    <definedName name="_83f64_">#N/A</definedName>
    <definedName name="_86.00A02.140">#REF!</definedName>
    <definedName name="_86f67_">#N/A</definedName>
    <definedName name="_87f68_">#N/A</definedName>
    <definedName name="_89f7_">#N/A</definedName>
    <definedName name="_8f101_">#REF!</definedName>
    <definedName name="_8K1_" hidden="1">{#N/A,#N/A,FALSE,"Sheet1"}</definedName>
    <definedName name="_8m150_">OFFSET(#REF!,0,0,COUNTA(OFFSET(#REF!,0,0,999,1)),1)</definedName>
    <definedName name="_8M3_">#REF!</definedName>
    <definedName name="_8M4_">#REF!</definedName>
    <definedName name="_8S">#REF!</definedName>
    <definedName name="_9">#REF!</definedName>
    <definedName name="_9_????????????" hidden="1">{#N/A,#N/A,TRUE,"????-1";#N/A,#N/A,TRUE,"????-2";#N/A,#N/A,TRUE,"????";#N/A,#N/A,TRUE,"RAC";#N/A,#N/A,TRUE,"PAC ";#N/A,#N/A,TRUE,"????";#N/A,#N/A,TRUE,"????"}</definedName>
    <definedName name="_9________________e___u__1">#REF!</definedName>
    <definedName name="_90f70_">#N/A</definedName>
    <definedName name="_91f71_">#REF!</definedName>
    <definedName name="_92f72_">#REF!</definedName>
    <definedName name="_93f73_">#REF!</definedName>
    <definedName name="_94f74_">#REF!</definedName>
    <definedName name="_95f75_">#REF!</definedName>
    <definedName name="_96.12.30">#REF!</definedName>
    <definedName name="_96f76_">#REF!</definedName>
    <definedName name="_97f77_">#REF!</definedName>
    <definedName name="_98f78_">#REF!</definedName>
    <definedName name="_999" hidden="1">'[3]#REF'!#REF!</definedName>
    <definedName name="_99f8_">#N/A</definedName>
    <definedName name="_9f106_">#REF!</definedName>
    <definedName name="_9F3_">#REF!</definedName>
    <definedName name="_9M2_">#REF!</definedName>
    <definedName name="_9M4_">#REF!</definedName>
    <definedName name="_9Q1_">#REF!</definedName>
    <definedName name="_9S">#REF!</definedName>
    <definedName name="_a">#REF!</definedName>
    <definedName name="_a101">#REF!</definedName>
    <definedName name="_a201">#REF!</definedName>
    <definedName name="_a301">#REF!</definedName>
    <definedName name="_a302">#REF!</definedName>
    <definedName name="_a303">#REF!</definedName>
    <definedName name="_a304">#REF!</definedName>
    <definedName name="_a305">#REF!</definedName>
    <definedName name="_a306">#REF!</definedName>
    <definedName name="_a307">#REF!</definedName>
    <definedName name="_a308">#REF!</definedName>
    <definedName name="_a309">#REF!</definedName>
    <definedName name="_a310">#REF!</definedName>
    <definedName name="_a311">#REF!</definedName>
    <definedName name="_a312">#REF!</definedName>
    <definedName name="_a313">#REF!</definedName>
    <definedName name="_a314">#REF!</definedName>
    <definedName name="_a315">#REF!</definedName>
    <definedName name="_a316">#REF!</definedName>
    <definedName name="_a317">#REF!</definedName>
    <definedName name="_a318">#REF!</definedName>
    <definedName name="_a319">#REF!</definedName>
    <definedName name="_a320">#REF!</definedName>
    <definedName name="_a321">#REF!</definedName>
    <definedName name="_a322">#REF!</definedName>
    <definedName name="_a323">#REF!</definedName>
    <definedName name="_a324">#REF!</definedName>
    <definedName name="_a325">#REF!</definedName>
    <definedName name="_a326">#REF!</definedName>
    <definedName name="_a327">#REF!</definedName>
    <definedName name="_a401">#REF!</definedName>
    <definedName name="_a402">#REF!</definedName>
    <definedName name="_a501">#REF!</definedName>
    <definedName name="_a502">#REF!</definedName>
    <definedName name="_a601">#REF!</definedName>
    <definedName name="_a602">#REF!</definedName>
    <definedName name="_a701">#REF!</definedName>
    <definedName name="_a702">#REF!</definedName>
    <definedName name="_a703">#REF!</definedName>
    <definedName name="_a801">#REF!</definedName>
    <definedName name="_a802">#REF!</definedName>
    <definedName name="_a803">#REF!</definedName>
    <definedName name="_a804">#REF!</definedName>
    <definedName name="_a901">#REF!</definedName>
    <definedName name="_AAA2" hidden="1">{#N/A,#N/A,TRUE,"????-1";#N/A,#N/A,TRUE,"????-2";#N/A,#N/A,TRUE,"????";#N/A,#N/A,TRUE,"RAC";#N/A,#N/A,TRUE,"PAC ";#N/A,#N/A,TRUE,"????";#N/A,#N/A,TRUE,"????"}</definedName>
    <definedName name="_ABC3">#REF!</definedName>
    <definedName name="_acc34250">#REF!</definedName>
    <definedName name="_acc34400">#REF!</definedName>
    <definedName name="_acc34480">#REF!</definedName>
    <definedName name="_acc35300">#REF!</definedName>
    <definedName name="_Acc36170">#REF!</definedName>
    <definedName name="_Acc36250">#REF!</definedName>
    <definedName name="_Acc36420">#REF!</definedName>
    <definedName name="_Acc36470">#REF!</definedName>
    <definedName name="_Acc44100">#REF!</definedName>
    <definedName name="_Acc44110">#REF!</definedName>
    <definedName name="_AdH142">#REF!</definedName>
    <definedName name="_aof2">#REF!</definedName>
    <definedName name="_b101">#REF!</definedName>
    <definedName name="_b102">#REF!</definedName>
    <definedName name="_b201">#REF!</definedName>
    <definedName name="_b202">#REF!</definedName>
    <definedName name="_b203">#REF!</definedName>
    <definedName name="_b301">#REF!</definedName>
    <definedName name="_b302">#REF!</definedName>
    <definedName name="_b401">#REF!</definedName>
    <definedName name="_b402">#REF!</definedName>
    <definedName name="_b403">#REF!</definedName>
    <definedName name="_b404">#REF!</definedName>
    <definedName name="_b501">#REF!</definedName>
    <definedName name="_b502">#REF!</definedName>
    <definedName name="_bom1">#REF!</definedName>
    <definedName name="_C101">#REF!</definedName>
    <definedName name="_C102">#REF!</definedName>
    <definedName name="_c201">#REF!</definedName>
    <definedName name="_c202">#REF!</definedName>
    <definedName name="_c203">#REF!</definedName>
    <definedName name="_c301">#REF!</definedName>
    <definedName name="_c302">#REF!</definedName>
    <definedName name="_c303">#REF!</definedName>
    <definedName name="_c304">#REF!</definedName>
    <definedName name="_c401">#REF!</definedName>
    <definedName name="_c501">#REF!</definedName>
    <definedName name="_c601">#REF!</definedName>
    <definedName name="_c602">#REF!</definedName>
    <definedName name="_c603">#REF!</definedName>
    <definedName name="_c604">#REF!</definedName>
    <definedName name="_c701">#REF!</definedName>
    <definedName name="_c702">#REF!</definedName>
    <definedName name="_c703">#REF!</definedName>
    <definedName name="_c704">#REF!</definedName>
    <definedName name="_c705">#REF!</definedName>
    <definedName name="_c706">#REF!</definedName>
    <definedName name="_c707">#REF!</definedName>
    <definedName name="_c708">#REF!</definedName>
    <definedName name="_c709">#REF!</definedName>
    <definedName name="_c710">#REF!</definedName>
    <definedName name="_c711">#REF!</definedName>
    <definedName name="_c712">#REF!</definedName>
    <definedName name="_c713">#REF!</definedName>
    <definedName name="_c714">#REF!</definedName>
    <definedName name="_c715">#REF!</definedName>
    <definedName name="_c716">#REF!</definedName>
    <definedName name="_c717">#REF!</definedName>
    <definedName name="_c801">#REF!</definedName>
    <definedName name="_c802">#REF!</definedName>
    <definedName name="_c803">#REF!</definedName>
    <definedName name="_c804">#REF!</definedName>
    <definedName name="_CBS1">#N/A</definedName>
    <definedName name="_CUA1">#REF!</definedName>
    <definedName name="_d101">#REF!</definedName>
    <definedName name="_d102">#REF!</definedName>
    <definedName name="_d103">#REF!</definedName>
    <definedName name="_d104">#REF!</definedName>
    <definedName name="_d105">#REF!</definedName>
    <definedName name="_DAT1">#REF!</definedName>
    <definedName name="_DAT10">#REF!</definedName>
    <definedName name="_DAT10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4">#REF!</definedName>
    <definedName name="_DAT5">#REF!</definedName>
    <definedName name="_DAT6">#REF!</definedName>
    <definedName name="_DAT7">#REF!</definedName>
    <definedName name="_DAT8">#REF!</definedName>
    <definedName name="_DAT9">#REF!</definedName>
    <definedName name="_Dec02">#REF!</definedName>
    <definedName name="_DEC12">#REF!</definedName>
    <definedName name="_DEL1">#REF!</definedName>
    <definedName name="_Dist_Bin" hidden="1">#REF!</definedName>
    <definedName name="_Dist_Values" hidden="1">'[3]#REF'!#REF!</definedName>
    <definedName name="_E1" hidden="1">{#N/A,#N/A,TRUE,"매출진척-1";#N/A,#N/A,TRUE,"매출진척-2";#N/A,#N/A,TRUE,"제품실적";#N/A,#N/A,TRUE,"RAC";#N/A,#N/A,TRUE,"PAC ";#N/A,#N/A,TRUE,"재고현황";#N/A,#N/A,TRUE,"공지사항"}</definedName>
    <definedName name="_e101">#REF!</definedName>
    <definedName name="_e102">#REF!</definedName>
    <definedName name="_e103">#REF!</definedName>
    <definedName name="_e104">#REF!</definedName>
    <definedName name="_e201">#REF!</definedName>
    <definedName name="_e202">#REF!</definedName>
    <definedName name="_e203">#REF!</definedName>
    <definedName name="_e204">#REF!</definedName>
    <definedName name="_e3" hidden="1">{"'Broadway ML#4'!$J$7:$N$490"}</definedName>
    <definedName name="_e301">#REF!</definedName>
    <definedName name="_EAT102">#REF!</definedName>
    <definedName name="_EAU1">#REF!</definedName>
    <definedName name="_EAU2">#REF!</definedName>
    <definedName name="_EAU3">#REF!</definedName>
    <definedName name="_ELA2" hidden="1">{#N/A,#N/A,FALSE,"2???";#N/A,#N/A,FALSE,"1???";#N/A,#N/A,FALSE,"3???"}</definedName>
    <definedName name="_EMS753">#REF!</definedName>
    <definedName name="_F1">#REF!</definedName>
    <definedName name="_f101">#REF!</definedName>
    <definedName name="_f102">#REF!</definedName>
    <definedName name="_f103">#REF!</definedName>
    <definedName name="_F2">#REF!</definedName>
    <definedName name="_f201">#REF!</definedName>
    <definedName name="_f202">#REF!</definedName>
    <definedName name="_f203">#REF!</definedName>
    <definedName name="_f204">#REF!</definedName>
    <definedName name="_f205">#REF!</definedName>
    <definedName name="_F3">#REF!</definedName>
    <definedName name="_f301">#REF!</definedName>
    <definedName name="_f302">#REF!</definedName>
    <definedName name="_f303">#REF!</definedName>
    <definedName name="_F4">#REF!</definedName>
    <definedName name="_f401">#REF!</definedName>
    <definedName name="_f402">#REF!</definedName>
    <definedName name="_f501">#REF!</definedName>
    <definedName name="_f601">#REF!</definedName>
    <definedName name="_f701">#REF!</definedName>
    <definedName name="_f702">#REF!</definedName>
    <definedName name="_f703">#REF!</definedName>
    <definedName name="_f704">#REF!</definedName>
    <definedName name="_f801">#REF!</definedName>
    <definedName name="_f802">#REF!</definedName>
    <definedName name="_f803">#REF!</definedName>
    <definedName name="_FF2" hidden="1">{#N/A,#N/A,TRUE,"매출진척-1";#N/A,#N/A,TRUE,"매출진척-2";#N/A,#N/A,TRUE,"제품실적";#N/A,#N/A,TRUE,"RAC";#N/A,#N/A,TRUE,"PAC ";#N/A,#N/A,TRUE,"재고현황";#N/A,#N/A,TRUE,"공지사항"}</definedName>
    <definedName name="_Fill" localSheetId="10" hidden="1">#REF!</definedName>
    <definedName name="_Fill" localSheetId="11" hidden="1">#REF!</definedName>
    <definedName name="_Fill" localSheetId="12" hidden="1">#REF!</definedName>
    <definedName name="_Fill" localSheetId="1" hidden="1">#REF!</definedName>
    <definedName name="_Fill" hidden="1">#REF!</definedName>
    <definedName name="_xlnm._FilterDatabase" localSheetId="9" hidden="1">'PI Summary'!$A$2:$AE$6</definedName>
    <definedName name="_xlnm._FilterDatabase" localSheetId="10" hidden="1">'[4]Issues List'!#REF!</definedName>
    <definedName name="_xlnm._FilterDatabase" localSheetId="11" hidden="1">'[4]Issues List'!#REF!</definedName>
    <definedName name="_xlnm._FilterDatabase" localSheetId="12" hidden="1">'[4]Issues List'!#REF!</definedName>
    <definedName name="_xlnm._FilterDatabase" localSheetId="1" hidden="1">'[4]Issues List'!#REF!</definedName>
    <definedName name="_xlnm._FilterDatabase" hidden="1">'[4]Issues List'!#REF!</definedName>
    <definedName name="_FIN1">#REF!</definedName>
    <definedName name="_FIN2">#REF!</definedName>
    <definedName name="_FYh1">#REF!</definedName>
    <definedName name="_fyh2">#REF!</definedName>
    <definedName name="_GoA1">#N/A</definedName>
    <definedName name="_INJ2">#REF!</definedName>
    <definedName name="_Jan08">#REF!</definedName>
    <definedName name="_jun03" hidden="1">{#N/A,#N/A,FALSE,"Aging Summary";#N/A,#N/A,FALSE,"Ratio Analysis";#N/A,#N/A,FALSE,"Test 120 Day Accts";#N/A,#N/A,FALSE,"Tickmarks"}</definedName>
    <definedName name="_jun08" hidden="1">{#N/A,#N/A,FALSE,"Aging Summary";#N/A,#N/A,FALSE,"Ratio Analysis";#N/A,#N/A,FALSE,"Test 120 Day Accts";#N/A,#N/A,FALSE,"Tickmarks"}</definedName>
    <definedName name="_Key1" localSheetId="10" hidden="1">#REF!</definedName>
    <definedName name="_Key1" localSheetId="11" hidden="1">#REF!</definedName>
    <definedName name="_Key1" localSheetId="12" hidden="1">#REF!</definedName>
    <definedName name="_Key1" localSheetId="1" hidden="1">#REF!</definedName>
    <definedName name="_Key1" hidden="1">#REF!</definedName>
    <definedName name="_Key2" localSheetId="10" hidden="1">#REF!</definedName>
    <definedName name="_Key2" localSheetId="11" hidden="1">#REF!</definedName>
    <definedName name="_Key2" localSheetId="12" hidden="1">#REF!</definedName>
    <definedName name="_Key2" localSheetId="1" hidden="1">#REF!</definedName>
    <definedName name="_Key2" hidden="1">#REF!</definedName>
    <definedName name="_LG2" hidden="1">{#N/A,#N/A,TRUE,"????-1";#N/A,#N/A,TRUE,"????-2";#N/A,#N/A,TRUE,"????";#N/A,#N/A,TRUE,"RAC";#N/A,#N/A,TRUE,"PAC ";#N/A,#N/A,TRUE,"????";#N/A,#N/A,TRUE,"????"}</definedName>
    <definedName name="_LG22" hidden="1">{#N/A,#N/A,TRUE,"????-1";#N/A,#N/A,TRUE,"????-2";#N/A,#N/A,TRUE,"????";#N/A,#N/A,TRUE,"RAC";#N/A,#N/A,TRUE,"PAC ";#N/A,#N/A,TRUE,"????";#N/A,#N/A,TRUE,"????"}</definedName>
    <definedName name="_M1">#REF!</definedName>
    <definedName name="_m12">#REF!</definedName>
    <definedName name="_m150">OFFSET(#REF!,0,0,COUNTA(OFFSET(#REF!,0,0,999,1)),1)</definedName>
    <definedName name="_M2">#REF!</definedName>
    <definedName name="_M3" hidden="1">{"'MODIFY &amp; REPARE '!$B$1:$S$27"}</definedName>
    <definedName name="_M4">#REF!</definedName>
    <definedName name="_MAT1">#REF!</definedName>
    <definedName name="_Mat2">#REF!</definedName>
    <definedName name="_Mat3">#REF!</definedName>
    <definedName name="_Mat4">#REF!</definedName>
    <definedName name="_mb2">"文字方塊 25"</definedName>
    <definedName name="_MC1">#REF!</definedName>
    <definedName name="_mc2">#REF!</definedName>
    <definedName name="_mc3">#REF!</definedName>
    <definedName name="_mc4">#REF!</definedName>
    <definedName name="_mc5">#REF!</definedName>
    <definedName name="_mc6">#REF!</definedName>
    <definedName name="_mc7">#REF!</definedName>
    <definedName name="_mer1">#REF!</definedName>
    <definedName name="_mer2">#REF!</definedName>
    <definedName name="_mk1">#REF!</definedName>
    <definedName name="_MN2">#REF!</definedName>
    <definedName name="_mn271">#REF!</definedName>
    <definedName name="_mth2001">#REF!</definedName>
    <definedName name="_mth2004">#REF!</definedName>
    <definedName name="_mth2007">#REF!</definedName>
    <definedName name="_mth2010">#REF!</definedName>
    <definedName name="_mth9801">#REF!</definedName>
    <definedName name="_mth9804">#REF!</definedName>
    <definedName name="_mth9807">#REF!</definedName>
    <definedName name="_mth9810">#REF!</definedName>
    <definedName name="_mth9901">#REF!</definedName>
    <definedName name="_mth9904">#REF!</definedName>
    <definedName name="_mth9907">#REF!</definedName>
    <definedName name="_mth9910">#REF!</definedName>
    <definedName name="_Mu10">#REF!</definedName>
    <definedName name="_MU100">#REF!</definedName>
    <definedName name="_MU101">#REF!</definedName>
    <definedName name="_Mu11">#REF!</definedName>
    <definedName name="_Mu15">#REF!</definedName>
    <definedName name="_Mu17">#REF!</definedName>
    <definedName name="_Mu18">#REF!</definedName>
    <definedName name="_Mu20">#REF!</definedName>
    <definedName name="_Mu23">#REF!</definedName>
    <definedName name="_Mu24">#REF!</definedName>
    <definedName name="_Mu32">#REF!</definedName>
    <definedName name="_Mu33">#REF!</definedName>
    <definedName name="_Mu34">#REF!</definedName>
    <definedName name="_Mu35">#REF!</definedName>
    <definedName name="_Mu37">#REF!</definedName>
    <definedName name="_Mu38">#REF!</definedName>
    <definedName name="_Mu4">#REF!</definedName>
    <definedName name="_Mu40">#REF!</definedName>
    <definedName name="_Mu41">#REF!</definedName>
    <definedName name="_Mu43">#REF!</definedName>
    <definedName name="_Mu44">#REF!</definedName>
    <definedName name="_Mu46">#REF!</definedName>
    <definedName name="_Mu47">#REF!</definedName>
    <definedName name="_Mu5">#REF!</definedName>
    <definedName name="_Mu51">#REF!</definedName>
    <definedName name="_mu52">#REF!</definedName>
    <definedName name="_MU54">#REF!</definedName>
    <definedName name="_MU55">#REF!</definedName>
    <definedName name="_MU551">#REF!</definedName>
    <definedName name="_MU56">#REF!</definedName>
    <definedName name="_mU57">#REF!</definedName>
    <definedName name="_Mu59">#REF!</definedName>
    <definedName name="_Mu6">#REF!</definedName>
    <definedName name="_Mu64">#REF!</definedName>
    <definedName name="_Mu65">#REF!</definedName>
    <definedName name="_Mu66">#REF!</definedName>
    <definedName name="_Mu67">#REF!</definedName>
    <definedName name="_Mu68">#REF!</definedName>
    <definedName name="_Mu69">#REF!</definedName>
    <definedName name="_Mu70">#REF!</definedName>
    <definedName name="_Mu71">#REF!</definedName>
    <definedName name="_Mu73">#REF!</definedName>
    <definedName name="_MU75">#REF!</definedName>
    <definedName name="_MU76">#REF!</definedName>
    <definedName name="_MU77">#REF!</definedName>
    <definedName name="_MU78">#REF!</definedName>
    <definedName name="_MU79">#REF!</definedName>
    <definedName name="_Mu80">#REF!</definedName>
    <definedName name="_MU81">#REF!</definedName>
    <definedName name="_MU82">#REF!</definedName>
    <definedName name="_MU83">#REF!</definedName>
    <definedName name="_MU84">#REF!</definedName>
    <definedName name="_MU85">#REF!</definedName>
    <definedName name="_MU86">#REF!</definedName>
    <definedName name="_Mu87">#REF!</definedName>
    <definedName name="_Mu88">#REF!</definedName>
    <definedName name="_mU89">#REF!</definedName>
    <definedName name="_mu90">#REF!</definedName>
    <definedName name="_mu92">#REF!</definedName>
    <definedName name="_MU93">#REF!</definedName>
    <definedName name="_MU94">#REF!</definedName>
    <definedName name="_MU95">#REF!</definedName>
    <definedName name="_MU96">#REF!</definedName>
    <definedName name="_MU97">#REF!</definedName>
    <definedName name="_MU98">#REF!</definedName>
    <definedName name="_mu99">#REF!</definedName>
    <definedName name="_MZC300">#REF!</definedName>
    <definedName name="_MZC400">#REF!</definedName>
    <definedName name="_MZC500">#REF!</definedName>
    <definedName name="_MZC800">#REF!</definedName>
    <definedName name="_MZC900">#REF!</definedName>
    <definedName name="_new1">#REF!</definedName>
    <definedName name="_new1205">#REF!</definedName>
    <definedName name="_new2">#REF!</definedName>
    <definedName name="_nr1">#REF!</definedName>
    <definedName name="_nr10">#REF!</definedName>
    <definedName name="_nr100">#REF!</definedName>
    <definedName name="_nr11">#REF!</definedName>
    <definedName name="_nr111">#REF!</definedName>
    <definedName name="_nr12">#REF!</definedName>
    <definedName name="_nr123">#REF!</definedName>
    <definedName name="_nr13">#REF!</definedName>
    <definedName name="_nr14">#REF!</definedName>
    <definedName name="_nr15">#REF!</definedName>
    <definedName name="_nr16">#REF!</definedName>
    <definedName name="_nr17">#REF!</definedName>
    <definedName name="_nr18">#REF!</definedName>
    <definedName name="_nr19">#REF!</definedName>
    <definedName name="_nr2">#REF!</definedName>
    <definedName name="_nr20">#REF!</definedName>
    <definedName name="_nr200">#REF!</definedName>
    <definedName name="_nr21">#REF!</definedName>
    <definedName name="_nr22">#REF!</definedName>
    <definedName name="_nr222">#REF!</definedName>
    <definedName name="_nr23">#REF!</definedName>
    <definedName name="_nr234">#REF!</definedName>
    <definedName name="_nr24">#REF!</definedName>
    <definedName name="_nr3">#REF!</definedName>
    <definedName name="_nr300">#REF!</definedName>
    <definedName name="_nr333">#REF!</definedName>
    <definedName name="_nr345">#REF!</definedName>
    <definedName name="_nr4">#REF!</definedName>
    <definedName name="_nr400">#REF!</definedName>
    <definedName name="_nr444">#REF!</definedName>
    <definedName name="_nr5">#REF!</definedName>
    <definedName name="_nr500">#REF!</definedName>
    <definedName name="_nr555">#REF!</definedName>
    <definedName name="_nr6">#REF!</definedName>
    <definedName name="_nr666">#REF!</definedName>
    <definedName name="_nr7">#REF!</definedName>
    <definedName name="_nr777">#REF!</definedName>
    <definedName name="_nr8">#REF!</definedName>
    <definedName name="_nr9">#REF!</definedName>
    <definedName name="_nr999">#REF!</definedName>
    <definedName name="_ok1">#REF!</definedName>
    <definedName name="_ok2">#REF!</definedName>
    <definedName name="_ok3">#REF!</definedName>
    <definedName name="_ok4" hidden="1">[2]Plbyhalf!$L$134</definedName>
    <definedName name="_ok5" hidden="1">#REF!</definedName>
    <definedName name="_Order1" hidden="1">255</definedName>
    <definedName name="_Order2" hidden="1">0</definedName>
    <definedName name="_OUT1">#REF!</definedName>
    <definedName name="_p">#REF!</definedName>
    <definedName name="_P1">#REF!</definedName>
    <definedName name="_p2">#REF!</definedName>
    <definedName name="_p21" hidden="1">#REF!</definedName>
    <definedName name="_P5">#REF!</definedName>
    <definedName name="_P6">#REF!</definedName>
    <definedName name="_p7" hidden="1">{"'MODIFY &amp; REPARE '!$B$1:$S$27"}</definedName>
    <definedName name="_P8" hidden="1">{"'MODIFY &amp; REPARE '!$B$1:$S$27"}</definedName>
    <definedName name="_Pa2">#REF!</definedName>
    <definedName name="_Pa3">#REF!</definedName>
    <definedName name="_Pa4">#REF!</definedName>
    <definedName name="_Parse_Out" hidden="1">[3]시설이용권명세서!#REF!</definedName>
    <definedName name="_PCB2">#REF!</definedName>
    <definedName name="_PG1">#REF!</definedName>
    <definedName name="_PG2">#REF!</definedName>
    <definedName name="_pg3">#REF!</definedName>
    <definedName name="_pi2">#N/A</definedName>
    <definedName name="_PKG1">#REF!</definedName>
    <definedName name="_PKG10">#REF!</definedName>
    <definedName name="_PKG11">#REF!</definedName>
    <definedName name="_PKG14">#REF!</definedName>
    <definedName name="_PKG15">#REF!</definedName>
    <definedName name="_PKG16">#REF!</definedName>
    <definedName name="_PKG17">#REF!</definedName>
    <definedName name="_PKG18">#REF!</definedName>
    <definedName name="_PKG2">#REF!</definedName>
    <definedName name="_PKG20">#REF!</definedName>
    <definedName name="_PKG23">#REF!</definedName>
    <definedName name="_PKG24">#REF!</definedName>
    <definedName name="_PKG32">#REF!</definedName>
    <definedName name="_PKG33">#REF!</definedName>
    <definedName name="_PKG34">#REF!</definedName>
    <definedName name="_PKG35">#REF!</definedName>
    <definedName name="_PKG37">#REF!</definedName>
    <definedName name="_PKG38">#REF!</definedName>
    <definedName name="_PKG4">#REF!</definedName>
    <definedName name="_PKG40">#REF!</definedName>
    <definedName name="_PKG5">#REF!</definedName>
    <definedName name="_PKG6">#REF!</definedName>
    <definedName name="_Pl01">#REF!</definedName>
    <definedName name="_Pl03">#REF!</definedName>
    <definedName name="_Pl04">#REF!</definedName>
    <definedName name="_Pl05">#REF!</definedName>
    <definedName name="_pp7" hidden="1">{"'MODIFY &amp; REPARE '!$B$1:$S$27"}</definedName>
    <definedName name="_pp8" hidden="1">{"'MODIFY &amp; REPARE '!$B$1:$S$27"}</definedName>
    <definedName name="_ppp">#REF!</definedName>
    <definedName name="_PPP7" hidden="1">{"'MODIFY &amp; REPARE '!$B$1:$S$27"}</definedName>
    <definedName name="_PPP8" hidden="1">{"'MODIFY &amp; REPARE '!$B$1:$S$27"}</definedName>
    <definedName name="_prc1">#REF!</definedName>
    <definedName name="_prc2">#REF!</definedName>
    <definedName name="_prc3">#REF!</definedName>
    <definedName name="_PUR1">#REF!</definedName>
    <definedName name="_PUR2">#REF!</definedName>
    <definedName name="_PUR3">#REF!</definedName>
    <definedName name="_PUR4">#REF!</definedName>
    <definedName name="_PUR5">#REF!</definedName>
    <definedName name="_PUR6">#REF!</definedName>
    <definedName name="_Q1">#REF!</definedName>
    <definedName name="_Q50">#REF!</definedName>
    <definedName name="_QAS1" hidden="1">{"'MODIFY &amp; REPARE '!$B$1:$S$27"}</definedName>
    <definedName name="_QAS2" hidden="1">{"'MODIFY &amp; REPARE '!$B$1:$S$27"}</definedName>
    <definedName name="_QQQ2" hidden="1">{#N/A,#N/A,TRUE,"????-1";#N/A,#N/A,TRUE,"????-2";#N/A,#N/A,TRUE,"????";#N/A,#N/A,TRUE,"RAC";#N/A,#N/A,TRUE,"PAC ";#N/A,#N/A,TRUE,"????";#N/A,#N/A,TRUE,"????"}</definedName>
    <definedName name="_qt1">#REF!</definedName>
    <definedName name="_QUO1">#REF!</definedName>
    <definedName name="_R">#REF!</definedName>
    <definedName name="_R1">#REF!</definedName>
    <definedName name="_R2">#REF!</definedName>
    <definedName name="_R3">#REF!</definedName>
    <definedName name="_R4">#REF!</definedName>
    <definedName name="_R5">#REF!</definedName>
    <definedName name="_R6">#REF!</definedName>
    <definedName name="_R7">#REF!</definedName>
    <definedName name="_Regression_Int" hidden="1">1</definedName>
    <definedName name="_Regression_X" hidden="1">[5]FLASH!#REF!</definedName>
    <definedName name="_RH6">#REF!</definedName>
    <definedName name="_rma01">#REF!</definedName>
    <definedName name="_RRC57">#REF!</definedName>
    <definedName name="_RTY" hidden="1">#REF!</definedName>
    <definedName name="_S">#REF!</definedName>
    <definedName name="_s1" hidden="1">{#N/A,#N/A,TRUE,"매출진척-1";#N/A,#N/A,TRUE,"매출진척-2";#N/A,#N/A,TRUE,"제품실적";#N/A,#N/A,TRUE,"RAC";#N/A,#N/A,TRUE,"PAC ";#N/A,#N/A,TRUE,"재고현황";#N/A,#N/A,TRUE,"공지사항"}</definedName>
    <definedName name="_Sort" localSheetId="10" hidden="1">#REF!</definedName>
    <definedName name="_Sort" localSheetId="11" hidden="1">#REF!</definedName>
    <definedName name="_Sort" localSheetId="12" hidden="1">#REF!</definedName>
    <definedName name="_Sort" localSheetId="1" hidden="1">#REF!</definedName>
    <definedName name="_Sort" hidden="1">#REF!</definedName>
    <definedName name="_Sub1">#REF!</definedName>
    <definedName name="_Sub2">#REF!</definedName>
    <definedName name="_Sub3">#REF!</definedName>
    <definedName name="_Sub4">#REF!</definedName>
    <definedName name="_Sub5">#REF!</definedName>
    <definedName name="_Sub6">#REF!</definedName>
    <definedName name="_T1">#REF!</definedName>
    <definedName name="_TAB2">#REF!</definedName>
    <definedName name="_TAB3">#REF!</definedName>
    <definedName name="_TAB4">#REF!</definedName>
    <definedName name="_TAB7">#REF!</definedName>
    <definedName name="_Table2_In1" hidden="1">'[3]#REF'!#REF!</definedName>
    <definedName name="_Table2_In2" hidden="1">'[3]#REF'!#REF!</definedName>
    <definedName name="_Table2_Out" hidden="1">'[3]#REF'!#REF!</definedName>
    <definedName name="_tc1">#REF!</definedName>
    <definedName name="_tc2">#REF!</definedName>
    <definedName name="_tc3">#REF!</definedName>
    <definedName name="_tc4">#REF!</definedName>
    <definedName name="_tc5">#REF!</definedName>
    <definedName name="_Thk1">#REF!</definedName>
    <definedName name="_TM1">#REF!</definedName>
    <definedName name="_TM10">#REF!</definedName>
    <definedName name="_TM11">#REF!</definedName>
    <definedName name="_TM2">#REF!</definedName>
    <definedName name="_TM3">#REF!</definedName>
    <definedName name="_TM4">#REF!</definedName>
    <definedName name="_TM5">#REF!</definedName>
    <definedName name="_TM6">#REF!</definedName>
    <definedName name="_TM7">#REF!</definedName>
    <definedName name="_TM8">#REF!</definedName>
    <definedName name="_TM9">#REF!</definedName>
    <definedName name="_TMAutoChart11Names" hidden="1">{"Curves","Chart 4","Curves Graphique 4"}</definedName>
    <definedName name="_TMAutoChart11Refs" hidden="1">{"","","'Curves'!$V$3","'Curves'!$W$3","","","","","",""}</definedName>
    <definedName name="_TMAutoChart12Names" hidden="1">{"Curves","Chart 3","Curves Graphique 3"}</definedName>
    <definedName name="_TMAutoChart12Refs" hidden="1">{"","","'Curves'!$C$55","'Curves'!$D$55","","","","","",""}</definedName>
    <definedName name="_TMAutoChart13Names" hidden="1">{"Curves","Chart 2","Curves Graphique 2"}</definedName>
    <definedName name="_TMAutoChart13Refs" hidden="1">{"","","'Curves'!$V$3","'Curves'!$W$3","","","","","",""}</definedName>
    <definedName name="_TMAutoChart14Names" hidden="1">{"Curves","Chart 1","Curves Graphique 1"}</definedName>
    <definedName name="_TMAutoChart14Refs" hidden="1">{"","","'Curves'!$C$55","'Curves'!$D$55","","","","","",""}</definedName>
    <definedName name="_TMAutoChart15Names" hidden="1">{"Curves","Chart 4","Curves Graphique 4"}</definedName>
    <definedName name="_TMAutoChart15Refs" hidden="1">{"","","'Curves'!$V$3","'Curves'!$W$3","","","","","",""}</definedName>
    <definedName name="_TMAutoChart16Names" hidden="1">{"Curves","Chart 3","Curves Graphique 3"}</definedName>
    <definedName name="_TMAutoChart16Refs" hidden="1">{"","","'Curves'!$V$4","'Curves'!$W$4","","","","","",""}</definedName>
    <definedName name="_TMAutoChart17Names" hidden="1">{"Curves","Chart 2","Curves Graphique 2"}</definedName>
    <definedName name="_TMAutoChart17Refs" hidden="1">{"","","'Curves'!$V$3","'Curves'!$W$3","","","","","",""}</definedName>
    <definedName name="_TMAutoChart18Names" hidden="1">{"Curves","Chart 1","Curves Graphique 1"}</definedName>
    <definedName name="_TMAutoChart18Refs" hidden="1">{"","","'Curves'!$V$4","'Curves'!$W$4","","","","","",""}</definedName>
    <definedName name="_TMAutoChart19Names" hidden="1">{"Curves","Chart 3","Curves Graphique 3"}</definedName>
    <definedName name="_TMAutoChart19Refs" hidden="1">{"","","'Curves'!$W$8","'Curves'!$X$8","","","","","",""}</definedName>
    <definedName name="_TMAutoChart20Names" hidden="1">{"Curves","Chart 4","Curves Graphique 4"}</definedName>
    <definedName name="_TMAutoChart20Refs" hidden="1">{"","","'Curves'!$W$11","'Curves'!$X$11","","","","","",""}</definedName>
    <definedName name="_TMAutoChart21Names" hidden="1">{"Curves","Chart 2","Curves Graphique 2"}</definedName>
    <definedName name="_TMAutoChart21Refs" hidden="1">{"","","'Curves'!$W$10","'Curves'!$X$10","","","","","",""}</definedName>
    <definedName name="_TMAutoChart22Names" hidden="1">{"Curves","Chart 1","Curves Graphique 1"}</definedName>
    <definedName name="_TMAutoChart22Refs" hidden="1">{"","","'Curves'!$W$7","'Curves'!$X$7","","","","","",""}</definedName>
    <definedName name="_TMAutoChart23Names" hidden="1">{"Curves","Chart 3","Curves Graphique 3"}</definedName>
    <definedName name="_TMAutoChart23Refs" hidden="1">{"","","'Curves'!$W$8","'Curves'!$X$8","","","","","",""}</definedName>
    <definedName name="_TMAutoChart24Names" hidden="1">{"Curves","Chart 4","Curves Graphique 4"}</definedName>
    <definedName name="_TMAutoChart24Refs" hidden="1">{"","","'Curves'!$W$12","'Curves'!$X$12","","","","","",""}</definedName>
    <definedName name="_TMAutoChart25Names" hidden="1">{"Curves","Chart 2","Curves Graphique 2"}</definedName>
    <definedName name="_TMAutoChart25Refs" hidden="1">{"","","'Curves'!$W$11","'Curves'!$X$11","","","","","",""}</definedName>
    <definedName name="_TMAutoChart26Names" hidden="1">{"Curves","Chart 1","Curves Graphique 1"}</definedName>
    <definedName name="_TMAutoChart26Refs" hidden="1">{"","","'Curves'!$W$7","'Curves'!$X$7","","","","","",""}</definedName>
    <definedName name="_TMAutoChart7Names" hidden="1">{"Curves","Chart 4","Curves Graphique 4"}</definedName>
    <definedName name="_TMAutoChart7Refs" hidden="1">{"","","'Curves'!$E$55","'Curves'!$F$55","","","","","",""}</definedName>
    <definedName name="_TMAutoChart8Names" hidden="1">{"Curves","Chart 2","Curves Graphique 2"}</definedName>
    <definedName name="_TMAutoChart8Refs" hidden="1">{"","","'Curves'!$E$55","'Curves'!$F$55","","","","","",""}</definedName>
    <definedName name="_TMAutoChartCount" hidden="1">26</definedName>
    <definedName name="_tt2">#REF!</definedName>
    <definedName name="_tt3">#REF!</definedName>
    <definedName name="_TT7">#REF!</definedName>
    <definedName name="_tth1">#REF!</definedName>
    <definedName name="_tth2">#REF!</definedName>
    <definedName name="_uv3000">#REF!</definedName>
    <definedName name="_vv271">#REF!</definedName>
    <definedName name="_W1">#REF!</definedName>
    <definedName name="_w12" hidden="1">{"'Broadway ML#4'!$J$7:$N$490"}</definedName>
    <definedName name="_WAS1">#REF!</definedName>
    <definedName name="_win1">#REF!</definedName>
    <definedName name="_win12">#REF!</definedName>
    <definedName name="_WIN2">#REF!</definedName>
    <definedName name="_win4">#REF!</definedName>
    <definedName name="_win5">#REF!</definedName>
    <definedName name="_wk1">#REF!</definedName>
    <definedName name="_wk2">#REF!</definedName>
    <definedName name="_wk3">#REF!</definedName>
    <definedName name="_wk4">#REF!</definedName>
    <definedName name="_ww4">#REF!</definedName>
    <definedName name="_ww6">#REF!</definedName>
    <definedName name="_Z">#REF!</definedName>
    <definedName name="★" hidden="1">{#VALUE!,#N/A,TRUE,0;#N/A,#N/A,TRUE,0;#N/A,#N/A,TRUE,0;#N/A,#N/A,0,0;#N/A,#N/A,TRUE,0;#N/A,#N/A,TRUE,0;#N/A,#N/A,TRUE,0}</definedName>
    <definedName name="A">#REF!</definedName>
    <definedName name="a___0">#REF!</definedName>
    <definedName name="A_123">#REF!</definedName>
    <definedName name="A_1a">#REF!</definedName>
    <definedName name="A_1A_BT3.0">#REF!</definedName>
    <definedName name="A_1B_BT3.0">#REF!</definedName>
    <definedName name="a1.">#REF!</definedName>
    <definedName name="a110t">OFFSET(#REF!,0,0,COUNTA(OFFSET(#REF!,0,0,999,1)),1)</definedName>
    <definedName name="a160t">OFFSET(#REF!,0,0,COUNTA(OFFSET(#REF!,0,0,999,1)),1)</definedName>
    <definedName name="A167A163">#REF!</definedName>
    <definedName name="A1Tétra">#REF!</definedName>
    <definedName name="A1Tétra_C1">#REF!</definedName>
    <definedName name="A1Tétra_C2">#REF!</definedName>
    <definedName name="A1Tri">#REF!</definedName>
    <definedName name="A1Tri_C1">#REF!</definedName>
    <definedName name="A1Tri_C2">#REF!</definedName>
    <definedName name="A1VigiTétra">#REF!</definedName>
    <definedName name="A1VigiTétra_C1">#REF!</definedName>
    <definedName name="A1VigiTétra_C2">#REF!</definedName>
    <definedName name="A1VigiTri">#REF!</definedName>
    <definedName name="A1VigiTri_C1">#REF!</definedName>
    <definedName name="A1VigiTri_C2">#REF!</definedName>
    <definedName name="a200t">OFFSET(#REF!,0,0,COUNTA(OFFSET(#REF!,0,0,999,1)),1)</definedName>
    <definedName name="a250t">OFFSET(#REF!,0,0,COUNTA(OFFSET(#REF!,0,0,999,1)),1)</definedName>
    <definedName name="A2Adv">#REF!</definedName>
    <definedName name="A2Adv_C1">#REF!</definedName>
    <definedName name="A2HP">#REF!</definedName>
    <definedName name="A2HP_C1">#REF!</definedName>
    <definedName name="A2HP_C2">#REF!</definedName>
    <definedName name="A2LC">#REF!</definedName>
    <definedName name="A2LC_C1">#REF!</definedName>
    <definedName name="a300t">OFFSET(#REF!,0,0,COUNTA(OFFSET(#REF!,0,0,999,1)),1)</definedName>
    <definedName name="A3Tétra">#REF!</definedName>
    <definedName name="A3Tétra_C1">#REF!</definedName>
    <definedName name="A3Tétra_C2">#REF!</definedName>
    <definedName name="A3Tri">#REF!</definedName>
    <definedName name="A3Tri_C1">#REF!</definedName>
    <definedName name="A3Tri_C2">#REF!</definedName>
    <definedName name="A3VigiTétra">#REF!</definedName>
    <definedName name="A3VigiTétra_C1">#REF!</definedName>
    <definedName name="A3VigiTétra_C2">#REF!</definedName>
    <definedName name="A3VigiTri">#REF!</definedName>
    <definedName name="A3VigiTri_C1">#REF!</definedName>
    <definedName name="A3VigiTri_C2">#REF!</definedName>
    <definedName name="a60t">OFFSET(#REF!,0,0,COUNTA(OFFSET(#REF!,0,0,999,1)),1)</definedName>
    <definedName name="aa">#REF!</definedName>
    <definedName name="aaa" hidden="1">{"'MODIFY &amp; REPARE '!$B$1:$S$27"}</definedName>
    <definedName name="aaaaa">1-#REF!</definedName>
    <definedName name="aaaaaa" hidden="1">{"'MODIFY &amp; REPARE '!$B$1:$S$27"}</definedName>
    <definedName name="aaaaaaa">#REF!</definedName>
    <definedName name="AAAAAAAA">#REF!</definedName>
    <definedName name="aaaaaaaaa" hidden="1">{"'Broadway ML#4'!$J$7:$N$490"}</definedName>
    <definedName name="aaaaaaaaaaaaaa">#REF!</definedName>
    <definedName name="aaaaaaaaaaaaaaaaaaaaaaaaaaaaaaa" hidden="1">{"'Broadway ML#4'!$J$7:$N$490"}</definedName>
    <definedName name="aaaaaab">#REF!</definedName>
    <definedName name="aabbbb">#REF!</definedName>
    <definedName name="aaln">#REF!</definedName>
    <definedName name="AAPL" hidden="1">{"'Individual Tooling Cost'!$B$3:$O$6"}</definedName>
    <definedName name="AAPL_2" hidden="1">{"'Individual Tooling Cost'!$B$3:$O$6"}</definedName>
    <definedName name="AAPL_3" hidden="1">{"'Individual Tooling Cost'!$B$3:$O$6"}</definedName>
    <definedName name="AAPL_4" hidden="1">{"'Individual Tooling Cost'!$B$3:$O$6"}</definedName>
    <definedName name="AAPL_5" hidden="1">{"'Individual Tooling Cost'!$B$3:$O$6"}</definedName>
    <definedName name="AAUG">#REF!</definedName>
    <definedName name="ab">#REF!</definedName>
    <definedName name="abc">#REF!</definedName>
    <definedName name="abcde">#REF!</definedName>
    <definedName name="abcdefggg">#REF!</definedName>
    <definedName name="abd">#REF!</definedName>
    <definedName name="abee">#REF!</definedName>
    <definedName name="abmp">#REF!</definedName>
    <definedName name="AbnormalCost">#REF!</definedName>
    <definedName name="aboi">#REF!</definedName>
    <definedName name="abop">#REF!</definedName>
    <definedName name="abpp">#REF!</definedName>
    <definedName name="abs">#REF!</definedName>
    <definedName name="ac">#REF!</definedName>
    <definedName name="acc">#REF!</definedName>
    <definedName name="Accessoires">#REF!</definedName>
    <definedName name="Accessoires_Total">#REF!</definedName>
    <definedName name="AccessoryFCST">#REF!</definedName>
    <definedName name="AccessoryShift">#REF!</definedName>
    <definedName name="AccessorySTD">#REF!</definedName>
    <definedName name="account_Policy">#REF!</definedName>
    <definedName name="Account_Policy_Score">#REF!</definedName>
    <definedName name="account_policy_total">#REF!</definedName>
    <definedName name="account_Policy_W">#REF!</definedName>
    <definedName name="ace">#REF!</definedName>
    <definedName name="Acer_Incorporated">#REF!</definedName>
    <definedName name="acier">#REF!</definedName>
    <definedName name="actCap">#REF!</definedName>
    <definedName name="actEVA">#REF!</definedName>
    <definedName name="activecodes">#REF!</definedName>
    <definedName name="actOP">#REF!</definedName>
    <definedName name="actOth">#REF!</definedName>
    <definedName name="actRev">#REF!</definedName>
    <definedName name="ACTUALITZACIO">#REF!</definedName>
    <definedName name="ad">#REF!</definedName>
    <definedName name="ADEC">#REF!</definedName>
    <definedName name="advkdvndklv">#REF!</definedName>
    <definedName name="ae">#REF!</definedName>
    <definedName name="AEB">#REF!</definedName>
    <definedName name="AEBCEStamping">#REF!</definedName>
    <definedName name="AEBRequestor">#REF!</definedName>
    <definedName name="aez">#REF!</definedName>
    <definedName name="af">#REF!</definedName>
    <definedName name="afd">#REF!</definedName>
    <definedName name="afd_1">#REF!</definedName>
    <definedName name="AFEB">#REF!</definedName>
    <definedName name="affiliates">#REF!</definedName>
    <definedName name="AFill" hidden="1">[6]IA1!$E$7:$W$7</definedName>
    <definedName name="afkaljfla">#REF!</definedName>
    <definedName name="afz">#REF!</definedName>
    <definedName name="ag">#REF!</definedName>
    <definedName name="ah">#REF!</definedName>
    <definedName name="ahaha">#REF!</definedName>
    <definedName name="ai">#REF!</definedName>
    <definedName name="AIHmain">#REF!</definedName>
    <definedName name="AIHMB">"文字方塊 11"</definedName>
    <definedName name="AJAN">#REF!</definedName>
    <definedName name="aji" hidden="1">{"'Broadway ML#4'!$J$7:$N$490"}</definedName>
    <definedName name="AJUL">#REF!</definedName>
    <definedName name="AJUN">#REF!</definedName>
    <definedName name="ak">#REF!</definedName>
    <definedName name="al">#REF!</definedName>
    <definedName name="all">#REF!</definedName>
    <definedName name="Allen">#REF!</definedName>
    <definedName name="Allocation">#REF!</definedName>
    <definedName name="Allocation_Score">#REF!</definedName>
    <definedName name="Allocation_Total">#REF!</definedName>
    <definedName name="Allocation_W">#REF!</definedName>
    <definedName name="allonso">#REF!</definedName>
    <definedName name="ALLOWANCE">#REF!</definedName>
    <definedName name="Alonso">#REF!</definedName>
    <definedName name="Alternative_packaging">#REF!</definedName>
    <definedName name="AM">#REF!</definedName>
    <definedName name="AMAR">#REF!</definedName>
    <definedName name="AMAY">#REF!</definedName>
    <definedName name="AMBIENT">25</definedName>
    <definedName name="amd">#REF!</definedName>
    <definedName name="AMDEC">#REF!</definedName>
    <definedName name="aml">#REF!</definedName>
    <definedName name="AMS">#REF!</definedName>
    <definedName name="Amtek_Czech">#REF!</definedName>
    <definedName name="Amtek_France">#REF!</definedName>
    <definedName name="amy">#REF!</definedName>
    <definedName name="an">#REF!</definedName>
    <definedName name="Ana" hidden="1">#REF!</definedName>
    <definedName name="Anah">#REF!</definedName>
    <definedName name="Anah_1">#REF!</definedName>
    <definedName name="Anah_2">#REF!</definedName>
    <definedName name="Anah_3">#REF!</definedName>
    <definedName name="Anah_4">#REF!</definedName>
    <definedName name="anah_j">#REF!</definedName>
    <definedName name="Anah1">#REF!</definedName>
    <definedName name="Anah10">#REF!</definedName>
    <definedName name="Anah2">#REF!</definedName>
    <definedName name="Anah3">#REF!</definedName>
    <definedName name="Anah4">#REF!</definedName>
    <definedName name="Anah5">#REF!</definedName>
    <definedName name="Anah6">#REF!</definedName>
    <definedName name="Anah7">#REF!</definedName>
    <definedName name="Anah8">#REF!</definedName>
    <definedName name="Anah9">#REF!</definedName>
    <definedName name="ani">#REF!</definedName>
    <definedName name="Annualdays">#REF!</definedName>
    <definedName name="AnnualProjectedBusinessCurrent">#REF!</definedName>
    <definedName name="ANOV">#REF!</definedName>
    <definedName name="Answers">#REF!</definedName>
    <definedName name="Answers3">#REF!</definedName>
    <definedName name="Anthony">#REF!,#REF!,#REF!,#REF!,#REF!,#REF!,#REF!,#REF!,#REF!,#REF!</definedName>
    <definedName name="ao">#REF!</definedName>
    <definedName name="AOC" hidden="1">{"","","'Curves'!$E$55","'Curves'!$F$55","","","","","",""}</definedName>
    <definedName name="AOCT">#REF!</definedName>
    <definedName name="apccmrp">#REF!</definedName>
    <definedName name="apccpns">#REF!</definedName>
    <definedName name="APECR">#REF!</definedName>
    <definedName name="APECRRequestor">#REF!</definedName>
    <definedName name="APEF">#REF!</definedName>
    <definedName name="APEFRequestor">#REF!</definedName>
    <definedName name="APR">#REF!</definedName>
    <definedName name="Apr_qty">OFFSET(#REF!,0,0,COUNTA(OFFSET(#REF!,0,0,999,1)),1)</definedName>
    <definedName name="April_2000_Assumptions">#REF!</definedName>
    <definedName name="APS">#REF!</definedName>
    <definedName name="APT">#REF!</definedName>
    <definedName name="APT_REQUESTOR">#REF!</definedName>
    <definedName name="APTRequestor">#REF!</definedName>
    <definedName name="AQ">#N/A</definedName>
    <definedName name="ar">#REF!</definedName>
    <definedName name="ArchIICommon">#REF!</definedName>
    <definedName name="ArchIID">#REF!</definedName>
    <definedName name="ArchIIDIPFA">#REF!</definedName>
    <definedName name="ArchIIForecast">#REF!</definedName>
    <definedName name="ArchIIS">#REF!</definedName>
    <definedName name="ArchIISMT">#REF!</definedName>
    <definedName name="ARCHITECTURAL">#REF!</definedName>
    <definedName name="Area">#REF!</definedName>
    <definedName name="Area_a">#REF!</definedName>
    <definedName name="area1">#REF!</definedName>
    <definedName name="AREA3">#REF!</definedName>
    <definedName name="area4">#REF!</definedName>
    <definedName name="area5">#REF!</definedName>
    <definedName name="AREA6">#REF!</definedName>
    <definedName name="AREA7">#REF!</definedName>
    <definedName name="areas">#REF!</definedName>
    <definedName name="array">#REF!</definedName>
    <definedName name="AS">#REF!</definedName>
    <definedName name="AS2DocOpenMode" hidden="1">"AS2DocumentEdit"</definedName>
    <definedName name="asdfg">#REF!</definedName>
    <definedName name="asdg">#REF!</definedName>
    <definedName name="asdg_1">#REF!</definedName>
    <definedName name="ASEP">#REF!</definedName>
    <definedName name="assd" hidden="1">{#N/A,#N/A,TRUE,"????-1";#N/A,#N/A,TRUE,"????-2";#N/A,#N/A,TRUE,"????";#N/A,#N/A,TRUE,"RAC";#N/A,#N/A,TRUE,"PAC ";#N/A,#N/A,TRUE,"????";#N/A,#N/A,TRUE,"????"}</definedName>
    <definedName name="assd2" hidden="1">{#N/A,#N/A,TRUE,"????-1";#N/A,#N/A,TRUE,"????-2";#N/A,#N/A,TRUE,"????";#N/A,#N/A,TRUE,"RAC";#N/A,#N/A,TRUE,"PAC ";#N/A,#N/A,TRUE,"????";#N/A,#N/A,TRUE,"????"}</definedName>
    <definedName name="Assembly">#REF!</definedName>
    <definedName name="ASSEMBLY_HOURS01">#REF!</definedName>
    <definedName name="ASSEMBLY_HOURS02">#REF!</definedName>
    <definedName name="ASSEMBLY_HOURS03">#REF!</definedName>
    <definedName name="ASSEMBLY_HOURS04">#REF!</definedName>
    <definedName name="ASSEMBLY_HOURS05">#REF!</definedName>
    <definedName name="ASSEMBLY_HOURS06">#REF!</definedName>
    <definedName name="ASSEMBLY_HOURS07">#REF!</definedName>
    <definedName name="ASSEMBLY_HOURS08">#REF!</definedName>
    <definedName name="ASSEMBLY_HOURS09">#REF!</definedName>
    <definedName name="ASSEMBLY_HOURS10">#REF!</definedName>
    <definedName name="ASSEMBLY_HOURS11">#REF!</definedName>
    <definedName name="ASSEMBLY_HOURS12">#REF!</definedName>
    <definedName name="ASSEMBLY_HOURS13">#REF!</definedName>
    <definedName name="ASSEMBLY_HOURS14">#REF!</definedName>
    <definedName name="ASSEMBLY_HOURS15">#REF!</definedName>
    <definedName name="ASSEMBLY_HOURS16">#REF!</definedName>
    <definedName name="ASSEMBLY_HOURS17">#REF!</definedName>
    <definedName name="ASSEMBLY_HOURS18">#REF!</definedName>
    <definedName name="Assign">#REF!,#REF!,#REF!,#REF!</definedName>
    <definedName name="assy">#N/A</definedName>
    <definedName name="ASW" hidden="1">{"'MODIFY &amp; REPARE '!$B$1:$S$27"}</definedName>
    <definedName name="atest">#REF!</definedName>
    <definedName name="AU" hidden="1">{"'sheet(22) (22)'!$A$64:$K$79"}</definedName>
    <definedName name="Audit">#REF!</definedName>
    <definedName name="AUG">#REF!</definedName>
    <definedName name="Aug_qty">OFFSET(#REF!,0,0,COUNTA(OFFSET(#REF!,0,0,999,1)),1)</definedName>
    <definedName name="Autodrive">#REF!</definedName>
    <definedName name="AutoDrive_Score">#REF!</definedName>
    <definedName name="autodrive_total">#REF!</definedName>
    <definedName name="autodrive_W">#REF!</definedName>
    <definedName name="av">#REF!</definedName>
    <definedName name="AVL" hidden="1">{"'Broadway ML#4'!$J$7:$N$490"}</definedName>
    <definedName name="axcascass">#REF!</definedName>
    <definedName name="AXXCX">#REF!</definedName>
    <definedName name="ayy">#REF!</definedName>
    <definedName name="az" hidden="1">{"'Broadway ML#4'!$J$7:$N$490"}</definedName>
    <definedName name="azz">#REF!</definedName>
    <definedName name="b">#REF!</definedName>
    <definedName name="badpns">#REF!</definedName>
    <definedName name="Bal">#REF!</definedName>
    <definedName name="Balance_Sheet">#REF!</definedName>
    <definedName name="BALSHT">#REF!</definedName>
    <definedName name="base">#REF!</definedName>
    <definedName name="base5">#REF!</definedName>
    <definedName name="Bases_Data">#REF!</definedName>
    <definedName name="Battery">#REF!</definedName>
    <definedName name="bb">#REF!</definedName>
    <definedName name="bbb" hidden="1">{"Drawing&amp;Homo.result",#N/A,FALSE,"Greco Hom. and BOM"}</definedName>
    <definedName name="bbb_bbbb">#REF!</definedName>
    <definedName name="bbbbb" hidden="1">{"'Broadway ML#4'!$J$7:$N$490"}</definedName>
    <definedName name="BBHolidayOvertime">#REF!</definedName>
    <definedName name="BBNormalOvertime">#REF!</definedName>
    <definedName name="BBOffline">#REF!</definedName>
    <definedName name="bbrbrtb">#REF!</definedName>
    <definedName name="BBShift">#REF!</definedName>
    <definedName name="BBSTD">#REF!</definedName>
    <definedName name="BBSupportHolidayOvertime">#REF!</definedName>
    <definedName name="BBSupportNormalOvertime">#REF!</definedName>
    <definedName name="BBSupportWeekendOvertime">#REF!</definedName>
    <definedName name="BBWeekendOvertime">#REF!</definedName>
    <definedName name="bdbbbsz">#REF!</definedName>
    <definedName name="bdd">#REF!</definedName>
    <definedName name="bdsvsvsdb">#REF!</definedName>
    <definedName name="BE">#REF!</definedName>
    <definedName name="before">#REF!</definedName>
    <definedName name="Beg_Bal">#REF!</definedName>
    <definedName name="Behaelter">#REF!</definedName>
    <definedName name="Bench_Setup">#REF!</definedName>
    <definedName name="Bench_Setup_Score">#REF!</definedName>
    <definedName name="Bench_Setup_Total">#REF!</definedName>
    <definedName name="Bench_Setup_W">#REF!</definedName>
    <definedName name="best">#REF!</definedName>
    <definedName name="BETA_Signature">#REF!</definedName>
    <definedName name="BETA_Signature_Score">#REF!</definedName>
    <definedName name="BETA_Signature_Total">#REF!</definedName>
    <definedName name="Beta_Signature_W">#REF!</definedName>
    <definedName name="BETTY">#REF!</definedName>
    <definedName name="beuy">#REF!</definedName>
    <definedName name="BEZEL" hidden="1">{"'MODIFY &amp; REPARE '!$B$1:$S$27"}</definedName>
    <definedName name="bf">#REF!</definedName>
    <definedName name="bfc">#REF!</definedName>
    <definedName name="bfd">#REF!</definedName>
    <definedName name="bfdbgnmu">#REF!</definedName>
    <definedName name="bfebree">#REF!</definedName>
    <definedName name="bff" hidden="1">{"'Broadway ML#4'!$J$7:$N$490"}</definedName>
    <definedName name="bgbg">#REF!</definedName>
    <definedName name="bgt" hidden="1">{"'Broadway ML#4'!$J$7:$N$490"}</definedName>
    <definedName name="bgt_1803">#REF!</definedName>
    <definedName name="bgt_1804">#REF!</definedName>
    <definedName name="bgt_1805">#REF!</definedName>
    <definedName name="bgt_1806">#REF!</definedName>
    <definedName name="bgt_1807">#REF!</definedName>
    <definedName name="bgt_1808">#REF!</definedName>
    <definedName name="bgt_1809">#REF!</definedName>
    <definedName name="bgt_1810">#REF!</definedName>
    <definedName name="bgt_1811">#REF!</definedName>
    <definedName name="bgt_1812">#REF!</definedName>
    <definedName name="bgt_1901">#REF!</definedName>
    <definedName name="bgt_1902">#REF!</definedName>
    <definedName name="bgt_1903">#REF!</definedName>
    <definedName name="bgt_1904">#REF!</definedName>
    <definedName name="bgt_1905">#REF!</definedName>
    <definedName name="bgt_1906">#REF!</definedName>
    <definedName name="bgtstgxvv">#REF!</definedName>
    <definedName name="BHGGJHJGJH">#REF!</definedName>
    <definedName name="bhgty" hidden="1">{"'Broadway ML#4'!$J$7:$N$490"}</definedName>
    <definedName name="BID">#REF!</definedName>
    <definedName name="BIGPRINT">#REF!</definedName>
    <definedName name="bin">#REF!</definedName>
    <definedName name="BIOS">#REF!</definedName>
    <definedName name="BIOS_DATE">#REF!</definedName>
    <definedName name="BJ">#REF!</definedName>
    <definedName name="blank">#REF!</definedName>
    <definedName name="BLDG">#REF!</definedName>
    <definedName name="BLDG_1">#REF!</definedName>
    <definedName name="BLDGIMP">#REF!</definedName>
    <definedName name="BLDGIMP_1">#REF!</definedName>
    <definedName name="BLDGREV">#REF!</definedName>
    <definedName name="BLDGREV_1">#REF!</definedName>
    <definedName name="BLLIST">#REF!</definedName>
    <definedName name="bm">#REF!</definedName>
    <definedName name="BM_1">#REF!</definedName>
    <definedName name="BMUP">#REF!</definedName>
    <definedName name="bnjjhjh">#REF!</definedName>
    <definedName name="bnkvsdjbkvb">#REF!</definedName>
    <definedName name="bnm">#REF!</definedName>
    <definedName name="BOARDS">#REF!</definedName>
    <definedName name="bobines_LX1_K">#REF!</definedName>
    <definedName name="bobines_LX1_K_Total">#REF!</definedName>
    <definedName name="Bom_cost">#REF!</definedName>
    <definedName name="BOMF_1">#REF!</definedName>
    <definedName name="BookingRate">#REF!</definedName>
    <definedName name="Boolean">#REF!</definedName>
    <definedName name="Borrow_Material">#REF!</definedName>
    <definedName name="Borrow_Material_Question">#REF!</definedName>
    <definedName name="Borrow_Material_Score">#REF!</definedName>
    <definedName name="Borrow_Material_Total">#REF!</definedName>
    <definedName name="Borrow_Material_W">#REF!</definedName>
    <definedName name="BottomRow">#REF!</definedName>
    <definedName name="boxa">#REF!</definedName>
    <definedName name="boxb">#REF!</definedName>
    <definedName name="boxc">#REF!</definedName>
    <definedName name="boxd">#REF!</definedName>
    <definedName name="boxe">#REF!</definedName>
    <definedName name="boxf">#REF!</definedName>
    <definedName name="boxg">#REF!</definedName>
    <definedName name="boxh">#REF!</definedName>
    <definedName name="boxi">#REF!</definedName>
    <definedName name="boxj">#REF!</definedName>
    <definedName name="boxk">#REF!</definedName>
    <definedName name="boxl">#REF!</definedName>
    <definedName name="boxm">#REF!</definedName>
    <definedName name="boxn">#REF!</definedName>
    <definedName name="boxo">#REF!</definedName>
    <definedName name="boxp">#REF!</definedName>
    <definedName name="boxq">#REF!</definedName>
    <definedName name="boxr">#REF!</definedName>
    <definedName name="boxs">#REF!</definedName>
    <definedName name="boxt">#REF!</definedName>
    <definedName name="boxu">#REF!</definedName>
    <definedName name="boxv">#REF!</definedName>
    <definedName name="boxw">#REF!</definedName>
    <definedName name="bp">#REF!</definedName>
    <definedName name="bpd">#REF!</definedName>
    <definedName name="Br">#REF!</definedName>
    <definedName name="Brenneman_Cost_Reduction">#REF!</definedName>
    <definedName name="Brenneman_Ext_Cost">#REF!</definedName>
    <definedName name="Brenneman_Reduction_Percentage">#REF!</definedName>
    <definedName name="brtbb">#REF!</definedName>
    <definedName name="brtbrbr">#REF!</definedName>
    <definedName name="BS">#REF!</definedName>
    <definedName name="BSHT">#REF!</definedName>
    <definedName name="BSO">#REF!</definedName>
    <definedName name="btrbtbnmuu">#REF!</definedName>
    <definedName name="bu">#REF!</definedName>
    <definedName name="BUD_BS">#REF!</definedName>
    <definedName name="BUDGET">#REF!</definedName>
    <definedName name="Budget_Year">#REF!</definedName>
    <definedName name="Build">#REF!</definedName>
    <definedName name="BuiltIn_AutoFilter___10">#REF!</definedName>
    <definedName name="BuiltIn_AutoFilter___2">#REF!</definedName>
    <definedName name="BuiltIn_AutoFilter___3">#REF!</definedName>
    <definedName name="BuiltIn_AutoFilter___5">#REF!</definedName>
    <definedName name="BuiltIn_AutoFilter___7">#REF!</definedName>
    <definedName name="BuiltIn_Database___0">#REF!</definedName>
    <definedName name="Bust">#REF!</definedName>
    <definedName name="buuk" hidden="1">{#N/A,#N/A,FALSE,"Aging Summary";#N/A,#N/A,FALSE,"Ratio Analysis";#N/A,#N/A,FALSE,"Test 120 Day Accts";#N/A,#N/A,FALSE,"Tickmarks"}</definedName>
    <definedName name="bvbdjhdvjh">#REF!</definedName>
    <definedName name="bvcxzxcvb">#REF!</definedName>
    <definedName name="bvrthjbvc">#REF!</definedName>
    <definedName name="bvuuii">#REF!</definedName>
    <definedName name="BX">#REF!</definedName>
    <definedName name="c.">#REF!</definedName>
    <definedName name="C_">#REF!</definedName>
    <definedName name="C_1A">#REF!</definedName>
    <definedName name="C_1D">#REF!</definedName>
    <definedName name="C_1G">#REF!</definedName>
    <definedName name="C_6E">#REF!</definedName>
    <definedName name="C_8B">#REF!</definedName>
    <definedName name="CA">#REF!</definedName>
    <definedName name="CA2DN">#REF!</definedName>
    <definedName name="cable">#REF!</definedName>
    <definedName name="CABLE_1">#REF!</definedName>
    <definedName name="cac">#REF!</definedName>
    <definedName name="caca">#REF!</definedName>
    <definedName name="cad">#REF!</definedName>
    <definedName name="CAD_Tools">#REF!</definedName>
    <definedName name="cae">#REF!</definedName>
    <definedName name="caez">#REF!</definedName>
    <definedName name="caf">#REF!</definedName>
    <definedName name="cafz">#REF!</definedName>
    <definedName name="cag">#REF!</definedName>
    <definedName name="cah">#REF!</definedName>
    <definedName name="cai">#REF!</definedName>
    <definedName name="caj">#REF!</definedName>
    <definedName name="CAJE">#N/A</definedName>
    <definedName name="cak">#REF!</definedName>
    <definedName name="cal">#REF!</definedName>
    <definedName name="CALC">#REF!</definedName>
    <definedName name="Calificado">#REF!</definedName>
    <definedName name="Calificado_1">#REF!</definedName>
    <definedName name="Calificado_2">#REF!</definedName>
    <definedName name="caln">#REF!</definedName>
    <definedName name="calz">#REF!</definedName>
    <definedName name="cam">#REF!</definedName>
    <definedName name="can">#REF!</definedName>
    <definedName name="CANAN1" hidden="1">{"'Individual Tooling Cost'!$B$3:$O$6"}</definedName>
    <definedName name="cao">#REF!</definedName>
    <definedName name="CapabilityQuestions">#REF!</definedName>
    <definedName name="CAPEX2" hidden="1">{"one (KEY)",#N/A,FALSE,"P&amp;L"}</definedName>
    <definedName name="cAppControler" hidden="1">"BDCCV"</definedName>
    <definedName name="cAppDomain" hidden="1">"Produits"</definedName>
    <definedName name="cAppDomaine" hidden="1">"IFC"</definedName>
    <definedName name="cAppSheetPwd" hidden="1">"schneiderbdccv"</definedName>
    <definedName name="cAppVersion" hidden="1">"Version 1.2 04-Sept-2008 18h58"</definedName>
    <definedName name="Capri">#REF!</definedName>
    <definedName name="Capture.Capture">#N/A</definedName>
    <definedName name="card_moh">#REF!</definedName>
    <definedName name="CardMOH2">#REF!</definedName>
    <definedName name="Carlin2">#REF!</definedName>
    <definedName name="Carlinmay">#REF!</definedName>
    <definedName name="CART">#REF!</definedName>
    <definedName name="CARTAA">#REF!</definedName>
    <definedName name="CARTCC">#REF!</definedName>
    <definedName name="CARTDD">#REF!</definedName>
    <definedName name="CARTNN">#REF!</definedName>
    <definedName name="carty">#REF!</definedName>
    <definedName name="CASE">#REF!</definedName>
    <definedName name="CASH">#REF!</definedName>
    <definedName name="Cash_Borrowings">#REF!</definedName>
    <definedName name="Cashflow">#REF!</definedName>
    <definedName name="CAST">#REF!</definedName>
    <definedName name="CAT">#REF!</definedName>
    <definedName name="Category">#REF!</definedName>
    <definedName name="cav">#REF!</definedName>
    <definedName name="Cav_No">#REF!</definedName>
    <definedName name="Cavities">#REF!</definedName>
    <definedName name="Cavity">#REF!</definedName>
    <definedName name="cayy">#REF!</definedName>
    <definedName name="cb">#REF!</definedName>
    <definedName name="CB_05PJR">#REF!</definedName>
    <definedName name="CB_2X378">#REF!</definedName>
    <definedName name="CB_32NCC">#REF!</definedName>
    <definedName name="CB_5504D">#REF!</definedName>
    <definedName name="CB_9410W">#REF!</definedName>
    <definedName name="cba">#REF!</definedName>
    <definedName name="CBAssembly">#REF!</definedName>
    <definedName name="cbc">#REF!</definedName>
    <definedName name="CBChoice">#REF!</definedName>
    <definedName name="CBD_306329">#REF!</definedName>
    <definedName name="CBHeader">#REF!</definedName>
    <definedName name="CBHParentNumber">#REF!</definedName>
    <definedName name="CBone">#REF!</definedName>
    <definedName name="CBone_Test">#REF!</definedName>
    <definedName name="Cbone_Test_Total">#REF!</definedName>
    <definedName name="CBone_Test_W">#REF!</definedName>
    <definedName name="CBone_W">#REF!</definedName>
    <definedName name="CBParts">#REF!</definedName>
    <definedName name="CBplastic">#REF!</definedName>
    <definedName name="CBS">#N/A</definedName>
    <definedName name="CBSprings">#REF!</definedName>
    <definedName name="CBstamping">#REF!</definedName>
    <definedName name="CBZamak">#REF!</definedName>
    <definedName name="cc">#REF!</definedName>
    <definedName name="CCa">#REF!</definedName>
    <definedName name="ccc">1-#REF!</definedName>
    <definedName name="ccccccccccc" hidden="1">{"one (KEY)",#N/A,FALSE,"P&amp;L"}</definedName>
    <definedName name="ccecec">#REF!</definedName>
    <definedName name="CCL_Electro_Mechanics">#REF!</definedName>
    <definedName name="CCL_Electronics">#REF!</definedName>
    <definedName name="CCL_Non_Ferrous_Transformation">#REF!</definedName>
    <definedName name="CCL_Plastics_Transformation">#REF!</definedName>
    <definedName name="CCL_Specific_Materials">#REF!</definedName>
    <definedName name="CCL_Steel_Transformation">#REF!</definedName>
    <definedName name="ccqwccccc">#REF!</definedName>
    <definedName name="ccwecwcwecewc">#REF!</definedName>
    <definedName name="cd">#REF!</definedName>
    <definedName name="cec">#REF!</definedName>
    <definedName name="cecwcwecwe">#REF!</definedName>
    <definedName name="cee">#REF!</definedName>
    <definedName name="CellContents">#REF!</definedName>
    <definedName name="CER">#REF!</definedName>
    <definedName name="Cert">#REF!</definedName>
    <definedName name="Cert_Clear">#REF!</definedName>
    <definedName name="CertHCT">#REF!</definedName>
    <definedName name="CertHCTT">#REF!</definedName>
    <definedName name="CertMac">#REF!</definedName>
    <definedName name="CertMacT">#REF!</definedName>
    <definedName name="CertT">#REF!</definedName>
    <definedName name="cewcwcwec">#REF!</definedName>
    <definedName name="cewcwecewc">#REF!</definedName>
    <definedName name="cewcwecwec">#REF!</definedName>
    <definedName name="cewecwecwecwe">#REF!</definedName>
    <definedName name="CF">#REF!</definedName>
    <definedName name="CFCFC">#REF!</definedName>
    <definedName name="CFCHGCGH">#REF!</definedName>
    <definedName name="CFFCVV">#REF!</definedName>
    <definedName name="cfmc">#REF!</definedName>
    <definedName name="CFVJH">#REF!</definedName>
    <definedName name="cg">#REF!</definedName>
    <definedName name="cgx">#REF!</definedName>
    <definedName name="Channel_Type">#REF!</definedName>
    <definedName name="ChargeFunction">#REF!</definedName>
    <definedName name="check">#REF!</definedName>
    <definedName name="checking">#REF!</definedName>
    <definedName name="CHECKLIST">#REF!</definedName>
    <definedName name="checklistdescription">#REF!</definedName>
    <definedName name="Chid">#REF!</definedName>
    <definedName name="Chit">#REF!</definedName>
    <definedName name="ChoiceProcess">#REF!</definedName>
    <definedName name="Christmas">#REF!</definedName>
    <definedName name="Cht_Y_Values">OFFSET(#REF!,1,0,COUNT(#REF!),1)</definedName>
    <definedName name="Cht_Y_ValuesII">OFFSET(#REF!,1,0,COUNT(#REF!),1)</definedName>
    <definedName name="Cht_Y1_Values">OFFSET(#REF!,1,0,COUNT(#REF!),1)</definedName>
    <definedName name="Chuck">#REF!</definedName>
    <definedName name="CI">#REF!</definedName>
    <definedName name="cikd">#REF!</definedName>
    <definedName name="cikt">#REF!</definedName>
    <definedName name="CIQWBGuid" hidden="1">"2cd8126d-26c3-430c-b7fa-a069e3a1fc62"</definedName>
    <definedName name="circle">#REF!</definedName>
    <definedName name="Circulation_document">#REF!</definedName>
    <definedName name="citizen">#REF!</definedName>
    <definedName name="CIVIL">#REF!</definedName>
    <definedName name="CJE">#REF!</definedName>
    <definedName name="Class">#REF!</definedName>
    <definedName name="CNC_MACH_HOURS01">#REF!</definedName>
    <definedName name="CNC_MACH_HOURS02">#REF!</definedName>
    <definedName name="CNC_MACH_HOURS03">#REF!</definedName>
    <definedName name="CNC_MACH_HOURS04">#REF!</definedName>
    <definedName name="CNC_MACH_HOURS05">#REF!</definedName>
    <definedName name="CNC_MACH_HOURS06">#REF!</definedName>
    <definedName name="CNC_MACH_HOURS07">#REF!</definedName>
    <definedName name="CNC_MACH_HOURS08">#REF!</definedName>
    <definedName name="CNC_MACH_HOURS09">#REF!</definedName>
    <definedName name="CNC_MACH_HOURS10">#REF!</definedName>
    <definedName name="CNC_MACH_HOURS11">#REF!</definedName>
    <definedName name="CNC_MACH_HOURS12">#REF!</definedName>
    <definedName name="CNC_MACH_HOURS13">#REF!</definedName>
    <definedName name="CNC_MACH_HOURS14">#REF!</definedName>
    <definedName name="CNC_MACH_HOURS15">#REF!</definedName>
    <definedName name="CNC_MACH_HOURS16">#REF!</definedName>
    <definedName name="CNC_MACH_HOURS17">#REF!</definedName>
    <definedName name="CNC_MACH_HOURS18">#REF!</definedName>
    <definedName name="CNC_PROGRAMMING_HOURS01">#REF!</definedName>
    <definedName name="CNC_PROGRAMMING_HOURS02">#REF!</definedName>
    <definedName name="CNC_PROGRAMMING_HOURS03">#REF!</definedName>
    <definedName name="CNC_PROGRAMMING_HOURS04">#REF!</definedName>
    <definedName name="CNC_PROGRAMMING_HOURS05">#REF!</definedName>
    <definedName name="CNC_PROGRAMMING_HOURS06">#REF!</definedName>
    <definedName name="CNC_PROGRAMMING_HOURS07">#REF!</definedName>
    <definedName name="CNC_PROGRAMMING_HOURS08">#REF!</definedName>
    <definedName name="CNC_PROGRAMMING_HOURS09">#REF!</definedName>
    <definedName name="CNC_PROGRAMMING_HOURS10">#REF!</definedName>
    <definedName name="CNC_PROGRAMMING_HOURS11">#REF!</definedName>
    <definedName name="CNC_PROGRAMMING_HOURS12">#REF!</definedName>
    <definedName name="CNC_PROGRAMMING_HOURS13">#REF!</definedName>
    <definedName name="CNC_PROGRAMMING_HOURS14">#REF!</definedName>
    <definedName name="CNC_PROGRAMMING_HOURS15">#REF!</definedName>
    <definedName name="CNC_PROGRAMMING_HOURS16">#REF!</definedName>
    <definedName name="CNC_PROGRAMMING_HOURS17">#REF!</definedName>
    <definedName name="CNC_PROGRAMMING_HOURS18">#REF!</definedName>
    <definedName name="COA" hidden="1">{"MONTHPLAN",#N/A,FALSE,"DETAIL REPORT";"MONTHPRIOR",#N/A,FALSE,"DETAIL REPORT";"YTDPLAN",#N/A,FALSE,"DETAIL REPORT";"YTDPRIOR",#N/A,FALSE,"DETAIL REPORT"}</definedName>
    <definedName name="CODE">#REF!</definedName>
    <definedName name="com">#REF!</definedName>
    <definedName name="ComEAU1Qty">#REF!</definedName>
    <definedName name="ComEAU2Qty">#REF!</definedName>
    <definedName name="ComEAU3Qty">#REF!</definedName>
    <definedName name="ComEAU4Qty">#REF!</definedName>
    <definedName name="ComEAU5Qty">#REF!</definedName>
    <definedName name="COMENTARI">#REF!</definedName>
    <definedName name="CommitValue">#REF!</definedName>
    <definedName name="CommodityClassification">#REF!</definedName>
    <definedName name="Common">#REF!</definedName>
    <definedName name="COMP">#REF!</definedName>
    <definedName name="COMP_1">#REF!</definedName>
    <definedName name="COMPANY">#REF!</definedName>
    <definedName name="Company_names">#REF!</definedName>
    <definedName name="COMPONENT">#REF!</definedName>
    <definedName name="component_list">#REF!</definedName>
    <definedName name="components">#REF!</definedName>
    <definedName name="ConBoneR">#REF!</definedName>
    <definedName name="ConBoneR_W">#REF!</definedName>
    <definedName name="ConditioningNotes">#REF!</definedName>
    <definedName name="Confidential">#REF!</definedName>
    <definedName name="Config.">#REF!</definedName>
    <definedName name="conformidad">#REF!</definedName>
    <definedName name="ConsoleBBShift">#REF!</definedName>
    <definedName name="ConsoleFCST">#REF!</definedName>
    <definedName name="ConsolePCBAShift">#REF!</definedName>
    <definedName name="Consolidation">#REF!</definedName>
    <definedName name="consumertotal1">#REF!</definedName>
    <definedName name="consumertotal2">#REF!</definedName>
    <definedName name="Contacts">#REF!</definedName>
    <definedName name="Container">#REF!</definedName>
    <definedName name="Container_Table">#REF!</definedName>
    <definedName name="Continue">#REF!</definedName>
    <definedName name="Continue_Education">#REF!</definedName>
    <definedName name="Continue_Education_Score">#REF!</definedName>
    <definedName name="Continue_Education_Total">#REF!</definedName>
    <definedName name="Continue_Education_W">#REF!</definedName>
    <definedName name="Control_Type">#REF!</definedName>
    <definedName name="CONTROLLER_DATAENTRY">"Q-1!$A$1"</definedName>
    <definedName name="CONTROLLERFDOPTION.VIEWABLE_RANGE_LRC.">"PL03!$A$1"</definedName>
    <definedName name="CONTROLLERFDOPTION.VIEWABLE_RANGE_LRC.3130303A3134">"A1"</definedName>
    <definedName name="CONTROLLERFDOPTION.VIEWABLE_RANGE_ULC.">"PL03!$A$1"</definedName>
    <definedName name="CONTROLLERFDOPTION.VIEWABLE_RANGE_ULC.343A34">"A1"</definedName>
    <definedName name="coo">#REF!</definedName>
    <definedName name="COPY" hidden="1">{"'Broadway ML#4'!$J$7:$N$490"}</definedName>
    <definedName name="COPY_IC_TABLE">#REF!</definedName>
    <definedName name="COPYIC">#REF!</definedName>
    <definedName name="COST">#REF!</definedName>
    <definedName name="cost_Bom">#REF!</definedName>
    <definedName name="cost1230">#REF!</definedName>
    <definedName name="Cost2">#REF!</definedName>
    <definedName name="CostDate">#REF!</definedName>
    <definedName name="CostItemType">#REF!</definedName>
    <definedName name="CostTable">#REF!</definedName>
    <definedName name="COUNT">#REF!</definedName>
    <definedName name="COUNT_1">#REF!</definedName>
    <definedName name="country">#REF!</definedName>
    <definedName name="CP">#REF!</definedName>
    <definedName name="CPL">#N/A</definedName>
    <definedName name="CPLD">#REF!</definedName>
    <definedName name="CPN">#REF!</definedName>
    <definedName name="CPU">#REF!</definedName>
    <definedName name="cr_bud_nt">#REF!</definedName>
    <definedName name="CRECOVERABLE">#REF!</definedName>
    <definedName name="_xlnm.Criteria">#REF!</definedName>
    <definedName name="Criteria_Attached_Entity">#REF!</definedName>
    <definedName name="Criteria_Currency">#REF!</definedName>
    <definedName name="Criteria_Entity">#REF!</definedName>
    <definedName name="Criteria_Input_Reports">#REF!,#REF!,#REF!,#REF!</definedName>
    <definedName name="Criteria_Modules">#REF!</definedName>
    <definedName name="Criteria_Month">#REF!</definedName>
    <definedName name="Criteria_Partners">#REF!</definedName>
    <definedName name="Criteria_Partners_HG">#REF!</definedName>
    <definedName name="Criteria_Partners_IG">#REF!</definedName>
    <definedName name="Criteria_Phase">#REF!</definedName>
    <definedName name="Criteria_Reports_budget">#REF!</definedName>
    <definedName name="Criteria_Reports_Display">#REF!</definedName>
    <definedName name="Criteria_Reports_Input">#REF!</definedName>
    <definedName name="Criteria_Screen_Budget">#REF!</definedName>
    <definedName name="Criteria_Screen_Budget_Conso">#REF!</definedName>
    <definedName name="Criteria_Screen_Budget_SaisieConso">#REF!</definedName>
    <definedName name="Criteria_Screen_Display">#REF!</definedName>
    <definedName name="Criteria_Screen_Display_Conso">#REF!</definedName>
    <definedName name="Criteria_Screen_Display_SaisieConso">#REF!</definedName>
    <definedName name="Criteria_Screen_Input">#REF!</definedName>
    <definedName name="Criteria_Screen_Input_Base">#REF!</definedName>
    <definedName name="Criteria_Screen_Input_Conso">#REF!</definedName>
    <definedName name="Criteria_Screen_Input_SaisieConso">#REF!</definedName>
    <definedName name="Criteria_Year">#REF!</definedName>
    <definedName name="CS">#REF!</definedName>
    <definedName name="Cst_Kg">#REF!</definedName>
    <definedName name="Ctn">#REF!</definedName>
    <definedName name="Ctn_Typ">#REF!</definedName>
    <definedName name="CtnTyp">#REF!</definedName>
    <definedName name="CTYPE">#REF!</definedName>
    <definedName name="CTYPEAA">#REF!</definedName>
    <definedName name="CTYPEBB">#REF!</definedName>
    <definedName name="CTYPECC">#REF!</definedName>
    <definedName name="CTYPEDD">#REF!</definedName>
    <definedName name="ctypey">#REF!</definedName>
    <definedName name="CU">#REF!</definedName>
    <definedName name="cuivre">#REF!</definedName>
    <definedName name="cur">#REF!</definedName>
    <definedName name="curr_select">#REF!</definedName>
    <definedName name="CurrCost">#REF!</definedName>
    <definedName name="CurrCost_1">#REF!</definedName>
    <definedName name="CurrCost1">#REF!</definedName>
    <definedName name="currency">#REF!</definedName>
    <definedName name="currency_rate">#REF!</definedName>
    <definedName name="currentchklistrev">#REF!</definedName>
    <definedName name="CUST">#REF!</definedName>
    <definedName name="CUSTOB">#REF!</definedName>
    <definedName name="Customer">#REF!</definedName>
    <definedName name="Customer_service">#REF!</definedName>
    <definedName name="CustomerFind">#REF!</definedName>
    <definedName name="CustomerNotes">#REF!</definedName>
    <definedName name="CUSTOMM">#REF!</definedName>
    <definedName name="CUSTON">#REF!</definedName>
    <definedName name="CUSTONH">#REF!</definedName>
    <definedName name="Cut_Blank">#REF!</definedName>
    <definedName name="cvbn">#REF!</definedName>
    <definedName name="cvc" hidden="1">{"'Broadway ML#4'!$J$7:$N$490"}</definedName>
    <definedName name="cvjnkvvikv">#REF!</definedName>
    <definedName name="cwcc">#REF!</definedName>
    <definedName name="cwccecc">#REF!</definedName>
    <definedName name="Cy">#REF!</definedName>
    <definedName name="Cycle_Time">#REF!</definedName>
    <definedName name="CYCLETIME">#REF!</definedName>
    <definedName name="czz" hidden="1">{"'Broadway ML#4'!$J$7:$N$490"}</definedName>
    <definedName name="D">#REF!</definedName>
    <definedName name="D_1A">#REF!</definedName>
    <definedName name="d_factor">OFFSET(#REF!,0,0,COUNTA(OFFSET(#REF!,0,0,999,1)),1)</definedName>
    <definedName name="D_HW_Document">#REF!</definedName>
    <definedName name="D11__20">#REF!</definedName>
    <definedName name="D11__20_Total">#REF!</definedName>
    <definedName name="d5e">#REF!</definedName>
    <definedName name="da">#REF!</definedName>
    <definedName name="daaaaaaaaaaaaaaaaaaaaaaaa">#REF!</definedName>
    <definedName name="DAISY">#REF!</definedName>
    <definedName name="Dana">#REF!</definedName>
    <definedName name="DanScore">#REF!</definedName>
    <definedName name="DASF">#REF!</definedName>
    <definedName name="Dashboard">#REF!</definedName>
    <definedName name="dashboard2">#REF!</definedName>
    <definedName name="DAT">#REF!</definedName>
    <definedName name="DAT_1">#REF!</definedName>
    <definedName name="data">#REF!</definedName>
    <definedName name="data1">#REF!</definedName>
    <definedName name="data25">#REF!</definedName>
    <definedName name="data28">#REF!</definedName>
    <definedName name="data29">#REF!</definedName>
    <definedName name="_xlnm.Database">#REF!</definedName>
    <definedName name="database1">#REF!</definedName>
    <definedName name="datar">#REF!</definedName>
    <definedName name="dataref">#REF!</definedName>
    <definedName name="date">#REF!</definedName>
    <definedName name="Date_Offer">#REF!</definedName>
    <definedName name="Date_Req">#REF!</definedName>
    <definedName name="DateJour">#REF!</definedName>
    <definedName name="Datenbereich">#REF!</definedName>
    <definedName name="Datenbereich1">#REF!</definedName>
    <definedName name="DateOfReport">#REF!</definedName>
    <definedName name="datref">#REF!</definedName>
    <definedName name="dattta" hidden="1">{"Drawing&amp;Homo.result",#N/A,FALSE,"Greco Hom. and BOM"}</definedName>
    <definedName name="day">#REF!</definedName>
    <definedName name="DAYS">#REF!</definedName>
    <definedName name="dc">#REF!</definedName>
    <definedName name="dcmc">#REF!</definedName>
    <definedName name="DD">#REF!</definedName>
    <definedName name="DDA">#REF!</definedName>
    <definedName name="DDA_1">#REF!</definedName>
    <definedName name="ddafdf">#REF!</definedName>
    <definedName name="ddc">#REF!</definedName>
    <definedName name="ddd">#REF!</definedName>
    <definedName name="dddd" hidden="1">{"'MODIFY &amp; REPARE '!$B$1:$S$27"}</definedName>
    <definedName name="DDDDDD" hidden="1">{"'MODIFY &amp; REPARE '!$B$1:$S$27"}</definedName>
    <definedName name="ddddddd" hidden="1">{"one (KEY)",#N/A,FALSE,"P&amp;L"}</definedName>
    <definedName name="dddew">#REF!</definedName>
    <definedName name="de">#REF!</definedName>
    <definedName name="DEBUG_HOURS01">#REF!</definedName>
    <definedName name="DEBUG_HOURS02">#REF!</definedName>
    <definedName name="DEBUG_HOURS03">#REF!</definedName>
    <definedName name="DEBUG_HOURS04">#REF!</definedName>
    <definedName name="DEBUG_HOURS05">#REF!</definedName>
    <definedName name="DEBUG_HOURS06">#REF!</definedName>
    <definedName name="DEBUG_HOURS07">#REF!</definedName>
    <definedName name="DEBUG_HOURS08">#REF!</definedName>
    <definedName name="DEBUG_HOURS09">#REF!</definedName>
    <definedName name="DEBUG_HOURS10">#REF!</definedName>
    <definedName name="DEBUG_HOURS11">#REF!</definedName>
    <definedName name="DEBUG_HOURS12">#REF!</definedName>
    <definedName name="DEBUG_HOURS13">#REF!</definedName>
    <definedName name="DEBUG_HOURS14">#REF!</definedName>
    <definedName name="DEBUG_HOURS15">#REF!</definedName>
    <definedName name="DEBUG_HOURS16">#REF!</definedName>
    <definedName name="DEBUG_HOURS17">#REF!</definedName>
    <definedName name="DEBUG_HOURS18">#REF!</definedName>
    <definedName name="debut">#REF!</definedName>
    <definedName name="Dec">OFFSET(#REF!,0,0,COUNTA(OFFSET(#REF!,0,0,999,1)),1)</definedName>
    <definedName name="Dec_qty">OFFSET(#REF!,0,0,COUNTA(OFFSET(#REF!,0,0,999,1)),1)</definedName>
    <definedName name="decoupe">#REF!</definedName>
    <definedName name="DefectCatalogue">#REF!</definedName>
    <definedName name="deff">#REF!</definedName>
    <definedName name="dégraissage">#REF!</definedName>
    <definedName name="DEL">#REF!</definedName>
    <definedName name="Del_data">OFFSET(#REF!,0,0,COUNTA(OFFSET(#REF!,0,0,999,1)),8)</definedName>
    <definedName name="DELAA">#REF!</definedName>
    <definedName name="DELAY">#REF!</definedName>
    <definedName name="DELBB">#REF!</definedName>
    <definedName name="DELCC">#REF!</definedName>
    <definedName name="DELDD">#REF!</definedName>
    <definedName name="Delivery_By">#REF!</definedName>
    <definedName name="Delivery_Terms">#REF!</definedName>
    <definedName name="dell">#REF!</definedName>
    <definedName name="DeltCoat">#REF!</definedName>
    <definedName name="DeltCost">#REF!</definedName>
    <definedName name="DeltCost2">#REF!</definedName>
    <definedName name="dely">#REF!</definedName>
    <definedName name="DEMO">#REF!</definedName>
    <definedName name="density">OFFSET(#REF!,0,0,COUNTA(OFFSET(#REF!,0,0,999,1)),1)</definedName>
    <definedName name="dep">#REF!</definedName>
    <definedName name="dep_years">OFFSET(#REF!,0,0,COUNTA(OFFSET(#REF!,0,0,999,1)),1)</definedName>
    <definedName name="Department_Process">#REF!</definedName>
    <definedName name="Department_Process_Score">#REF!</definedName>
    <definedName name="Department_Process_Total">#REF!</definedName>
    <definedName name="Department_Process_W">#REF!</definedName>
    <definedName name="deps">#REF!</definedName>
    <definedName name="der">#REF!</definedName>
    <definedName name="DES">#REF!</definedName>
    <definedName name="Description">#REF!</definedName>
    <definedName name="DESIGN_COST01">#REF!</definedName>
    <definedName name="DESIGN_HOURS01">#REF!</definedName>
    <definedName name="DESIGN_HOURS02">#REF!</definedName>
    <definedName name="DESIGN_HOURS03">#REF!</definedName>
    <definedName name="DESIGN_HOURS04">#REF!</definedName>
    <definedName name="DESIGN_HOURS05">#REF!</definedName>
    <definedName name="DESIGN_HOURS06">#REF!</definedName>
    <definedName name="DESIGN_HOURS07">#REF!</definedName>
    <definedName name="DESIGN_HOURS08">#REF!</definedName>
    <definedName name="DESIGN_HOURS09">#REF!</definedName>
    <definedName name="DESIGN_HOURS10">#REF!</definedName>
    <definedName name="DESIGN_HOURS11">#REF!</definedName>
    <definedName name="DESIGN_HOURS12">#REF!</definedName>
    <definedName name="DESIGN_HOURS13">#REF!</definedName>
    <definedName name="DESIGN_HOURS14">#REF!</definedName>
    <definedName name="DESIGN_HOURS15">#REF!</definedName>
    <definedName name="DESIGN_HOURS16">#REF!</definedName>
    <definedName name="DESIGN_HOURS17">#REF!</definedName>
    <definedName name="DESIGN_HOURS18">#REF!</definedName>
    <definedName name="Desktop_Cert">#REF!</definedName>
    <definedName name="destination">OFFSET(#REF!,0,0,COUNTA(OFFSET(#REF!,0,0,9999,1)),1)</definedName>
    <definedName name="Detail">#REF!</definedName>
    <definedName name="dez">#REF!</definedName>
    <definedName name="df">#REF!</definedName>
    <definedName name="dfbdfbsfvdfbdgwefew">#REF!</definedName>
    <definedName name="dfbmnefweh8ewnfev">#REF!</definedName>
    <definedName name="dfg">#REF!</definedName>
    <definedName name="dfgdf">#REF!</definedName>
    <definedName name="dfgh">#REF!</definedName>
    <definedName name="dfvbvbfvfevev">#REF!</definedName>
    <definedName name="dfvdfnndvkjdav">#REF!</definedName>
    <definedName name="DFX_ST">#REF!</definedName>
    <definedName name="dfz">#REF!</definedName>
    <definedName name="dg">#REF!</definedName>
    <definedName name="dh">#REF!</definedName>
    <definedName name="DHW_Clear">#REF!</definedName>
    <definedName name="DHW_S">#REF!</definedName>
    <definedName name="DHW_T">#REF!</definedName>
    <definedName name="di">#REF!</definedName>
    <definedName name="diamond">#REF!</definedName>
    <definedName name="didr">1-#REF!</definedName>
    <definedName name="didr2">1-#REF!</definedName>
    <definedName name="Dimension_Notes">#REF!</definedName>
    <definedName name="Dimensions_EU">#REF!</definedName>
    <definedName name="Dimensions_Overseas">#REF!</definedName>
    <definedName name="Dimensions_US">#REF!</definedName>
    <definedName name="DIOB">#REF!</definedName>
    <definedName name="DIPHolidayOvertime">#REF!</definedName>
    <definedName name="DIPNormalOvertime">#REF!</definedName>
    <definedName name="DIPShift">#REF!</definedName>
    <definedName name="DIPSTDNew">#REF!</definedName>
    <definedName name="DIPSTDOld">#REF!</definedName>
    <definedName name="DIPSupportHolidayOvertime">#REF!</definedName>
    <definedName name="DIPSupportNormalOvertime">#REF!</definedName>
    <definedName name="DIPSupportWeekendOvertime">#REF!</definedName>
    <definedName name="DIPWeekendOvertime">#REF!</definedName>
    <definedName name="Direct_Cost">#REF!</definedName>
    <definedName name="Disaster">#REF!</definedName>
    <definedName name="Disaster_Score">#REF!</definedName>
    <definedName name="Disaster_Total">#REF!</definedName>
    <definedName name="Disaster_W">#REF!</definedName>
    <definedName name="Disc">#REF!</definedName>
    <definedName name="Discount">#REF!</definedName>
    <definedName name="DISK_MAX_12">1.71</definedName>
    <definedName name="DISK_MAX_5">1.54</definedName>
    <definedName name="Display_Attached_Entity1">#REF!</definedName>
    <definedName name="Display_Attached_Entity2">#REF!</definedName>
    <definedName name="Display_Attached_Entity3">#REF!</definedName>
    <definedName name="Display_Attached_Entity4">#REF!</definedName>
    <definedName name="Display_Attached_Entity5">#REF!</definedName>
    <definedName name="Display_Attached_Entity6">#REF!</definedName>
    <definedName name="Display_Attached_Entity7">#REF!</definedName>
    <definedName name="Display_Attached_Entity8">#REF!</definedName>
    <definedName name="Display_Currency">#REF!</definedName>
    <definedName name="Display_Entity">#REF!</definedName>
    <definedName name="Display_Month">#REF!</definedName>
    <definedName name="Display_Year">#REF!</definedName>
    <definedName name="Disposition_Type">#REF!</definedName>
    <definedName name="DispositionType">#REF!</definedName>
    <definedName name="DispositionTypr">#REF!</definedName>
    <definedName name="dj">#REF!</definedName>
    <definedName name="dk">#REF!</definedName>
    <definedName name="DKLIST">#REF!</definedName>
    <definedName name="dkvdlvnldv">#REF!</definedName>
    <definedName name="dl">#REF!</definedName>
    <definedName name="Dlvy_Cst">#REF!</definedName>
    <definedName name="DLy">#REF!</definedName>
    <definedName name="dm">#REF!</definedName>
    <definedName name="DM_C1">#REF!</definedName>
    <definedName name="DM_C2">#REF!</definedName>
    <definedName name="DM_C3">#REF!</definedName>
    <definedName name="DM_C4">#REF!</definedName>
    <definedName name="DM_C5">#REF!</definedName>
    <definedName name="DM_C6">#REF!</definedName>
    <definedName name="DM_C7">#REF!</definedName>
    <definedName name="DM_C8">#REF!</definedName>
    <definedName name="DM5料件試產進度" localSheetId="10" hidden="1">{#N/A,#N/A,FALSE,"MFI -MIDDLE COVER"}</definedName>
    <definedName name="DM5料件試產進度" localSheetId="11" hidden="1">{#N/A,#N/A,FALSE,"MFI -MIDDLE COVER"}</definedName>
    <definedName name="DM5料件試產進度" localSheetId="12" hidden="1">{#N/A,#N/A,FALSE,"MFI -MIDDLE COVER"}</definedName>
    <definedName name="DM5料件試產進度" localSheetId="1" hidden="1">{#N/A,#N/A,FALSE,"MFI -MIDDLE COVER"}</definedName>
    <definedName name="DM5料件試產進度" hidden="1">{#N/A,#N/A,FALSE,"MFI -MIDDLE COVER"}</definedName>
    <definedName name="DMed_Clear1">#REF!</definedName>
    <definedName name="DMed_Clear2">#REF!</definedName>
    <definedName name="dn">#REF!</definedName>
    <definedName name="dnvdvndv">#REF!</definedName>
    <definedName name="do">#REF!</definedName>
    <definedName name="Documents_array">#REF!</definedName>
    <definedName name="DODA">#REF!</definedName>
    <definedName name="DODA_1">#REF!</definedName>
    <definedName name="DP" hidden="1">{"'Leading KPI'!$A$1:$P$33","'Leading KPI'!$A$1:$P$33"}</definedName>
    <definedName name="DPT">#REF!</definedName>
    <definedName name="DPT_1">#REF!</definedName>
    <definedName name="Drawing_Location">#REF!</definedName>
    <definedName name="drivers">#REF!</definedName>
    <definedName name="Drivers_Package">#REF!</definedName>
    <definedName name="drivers1">#REF!</definedName>
    <definedName name="ds" hidden="1">{"'MODIFY &amp; REPARE '!$B$1:$S$27"}</definedName>
    <definedName name="DSA">#REF!</definedName>
    <definedName name="DSA_1">#REF!</definedName>
    <definedName name="dscvbntre">#REF!</definedName>
    <definedName name="dsfdsfdl">#REF!</definedName>
    <definedName name="dsgd">1-#REF!</definedName>
    <definedName name="dsvrtnmuii.lkjhg">#REF!</definedName>
    <definedName name="DSW_Clear1">#REF!</definedName>
    <definedName name="DSW_Clear2">#REF!</definedName>
    <definedName name="DT_case">#REF!</definedName>
    <definedName name="DT_DIP">#REF!</definedName>
    <definedName name="DT_HW_Device">#REF!</definedName>
    <definedName name="DT_HW_Device_Total">#REF!</definedName>
    <definedName name="DT_HW_Device_W">#REF!</definedName>
    <definedName name="DT_HW_Quanity">#REF!</definedName>
    <definedName name="DT_HW_Quanity_Total">#REF!</definedName>
    <definedName name="DT_HW_Quanity_W">#REF!</definedName>
    <definedName name="DT_Media">#REF!</definedName>
    <definedName name="DT_Media_Man_Score_Total">#REF!</definedName>
    <definedName name="DT_Media_Score_Total">#REF!</definedName>
    <definedName name="DT_Media_Score1">#REF!</definedName>
    <definedName name="DT_Media_Score2">#REF!</definedName>
    <definedName name="DT_Media_W">#REF!</definedName>
    <definedName name="DT_O_Media_Man">#REF!</definedName>
    <definedName name="DT_O_Media_W">#REF!</definedName>
    <definedName name="DT_O_SW">#REF!</definedName>
    <definedName name="DT_O_SW_MC">#REF!</definedName>
    <definedName name="DT_O_SW_Score_Total">#REF!</definedName>
    <definedName name="DT_O_SW_W">#REF!</definedName>
    <definedName name="DT_Phw">#REF!</definedName>
    <definedName name="DT_PHW_Score">#REF!</definedName>
    <definedName name="DT_PHW_Total">#REF!</definedName>
    <definedName name="DT_PHw_W">#REF!</definedName>
    <definedName name="DT_R_SW">#REF!</definedName>
    <definedName name="DT_R_SW_Q">#REF!</definedName>
    <definedName name="DT_R_SW_Q_W">#REF!</definedName>
    <definedName name="DT_R_SW_W">#REF!</definedName>
    <definedName name="DT_Score_Code">#REF!</definedName>
    <definedName name="DT_Score_Code1">#REF!</definedName>
    <definedName name="DT_SMT">#REF!</definedName>
    <definedName name="DT_SW_Quanity_Score_Total">#REF!</definedName>
    <definedName name="DT_SW_Score_Total">#REF!</definedName>
    <definedName name="DT_SW_Score1">#REF!</definedName>
    <definedName name="DT_SW_Score2">#REF!</definedName>
    <definedName name="DT_SW_Score3">#REF!</definedName>
    <definedName name="DV">#REF!</definedName>
    <definedName name="dvdmn">#REF!</definedName>
    <definedName name="dvdvdvdddd">#REF!</definedName>
    <definedName name="DVILStatus">#REF!</definedName>
    <definedName name="DVMQAOwner">#REF!</definedName>
    <definedName name="dvol">1-#REF!</definedName>
    <definedName name="DVRegion">#REF!</definedName>
    <definedName name="DVStatus">#REF!</definedName>
    <definedName name="DVSupplierQualifications">#REF!</definedName>
    <definedName name="dyy">#REF!</definedName>
    <definedName name="dz">#REF!</definedName>
    <definedName name="E">#REF!</definedName>
    <definedName name="e_com">OFFSET(#REF!,0,0,COUNTA(OFFSET(#REF!,0,0,999,1)),1)</definedName>
    <definedName name="EALIST">#REF!</definedName>
    <definedName name="EAU1pricing">#REF!</definedName>
    <definedName name="EAU2pricing">#REF!</definedName>
    <definedName name="EAU3Pricing">#REF!</definedName>
    <definedName name="EAU4Pricing">#REF!</definedName>
    <definedName name="EAU5Pricing">#REF!</definedName>
    <definedName name="EB1_Budget1">#REF!</definedName>
    <definedName name="EBITCOUNTRIES" hidden="1">{#N/A,#N/A,TRUE,"매출진척-1";#N/A,#N/A,TRUE,"매출진척-2";#N/A,#N/A,TRUE,"제품실적";#N/A,#N/A,TRUE,"RAC";#N/A,#N/A,TRUE,"PAC ";#N/A,#N/A,TRUE,"재고현황";#N/A,#N/A,TRUE,"공지사항"}</definedName>
    <definedName name="ECCost">#REF!</definedName>
    <definedName name="ECDate">#REF!</definedName>
    <definedName name="ECFun">#REF!</definedName>
    <definedName name="echge">#REF!</definedName>
    <definedName name="ECWeek">#REF!</definedName>
    <definedName name="ed">#REF!</definedName>
    <definedName name="ee">#REF!</definedName>
    <definedName name="EE_P01">#REF!</definedName>
    <definedName name="EE_P02">#REF!</definedName>
    <definedName name="EE_P03">#REF!</definedName>
    <definedName name="eee">#REF!</definedName>
    <definedName name="EEEEEE">#REF!</definedName>
    <definedName name="eeeeeeeee">#REF!</definedName>
    <definedName name="eeeeeeeeeeeeeeeeee">#REF!</definedName>
    <definedName name="eeeii">#REF!</definedName>
    <definedName name="EF">#REF!</definedName>
    <definedName name="EFFICIENCY">#REF!</definedName>
    <definedName name="efficiency1">#REF!</definedName>
    <definedName name="efrgbsga">#REF!</definedName>
    <definedName name="egewgefwdbd">#REF!</definedName>
    <definedName name="eghhgrfvb">#REF!</definedName>
    <definedName name="Ejection">#REF!</definedName>
    <definedName name="EK">#REF!</definedName>
    <definedName name="ELA" hidden="1">{#N/A,#N/A,FALSE,"2???";#N/A,#N/A,FALSE,"1???";#N/A,#N/A,FALSE,"3???"}</definedName>
    <definedName name="Elect_rate">#REF!</definedName>
    <definedName name="ELECTRICAL">#REF!</definedName>
    <definedName name="Electro_Mechanics">#REF!</definedName>
    <definedName name="Electronics">#REF!</definedName>
    <definedName name="EM_PR_02">#REF!</definedName>
    <definedName name="EM_PR_03">#REF!</definedName>
    <definedName name="EMC_Schedule_mistake" localSheetId="10" hidden="1">'[7]Issues List'!#REF!</definedName>
    <definedName name="EMC_Schedule_mistake" localSheetId="11" hidden="1">'[7]Issues List'!#REF!</definedName>
    <definedName name="EMC_Schedule_mistake" localSheetId="12" hidden="1">'[7]Issues List'!#REF!</definedName>
    <definedName name="EMC_Schedule_mistake" localSheetId="1" hidden="1">'[7]Issues List'!#REF!</definedName>
    <definedName name="EMC_Schedule_mistake" hidden="1">'[7]Issues List'!#REF!</definedName>
    <definedName name="EmptyList">#REF!</definedName>
    <definedName name="EMS753_1">#REF!</definedName>
    <definedName name="END">#REF!</definedName>
    <definedName name="END_1">#REF!</definedName>
    <definedName name="End_Bal">#REF!</definedName>
    <definedName name="EndUseList">#REF!</definedName>
    <definedName name="ENG">#REF!</definedName>
    <definedName name="ENG._COST01">#REF!</definedName>
    <definedName name="ENG._COST02">#REF!</definedName>
    <definedName name="ENG._COST03">#REF!</definedName>
    <definedName name="ENG._COST04">#REF!</definedName>
    <definedName name="ENG._COST05">#REF!</definedName>
    <definedName name="ENG._COST06">#REF!</definedName>
    <definedName name="ENG._COST07">#REF!</definedName>
    <definedName name="ENG._COST08">#REF!</definedName>
    <definedName name="ENG._COST09">#REF!</definedName>
    <definedName name="ENG._COST10">#REF!</definedName>
    <definedName name="ENG._COST11">#REF!</definedName>
    <definedName name="ENG._COST12">#REF!</definedName>
    <definedName name="ENG._COST13">#REF!</definedName>
    <definedName name="ENG._COST14">#REF!</definedName>
    <definedName name="ENG._COST15">#REF!</definedName>
    <definedName name="ENG._COST16">#REF!</definedName>
    <definedName name="ENG._COST17">#REF!</definedName>
    <definedName name="ENG._COST18">#REF!</definedName>
    <definedName name="ENG._COST19">#REF!</definedName>
    <definedName name="ENG._COST20">#REF!</definedName>
    <definedName name="ENG._COST21">#REF!</definedName>
    <definedName name="ENG._COST22">#REF!</definedName>
    <definedName name="ENG._COST23">#REF!</definedName>
    <definedName name="eng_lab">#REF!</definedName>
    <definedName name="Engineering_Services">#REF!</definedName>
    <definedName name="English">#REF!</definedName>
    <definedName name="Enter">#N/A</definedName>
    <definedName name="ENV_Equip">#REF!</definedName>
    <definedName name="ENV_Equip_Cost">#REF!</definedName>
    <definedName name="ENV_Test_Hrs">#REF!</definedName>
    <definedName name="ENV_Test_Items">#REF!</definedName>
    <definedName name="eps" hidden="1">#REF!</definedName>
    <definedName name="eqw">#REF!</definedName>
    <definedName name="ER1_Restitution1">#REF!</definedName>
    <definedName name="ER1_Restitution10">#REF!</definedName>
    <definedName name="ER1_Restitution11">#REF!</definedName>
    <definedName name="ER1_Restitution12">#REF!</definedName>
    <definedName name="ER1_Restitution13">#REF!</definedName>
    <definedName name="ER1_Restitution14">#REF!</definedName>
    <definedName name="ER1_Restitution15">#REF!</definedName>
    <definedName name="ER1_Restitution16">#REF!</definedName>
    <definedName name="ER1_Restitution17">#REF!</definedName>
    <definedName name="ER1_Restitution18">#REF!</definedName>
    <definedName name="ER1_Restitution19">#REF!</definedName>
    <definedName name="ER1_Restitution2">#REF!</definedName>
    <definedName name="ER1_Restitution3">#REF!</definedName>
    <definedName name="ER1_Restitution4">#REF!</definedName>
    <definedName name="ER1_Restitution5">#REF!</definedName>
    <definedName name="ER1_Restitution6">#REF!</definedName>
    <definedName name="ER1_Restitution7">#REF!</definedName>
    <definedName name="ER1_Restitution8">#REF!</definedName>
    <definedName name="ER1_Restitution9">#REF!</definedName>
    <definedName name="ER10_Restitution1">#REF!</definedName>
    <definedName name="ER11_Restitution1">#REF!</definedName>
    <definedName name="ER2_Restitution1">#REF!</definedName>
    <definedName name="ER2_Restitution2">#REF!</definedName>
    <definedName name="ER2_Restitution3">#REF!</definedName>
    <definedName name="ER2_Vider1">#REF!</definedName>
    <definedName name="ER2_Vider2">#REF!</definedName>
    <definedName name="ER2_Vider3">#REF!</definedName>
    <definedName name="ER3_Restitution1">#REF!</definedName>
    <definedName name="ER3_Restitution10">#REF!</definedName>
    <definedName name="ER3_Restitution2">#REF!</definedName>
    <definedName name="ER3_Restitution3">#REF!</definedName>
    <definedName name="ER3_Restitution4">#REF!</definedName>
    <definedName name="ER3_Restitution5">#REF!</definedName>
    <definedName name="ER3_Restitution6">#REF!</definedName>
    <definedName name="ER3_Restitution7">#REF!</definedName>
    <definedName name="ER3_Restitution8">#REF!</definedName>
    <definedName name="ER3_Restitution9">#REF!</definedName>
    <definedName name="ER4_Restitution1">#REF!</definedName>
    <definedName name="ER5_Restitution1">#REF!</definedName>
    <definedName name="ER5_Restitution2">#REF!</definedName>
    <definedName name="ER5_Restitution3">#REF!</definedName>
    <definedName name="ER5_Restitution4">#REF!</definedName>
    <definedName name="ER6_Restitution1">#REF!</definedName>
    <definedName name="ER7_Restitution1">#REF!</definedName>
    <definedName name="ER8_Restitution1">#REF!</definedName>
    <definedName name="ER9_Restitution1">#REF!</definedName>
    <definedName name="Erdley_Baseline">#REF!</definedName>
    <definedName name="Erdley_Cost_Reduction">#REF!</definedName>
    <definedName name="Erdley_Ext_Cost">#REF!</definedName>
    <definedName name="Erdley_Reduction_Percentage">#REF!</definedName>
    <definedName name="erghbqqq">#REF!</definedName>
    <definedName name="Error">#REF!</definedName>
    <definedName name="Error_Report">#REF!</definedName>
    <definedName name="ERTY">#REF!</definedName>
    <definedName name="ervevev">#REF!</definedName>
    <definedName name="erwwsvbn">#REF!</definedName>
    <definedName name="ery">#REF!</definedName>
    <definedName name="ES1_Saisie1">#REF!</definedName>
    <definedName name="ES1_Saisie10">#REF!</definedName>
    <definedName name="ES1_Saisie11">#REF!</definedName>
    <definedName name="ES1_Saisie12">#REF!</definedName>
    <definedName name="ES1_Saisie13">#REF!</definedName>
    <definedName name="ES1_Saisie14">#REF!</definedName>
    <definedName name="ES1_Saisie15">#REF!</definedName>
    <definedName name="ES1_Saisie16">#REF!</definedName>
    <definedName name="ES1_Saisie17">#REF!</definedName>
    <definedName name="ES1_Saisie18">#REF!</definedName>
    <definedName name="ES1_Saisie19">#REF!</definedName>
    <definedName name="ES1_Saisie2">#REF!</definedName>
    <definedName name="ES1_Saisie3">#REF!</definedName>
    <definedName name="ES1_Saisie4">#REF!</definedName>
    <definedName name="ES1_Saisie5">#REF!</definedName>
    <definedName name="ES1_Saisie6">#REF!</definedName>
    <definedName name="ES1_Saisie7">#REF!</definedName>
    <definedName name="ES1_Saisie8">#REF!</definedName>
    <definedName name="ES1_Saisie9">#REF!</definedName>
    <definedName name="ES2_Saisie1">#REF!</definedName>
    <definedName name="ES2_Saisie2">#REF!</definedName>
    <definedName name="Estimators">#REF!</definedName>
    <definedName name="et">#REF!</definedName>
    <definedName name="etrw">#REF!</definedName>
    <definedName name="etrw_1">#REF!</definedName>
    <definedName name="EU">#REF!</definedName>
    <definedName name="Euro">#REF!</definedName>
    <definedName name="Euro_Exch_Rate">#REF!</definedName>
    <definedName name="EV__LASTREFTIME__" hidden="1">38254.8165277778</definedName>
    <definedName name="EVA">#REF!</definedName>
    <definedName name="Excel_3_pic">"Picture 1"</definedName>
    <definedName name="Excel_BuiltIn__FilterDatabase_1">#REF!</definedName>
    <definedName name="Excel_BuiltIn__FilterDatabase_61">#REF!</definedName>
    <definedName name="Excel_BuiltIn__FilterDatabase_62">#REF!</definedName>
    <definedName name="Excel_BuiltIn_Database">#REF!</definedName>
    <definedName name="Excel_BuiltIn_Print_Area_1">#REF!</definedName>
    <definedName name="Excel_BuiltIn_Print_Area_1_3">#REF!</definedName>
    <definedName name="Excel_BuiltIn_Print_Area_4">#REF!</definedName>
    <definedName name="exchange_rate">#REF!</definedName>
    <definedName name="exchge">#REF!</definedName>
    <definedName name="ExRate">#REF!</definedName>
    <definedName name="ExtCost">#REF!</definedName>
    <definedName name="ExtCost_1">#REF!</definedName>
    <definedName name="ExtEAU1Cost">#REF!</definedName>
    <definedName name="ExtEAU2Cost">#REF!</definedName>
    <definedName name="ExtEAU3Cost">#REF!</definedName>
    <definedName name="ExtEAU4Cost">#REF!</definedName>
    <definedName name="ExtEAU5Cost">#REF!</definedName>
    <definedName name="Extended_Test">#REF!</definedName>
    <definedName name="Extended_Test_Score">#REF!</definedName>
    <definedName name="Extended_Test_Total">#REF!</definedName>
    <definedName name="Extended_Test_W">#REF!</definedName>
    <definedName name="Extra_Pay">#REF!</definedName>
    <definedName name="Extrude">#REF!</definedName>
    <definedName name="ez">#REF!</definedName>
    <definedName name="F">#REF!</definedName>
    <definedName name="FA">IF(#REF!="OK",OK_wy,NOK_wy)</definedName>
    <definedName name="FAAA">#REF!</definedName>
    <definedName name="FABB">#REF!</definedName>
    <definedName name="Fabrication_equipment">#REF!</definedName>
    <definedName name="FACC">#REF!</definedName>
    <definedName name="FADD">#REF!</definedName>
    <definedName name="fadz">#REF!</definedName>
    <definedName name="fairequired">#REF!</definedName>
    <definedName name="fajq">#REF!</definedName>
    <definedName name="Famille">#REF!</definedName>
    <definedName name="Family">#REF!</definedName>
    <definedName name="fay">#REF!</definedName>
    <definedName name="fays">#REF!</definedName>
    <definedName name="fb">IF(#REF!="OK",OK_wy,NOK_wy)</definedName>
    <definedName name="fc">#REF!</definedName>
    <definedName name="fct_time">#REF!</definedName>
    <definedName name="fcy">#REF!</definedName>
    <definedName name="fd">#REF!</definedName>
    <definedName name="FDF" hidden="1">{"'MODIFY &amp; REPARE '!$B$1:$S$27"}</definedName>
    <definedName name="fdg">1-#REF!</definedName>
    <definedName name="fdg_1">#REF!</definedName>
    <definedName name="fdsfsdfdsf" localSheetId="10" hidden="1">'[8]Issues List'!#REF!</definedName>
    <definedName name="fdsfsdfdsf" localSheetId="11" hidden="1">'[8]Issues List'!#REF!</definedName>
    <definedName name="fdsfsdfdsf" localSheetId="12" hidden="1">'[8]Issues List'!#REF!</definedName>
    <definedName name="fdsfsdfdsf" localSheetId="1" hidden="1">'[8]Issues List'!#REF!</definedName>
    <definedName name="fdsfsdfdsf" hidden="1">'[8]Issues List'!#REF!</definedName>
    <definedName name="fe">#REF!</definedName>
    <definedName name="FEB">#REF!</definedName>
    <definedName name="Feb_qty">OFFSET(#REF!,0,0,COUNTA(OFFSET(#REF!,0,0,999,1)),1)</definedName>
    <definedName name="fefer" hidden="1">{"'Broadway ML#4'!$J$7:$N$490"}</definedName>
    <definedName name="fefobertertetw" hidden="1">{"'Broadway ML#4'!$J$7:$N$490"}</definedName>
    <definedName name="feuille_list">INDIRECT(#REF!)</definedName>
    <definedName name="fez">#REF!</definedName>
    <definedName name="FF">#REF!</definedName>
    <definedName name="FF_1">#REF!</definedName>
    <definedName name="fff" hidden="1">{"Drawing&amp;Homo.result",#N/A,FALSE,"Greco Hom. and BOM"}</definedName>
    <definedName name="fffdddggg">#REF!</definedName>
    <definedName name="FFFF">#REF!</definedName>
    <definedName name="ffh" hidden="1">{"'Broadway ML#4'!$J$7:$N$490"}</definedName>
    <definedName name="ffjkjhgf">#REF!</definedName>
    <definedName name="FFR">#REF!</definedName>
    <definedName name="ffz">#REF!</definedName>
    <definedName name="fg">#REF!</definedName>
    <definedName name="FGAA">#REF!</definedName>
    <definedName name="FGBB">#REF!</definedName>
    <definedName name="fgbrgmndfhvefuihfvh">#REF!</definedName>
    <definedName name="FGCC">#REF!</definedName>
    <definedName name="FGDD">#REF!</definedName>
    <definedName name="FGFJH">#REF!</definedName>
    <definedName name="fgjh">#REF!</definedName>
    <definedName name="fh">#REF!</definedName>
    <definedName name="FHEMAOQ" hidden="1">{#N/A,#N/A,TRUE,"????-1";#N/A,#N/A,TRUE,"????-2";#N/A,#N/A,TRUE,"????";#N/A,#N/A,TRUE,"RAC";#N/A,#N/A,TRUE,"PAC ";#N/A,#N/A,TRUE,"????";#N/A,#N/A,TRUE,"????"}</definedName>
    <definedName name="fhf" hidden="1">{"'Broadway ML#4'!$J$7:$N$490"}</definedName>
    <definedName name="FI">#REF!</definedName>
    <definedName name="Fig">#REF!</definedName>
    <definedName name="File" hidden="1">{"'MODIFY &amp; REPARE '!$B$1:$S$27"}</definedName>
    <definedName name="FILE_NMBR">#REF!</definedName>
    <definedName name="file2" hidden="1">{"'MODIFY &amp; REPARE '!$B$1:$S$27"}</definedName>
    <definedName name="fill2" hidden="1">#REF!</definedName>
    <definedName name="FilterDatabase_1" hidden="1">'[9]Issues List'!#REF!</definedName>
    <definedName name="FIN">#REF!</definedName>
    <definedName name="FINAA">#REF!</definedName>
    <definedName name="FINBB">#REF!</definedName>
    <definedName name="finc">#REF!</definedName>
    <definedName name="FINCC">#REF!</definedName>
    <definedName name="find">#REF!</definedName>
    <definedName name="FINDD">#REF!</definedName>
    <definedName name="FinDePage">#REF!</definedName>
    <definedName name="finee">#REF!</definedName>
    <definedName name="fineez">#REF!</definedName>
    <definedName name="finf">#REF!</definedName>
    <definedName name="finfz">#REF!</definedName>
    <definedName name="fing">#REF!</definedName>
    <definedName name="finh">#REF!</definedName>
    <definedName name="fini">#REF!</definedName>
    <definedName name="Finish">#REF!</definedName>
    <definedName name="Finish1">#REF!</definedName>
    <definedName name="Finish2">#REF!</definedName>
    <definedName name="Finish3">#REF!</definedName>
    <definedName name="Finish4">#REF!</definedName>
    <definedName name="finishingrequirements">#REF!</definedName>
    <definedName name="finj">#REF!</definedName>
    <definedName name="fink">#REF!</definedName>
    <definedName name="finl">#REF!</definedName>
    <definedName name="finm">#REF!</definedName>
    <definedName name="finn">#REF!</definedName>
    <definedName name="fino">#REF!</definedName>
    <definedName name="FinPageEnvir">#REF!</definedName>
    <definedName name="FinPageEnvr">#REF!</definedName>
    <definedName name="finv">#REF!</definedName>
    <definedName name="finy">#REF!</definedName>
    <definedName name="finyy">#REF!</definedName>
    <definedName name="FINZ">#REF!</definedName>
    <definedName name="finzz">#REF!</definedName>
    <definedName name="FIONA">#REF!</definedName>
    <definedName name="FIRE">#REF!</definedName>
    <definedName name="Five_Cut">#REF!</definedName>
    <definedName name="Fixe_Assets_Tables">#REF!</definedName>
    <definedName name="fj">#REF!</definedName>
    <definedName name="fk">#REF!</definedName>
    <definedName name="fka">#REF!</definedName>
    <definedName name="fl">#REF!</definedName>
    <definedName name="Flex_Workforce">#REF!</definedName>
    <definedName name="Flex_Workforce_Score">#REF!</definedName>
    <definedName name="Flex_WorkForce_Total">#REF!</definedName>
    <definedName name="Flex_Workforce_W">#REF!</definedName>
    <definedName name="flowchart1">#REF!</definedName>
    <definedName name="Flute">#REF!</definedName>
    <definedName name="Flute_Table">#REF!</definedName>
    <definedName name="FLUX">#REF!</definedName>
    <definedName name="fm">#REF!</definedName>
    <definedName name="FMEA">#N/A</definedName>
    <definedName name="fn">#REF!</definedName>
    <definedName name="fo">#REF!</definedName>
    <definedName name="Focus">#REF!</definedName>
    <definedName name="FolderLocation">#REF!</definedName>
    <definedName name="Food">#REF!</definedName>
    <definedName name="for">#REF!</definedName>
    <definedName name="FOREX">#REF!</definedName>
    <definedName name="forex1">#REF!</definedName>
    <definedName name="FORK">#REF!</definedName>
    <definedName name="FORK_1">#REF!</definedName>
    <definedName name="FORMULA">#REF!</definedName>
    <definedName name="Four_Cut">#REF!</definedName>
    <definedName name="Fournisseur">#REF!</definedName>
    <definedName name="FPDno">#REF!</definedName>
    <definedName name="FPDyes">#REF!</definedName>
    <definedName name="fpx">#REF!</definedName>
    <definedName name="FR">#REF!</definedName>
    <definedName name="France">#REF!</definedName>
    <definedName name="FRCC">#REF!</definedName>
    <definedName name="Freight">#REF!</definedName>
    <definedName name="Freight__pc">#REF!</definedName>
    <definedName name="Freight_pc">#REF!</definedName>
    <definedName name="Frem">#REF!</definedName>
    <definedName name="Frem_1">#REF!</definedName>
    <definedName name="Frem1">#REF!</definedName>
    <definedName name="Frem10">#REF!</definedName>
    <definedName name="Frem4">#REF!</definedName>
    <definedName name="Frem5">#REF!</definedName>
    <definedName name="Frem6">#REF!</definedName>
    <definedName name="Frem7">#REF!</definedName>
    <definedName name="Frem8">#REF!</definedName>
    <definedName name="Frem9">#REF!</definedName>
    <definedName name="frequency">#REF!</definedName>
    <definedName name="frfcdr">#REF!</definedName>
    <definedName name="FRT">#REF!</definedName>
    <definedName name="FRTAA">#REF!</definedName>
    <definedName name="FRTBB">#REF!</definedName>
    <definedName name="frtc">#REF!</definedName>
    <definedName name="frtd">#REF!</definedName>
    <definedName name="FRTDD">#REF!</definedName>
    <definedName name="frte">#REF!</definedName>
    <definedName name="frtez">#REF!</definedName>
    <definedName name="frtf">#REF!</definedName>
    <definedName name="frtfz">#REF!</definedName>
    <definedName name="frtg">#REF!</definedName>
    <definedName name="frth">#REF!</definedName>
    <definedName name="frti">#REF!</definedName>
    <definedName name="frtj">#REF!</definedName>
    <definedName name="frtk">#REF!</definedName>
    <definedName name="frtl">#REF!</definedName>
    <definedName name="frtm">#REF!</definedName>
    <definedName name="frtn">#REF!</definedName>
    <definedName name="frto">#REF!</definedName>
    <definedName name="frtv">#REF!</definedName>
    <definedName name="frty">#REF!</definedName>
    <definedName name="frtyy">#REF!</definedName>
    <definedName name="FRTZ">#REF!</definedName>
    <definedName name="frtzz">#REF!</definedName>
    <definedName name="FS">#REF!</definedName>
    <definedName name="FSAA">#REF!</definedName>
    <definedName name="FSBB">#REF!</definedName>
    <definedName name="FSCC">#REF!</definedName>
    <definedName name="FSDD">#REF!</definedName>
    <definedName name="FT">#REF!</definedName>
    <definedName name="FU">#REF!</definedName>
    <definedName name="FUCK" hidden="1">{"'MODIFY &amp; REPARE '!$B$1:$S$27"}</definedName>
    <definedName name="Full_Print">#REF!</definedName>
    <definedName name="Func_test_HPU">#REF!</definedName>
    <definedName name="Functional_Category">#REF!</definedName>
    <definedName name="fund">#REF!</definedName>
    <definedName name="FUSE">#REF!</definedName>
    <definedName name="fv">#REF!</definedName>
    <definedName name="fwefwefv">#REF!</definedName>
    <definedName name="fwefwfwf">#REF!</definedName>
    <definedName name="fx">#REF!</definedName>
    <definedName name="fy">#REF!</definedName>
    <definedName name="fyy">#REF!</definedName>
    <definedName name="fzz">#REF!</definedName>
    <definedName name="G">#REF!</definedName>
    <definedName name="GA">IF(#REF!="OK",OK_wy,NOK_wy)</definedName>
    <definedName name="gabgabgan">#REF!</definedName>
    <definedName name="Gaida_Baseline">#REF!</definedName>
    <definedName name="Gaida_Cost_Reduction">#REF!</definedName>
    <definedName name="Gaida_Ext_Cost">#REF!</definedName>
    <definedName name="Gaida_Reduction_Percentage">#REF!</definedName>
    <definedName name="GanTB">#REF!,#REF!,#REF!,#REF!,#REF!,#REF!,#REF!,#REF!,#REF!,#REF!,#REF!</definedName>
    <definedName name="Gate">#REF!</definedName>
    <definedName name="GB">IF(#REF!="OK",OK_wy,NOK_wy)</definedName>
    <definedName name="gbggg">#REF!</definedName>
    <definedName name="gc">#REF!</definedName>
    <definedName name="gd">#REF!</definedName>
    <definedName name="ge">#REF!</definedName>
    <definedName name="geagbawf">#REF!</definedName>
    <definedName name="General_Requirements">#REF!+#REF!</definedName>
    <definedName name="Gewicht">#REF!</definedName>
    <definedName name="gez">#REF!</definedName>
    <definedName name="gf">#REF!</definedName>
    <definedName name="gf_1">#REF!</definedName>
    <definedName name="gfg" hidden="1">{"'Broadway ML#4'!$J$7:$N$490"}</definedName>
    <definedName name="GFGFYUGJ">#REF!</definedName>
    <definedName name="GFGN">#REF!</definedName>
    <definedName name="GFHICC">#REF!</definedName>
    <definedName name="gfhj">#REF!</definedName>
    <definedName name="GFHJBB">#REF!</definedName>
    <definedName name="GFHJDD">#REF!</definedName>
    <definedName name="gfy">#REF!</definedName>
    <definedName name="gfz">#REF!</definedName>
    <definedName name="GG">#REF!</definedName>
    <definedName name="ggg">#REF!</definedName>
    <definedName name="gggg" hidden="1">{"'MODIFY &amp; REPARE '!$B$1:$S$27"}</definedName>
    <definedName name="gggnvnj">#REF!</definedName>
    <definedName name="ggmnn">#REF!</definedName>
    <definedName name="ggyy">#REF!</definedName>
    <definedName name="gh">#REF!</definedName>
    <definedName name="ghgjhgjghj">#REF!</definedName>
    <definedName name="ghgq">#REF!</definedName>
    <definedName name="ghjgj">#REF!</definedName>
    <definedName name="ghjk">#REF!</definedName>
    <definedName name="gi">#REF!</definedName>
    <definedName name="gj">#REF!</definedName>
    <definedName name="gk">#REF!</definedName>
    <definedName name="gks" hidden="1">{#N/A,#N/A,TRUE,"????-1";#N/A,#N/A,TRUE,"????-2";#N/A,#N/A,TRUE,"????";#N/A,#N/A,TRUE,"RAC";#N/A,#N/A,TRUE,"PAC ";#N/A,#N/A,TRUE,"????";#N/A,#N/A,TRUE,"????"}</definedName>
    <definedName name="gl">#REF!</definedName>
    <definedName name="Glass">#REF!</definedName>
    <definedName name="Global_Test">#REF!</definedName>
    <definedName name="Global_Test_Score">#REF!</definedName>
    <definedName name="Global_Test_Total">#REF!</definedName>
    <definedName name="Global_Test_W">#REF!</definedName>
    <definedName name="gm">#REF!</definedName>
    <definedName name="GM_1240">#REF!</definedName>
    <definedName name="gn">#REF!</definedName>
    <definedName name="go">#REF!</definedName>
    <definedName name="goal">#REF!</definedName>
    <definedName name="GPRS">#REF!</definedName>
    <definedName name="GPRS_Score">#REF!</definedName>
    <definedName name="GPRS_Total">#REF!</definedName>
    <definedName name="GPRS_W">#REF!</definedName>
    <definedName name="GRAPHE">#REF!</definedName>
    <definedName name="graphes_pareto">#REF!</definedName>
    <definedName name="greewef">#REF!</definedName>
    <definedName name="GRINDING_HOURS01">#REF!</definedName>
    <definedName name="GRINDING_HOURS02">#REF!</definedName>
    <definedName name="GRINDING_HOURS03">#REF!</definedName>
    <definedName name="GRINDING_HOURS04">#REF!</definedName>
    <definedName name="GRINDING_HOURS05">#REF!</definedName>
    <definedName name="GRINDING_HOURS06">#REF!</definedName>
    <definedName name="GRINDING_HOURS07">#REF!</definedName>
    <definedName name="GRINDING_HOURS08">#REF!</definedName>
    <definedName name="GRINDING_HOURS09">#REF!</definedName>
    <definedName name="GRINDING_HOURS10">#REF!</definedName>
    <definedName name="GRINDING_HOURS11">#REF!</definedName>
    <definedName name="GRINDING_HOURS12">#REF!</definedName>
    <definedName name="GRINDING_HOURS13">#REF!</definedName>
    <definedName name="GRINDING_HOURS14">#REF!</definedName>
    <definedName name="GRINDING_HOURS15">#REF!</definedName>
    <definedName name="GRINDING_HOURS16">#REF!</definedName>
    <definedName name="GRINDING_HOURS17">#REF!</definedName>
    <definedName name="GRINDING_HOURS18">#REF!</definedName>
    <definedName name="GROUP">#REF!</definedName>
    <definedName name="GU01_LA">#REF!</definedName>
    <definedName name="Guad">#REF!</definedName>
    <definedName name="Guad_1">#REF!</definedName>
    <definedName name="Guad_2">#REF!</definedName>
    <definedName name="Guad_3">#REF!</definedName>
    <definedName name="Guad_4">#REF!</definedName>
    <definedName name="Guad1">#REF!</definedName>
    <definedName name="Guad10">#REF!</definedName>
    <definedName name="Guad2">#REF!</definedName>
    <definedName name="Guad3">#REF!</definedName>
    <definedName name="Guad4">#REF!</definedName>
    <definedName name="Guad6">#REF!</definedName>
    <definedName name="Guad7">#REF!</definedName>
    <definedName name="Guad8">#REF!</definedName>
    <definedName name="Guad9">#REF!</definedName>
    <definedName name="gv">#REF!</definedName>
    <definedName name="GVA">#REF!</definedName>
    <definedName name="gvdee">#REF!</definedName>
    <definedName name="gvhb6hb">#REF!</definedName>
    <definedName name="GWT">#REF!</definedName>
    <definedName name="gwtc">#REF!</definedName>
    <definedName name="gwte">#REF!</definedName>
    <definedName name="gwtez">#REF!</definedName>
    <definedName name="gwtg">#REF!</definedName>
    <definedName name="gwth">#REF!</definedName>
    <definedName name="gwti">#REF!</definedName>
    <definedName name="gwtj">#REF!</definedName>
    <definedName name="gwtk">#REF!</definedName>
    <definedName name="gwtl">#REF!</definedName>
    <definedName name="gwtm">#REF!</definedName>
    <definedName name="gwtn">#REF!</definedName>
    <definedName name="gwto">#REF!</definedName>
    <definedName name="gwtv">#REF!</definedName>
    <definedName name="gwtyy">#REF!</definedName>
    <definedName name="gwtz">#REF!</definedName>
    <definedName name="GY">#REF!</definedName>
    <definedName name="GYGHG">#REF!</definedName>
    <definedName name="gyy">#REF!</definedName>
    <definedName name="gzz">#REF!</definedName>
    <definedName name="H">#REF!</definedName>
    <definedName name="h_equipe">#REF!</definedName>
    <definedName name="HA">IF(#REF!="OK",OK_wy,NOK_wy)</definedName>
    <definedName name="Hardness">#REF!</definedName>
    <definedName name="hc" hidden="1">#REF!</definedName>
    <definedName name="HCT">#REF!</definedName>
    <definedName name="HCT_Score">#REF!</definedName>
    <definedName name="HCT_Total">#REF!</definedName>
    <definedName name="hd">#REF!</definedName>
    <definedName name="HD_A">#REF!</definedName>
    <definedName name="HD_B">#REF!</definedName>
    <definedName name="HDD">#REF!</definedName>
    <definedName name="HDDMFCST">#REF!</definedName>
    <definedName name="HDDMShift">#REF!</definedName>
    <definedName name="HDDMSTD">#REF!</definedName>
    <definedName name="Hdlg">#REF!</definedName>
    <definedName name="HDUnitEAU1">#REF!</definedName>
    <definedName name="HDUnitEAU2">#REF!</definedName>
    <definedName name="HDUnitEAU3">#REF!</definedName>
    <definedName name="HDUnitEAU4">#REF!</definedName>
    <definedName name="hdvbn">#REF!</definedName>
    <definedName name="Headcount" hidden="1">{"'Leading KPI'!$A$1:$P$33","'Leading KPI'!$A$1:$P$33"}</definedName>
    <definedName name="headcount2" hidden="1">{"'Leading KPI'!$A$1:$P$33","'Leading KPI'!$A$1:$P$33"}</definedName>
    <definedName name="Header_Row">ROW(#REF!)</definedName>
    <definedName name="HeadMSG_Code">#REF!</definedName>
    <definedName name="Heat_Treatment">#REF!</definedName>
    <definedName name="HEIGHT">#REF!</definedName>
    <definedName name="Hello">#REF!</definedName>
    <definedName name="HELP">#REF!</definedName>
    <definedName name="heny">#REF!</definedName>
    <definedName name="hgfdfg">#REF!</definedName>
    <definedName name="hgfvb">#REF!</definedName>
    <definedName name="HGGH">#REF!</definedName>
    <definedName name="HGJGJGH">#REF!</definedName>
    <definedName name="hgtredb">#REF!</definedName>
    <definedName name="hgtyu" hidden="1">{"'Broadway ML#4'!$J$7:$N$490"}</definedName>
    <definedName name="HH">#REF!</definedName>
    <definedName name="hhh">#REF!</definedName>
    <definedName name="HHHJ" hidden="1">{"'MODIFY &amp; REPARE '!$B$1:$S$27"}</definedName>
    <definedName name="hhjhh" localSheetId="10" hidden="1">'[8]Issues List'!#REF!</definedName>
    <definedName name="hhjhh" localSheetId="11" hidden="1">'[8]Issues List'!#REF!</definedName>
    <definedName name="hhjhh" localSheetId="12" hidden="1">'[8]Issues List'!#REF!</definedName>
    <definedName name="hhjhh" localSheetId="1" hidden="1">'[8]Issues List'!#REF!</definedName>
    <definedName name="hhjhh" hidden="1">'[8]Issues List'!#REF!</definedName>
    <definedName name="hi">#REF!</definedName>
    <definedName name="highlights">#REF!</definedName>
    <definedName name="HINGE_CAP_1A">#REF!</definedName>
    <definedName name="HINGE_CAP_1B">#REF!</definedName>
    <definedName name="HITLStamping">#REF!</definedName>
    <definedName name="hj">#REF!</definedName>
    <definedName name="hjhjhjhj" hidden="1">{"Drawing&amp;Homo.result",#N/A,FALSE,"Greco Hom. and BOM"}</definedName>
    <definedName name="HJHLJKLJJL">#REF!</definedName>
    <definedName name="HK__費用">#REF!</definedName>
    <definedName name="HM">#REF!</definedName>
    <definedName name="HMCT">#REF!</definedName>
    <definedName name="HMCTAA">#REF!</definedName>
    <definedName name="HMCTBB">#REF!</definedName>
    <definedName name="hmctc">#REF!</definedName>
    <definedName name="HMCTCC">#REF!</definedName>
    <definedName name="hmctd">#REF!</definedName>
    <definedName name="HMCTDD">#REF!</definedName>
    <definedName name="hmcte">#REF!</definedName>
    <definedName name="hmctez">#REF!</definedName>
    <definedName name="hmctf">#REF!</definedName>
    <definedName name="hmctfz">#REF!</definedName>
    <definedName name="hmctg">#REF!</definedName>
    <definedName name="hmcth">#REF!</definedName>
    <definedName name="hmcti">#REF!</definedName>
    <definedName name="hmctj">#REF!</definedName>
    <definedName name="hmctk">#REF!</definedName>
    <definedName name="hmctl">#REF!</definedName>
    <definedName name="hmctm">#REF!</definedName>
    <definedName name="hmctn">#REF!</definedName>
    <definedName name="hmcto">#REF!</definedName>
    <definedName name="hmctv">#REF!</definedName>
    <definedName name="hmctx">#REF!</definedName>
    <definedName name="hmcty">#REF!</definedName>
    <definedName name="hmctyy">#REF!</definedName>
    <definedName name="HMCTZ">#REF!</definedName>
    <definedName name="hmtcz">#REF!</definedName>
    <definedName name="hnbvtyhj">#REF!</definedName>
    <definedName name="HolidayOvertime">#REF!</definedName>
    <definedName name="HolidayPlan">#REF!</definedName>
    <definedName name="Holidays">#REF!</definedName>
    <definedName name="Hot_Runner">#REF!</definedName>
    <definedName name="Hotel_Cube">#REF!</definedName>
    <definedName name="Hotel_Cube_Score">#REF!</definedName>
    <definedName name="Hotel_Cube_Total">#REF!</definedName>
    <definedName name="Hotel_Cube_W">#REF!</definedName>
    <definedName name="hou_hub_cost">#REF!</definedName>
    <definedName name="hour">#REF!</definedName>
    <definedName name="HourlyRate">#REF!</definedName>
    <definedName name="Hous">#REF!</definedName>
    <definedName name="Hous_1">#REF!</definedName>
    <definedName name="Hous_2">#REF!</definedName>
    <definedName name="Hous_3">#REF!</definedName>
    <definedName name="Hous_4">#REF!</definedName>
    <definedName name="Hous1">#REF!</definedName>
    <definedName name="Hous10">#REF!</definedName>
    <definedName name="Hous2">#REF!</definedName>
    <definedName name="Hous3">#REF!</definedName>
    <definedName name="Hous4">#REF!</definedName>
    <definedName name="Hous5">#REF!</definedName>
    <definedName name="Hous6">#REF!</definedName>
    <definedName name="Hous7">#REF!</definedName>
    <definedName name="Hous8">#REF!</definedName>
    <definedName name="Hous9">#REF!</definedName>
    <definedName name="Howard_Baseline">#REF!</definedName>
    <definedName name="Howard_Cost_Reduction">#REF!</definedName>
    <definedName name="Howard_Ext_Cost">#REF!</definedName>
    <definedName name="Howard_Reduction_Percentage">#REF!</definedName>
    <definedName name="HPU">#REF!</definedName>
    <definedName name="hr" hidden="1">{"'Leading KPI'!$A$1:$P$33","'Leading KPI'!$A$1:$P$33"}</definedName>
    <definedName name="hr7yu">#REF!</definedName>
    <definedName name="HRLYRATE">#REF!</definedName>
    <definedName name="HRLYRATEAA">#REF!</definedName>
    <definedName name="HRLYRATEBB">#REF!</definedName>
    <definedName name="HRLYRATECC">#REF!</definedName>
    <definedName name="HRLYRATEDD">#REF!</definedName>
    <definedName name="hrlyratey">#REF!</definedName>
    <definedName name="ht" hidden="1">{"'Broadway ML#4'!$J$7:$N$490"}</definedName>
    <definedName name="ht5hh">#REF!</definedName>
    <definedName name="HTC_Question">#REF!</definedName>
    <definedName name="HTC_W">#REF!</definedName>
    <definedName name="HTML_C" hidden="1">{"'7-2지역별'!$A$1:$R$44"}</definedName>
    <definedName name="HTML_CodePage" hidden="1">950</definedName>
    <definedName name="HTML_Control" localSheetId="10" hidden="1">{"'Sheet1'!$A$46:$G$58","'Sheet1'!$A$1:$T$117","'Sheet1'!$A$1:$U$122","'Sheet1'!$A$49:$G$59","'Sheet1'!$A$74:$G$77"}</definedName>
    <definedName name="HTML_Control" localSheetId="11" hidden="1">{"'Sheet1'!$A$46:$G$58","'Sheet1'!$A$1:$T$117","'Sheet1'!$A$1:$U$122","'Sheet1'!$A$49:$G$59","'Sheet1'!$A$74:$G$77"}</definedName>
    <definedName name="HTML_Control" localSheetId="12" hidden="1">{"'Sheet1'!$A$46:$G$58","'Sheet1'!$A$1:$T$117","'Sheet1'!$A$1:$U$122","'Sheet1'!$A$49:$G$59","'Sheet1'!$A$74:$G$77"}</definedName>
    <definedName name="HTML_Control" localSheetId="1" hidden="1">{"'Sheet1'!$A$46:$G$58","'Sheet1'!$A$1:$T$117","'Sheet1'!$A$1:$U$122","'Sheet1'!$A$49:$G$59","'Sheet1'!$A$74:$G$77"}</definedName>
    <definedName name="HTML_Control" hidden="1">{"'Sheet1'!$A$46:$G$58","'Sheet1'!$A$1:$T$117","'Sheet1'!$A$1:$U$122","'Sheet1'!$A$49:$G$59","'Sheet1'!$A$74:$G$77"}</definedName>
    <definedName name="HTML_Control_2" hidden="1">{"'Individual Tooling Cost'!$B$3:$O$6"}</definedName>
    <definedName name="HTML_Control_3" hidden="1">{"'Individual Tooling Cost'!$B$3:$O$6"}</definedName>
    <definedName name="HTML_Control_4" hidden="1">{"'Individual Tooling Cost'!$B$3:$O$6"}</definedName>
    <definedName name="HTML_Control_5" hidden="1">{"'Individual Tooling Cost'!$B$3:$O$6"}</definedName>
    <definedName name="HTML_Control1" hidden="1">{"'MODIFY &amp; REPARE '!$B$1:$S$27"}</definedName>
    <definedName name="HTML_Description" hidden="1">""</definedName>
    <definedName name="HTML_Email" hidden="1">""</definedName>
    <definedName name="HTML_Header" hidden="1">""</definedName>
    <definedName name="HTML_LastUpdate" hidden="1">"1997/12/18"</definedName>
    <definedName name="HTML_LineAfter" hidden="1">FALSE</definedName>
    <definedName name="HTML_LineBefore" hidden="1">FALSE</definedName>
    <definedName name="HTML_Name" hidden="1">"Louise Chen"</definedName>
    <definedName name="HTML_OBDlg2" hidden="1">TRUE</definedName>
    <definedName name="HTML_OBDlg3" hidden="1">TRUE</definedName>
    <definedName name="HTML_OBDlg4" hidden="1">TRUE</definedName>
    <definedName name="HTML_OS" hidden="1">0</definedName>
    <definedName name="HTML_PathFile" hidden="1">"C:\WEBSHARE\WWWROOT\Compal\DELL\TWISTER\Packing\Cosmetic\pcd.htm"</definedName>
    <definedName name="HTML_PathTemplate" hidden="1">"C:\WEBSHARE\WWWROOT\Compal\DELL\TWISTER\Packing\Cosmetic\dellpctwd.htm"</definedName>
    <definedName name="HTML_Title" hidden="1">""</definedName>
    <definedName name="HTML1_1" hidden="1">"'[anly9705.xls]EM02'!$A$1:$H$38"</definedName>
    <definedName name="HTML1_10" hidden="1">""</definedName>
    <definedName name="HTML1_11" hidden="1">1</definedName>
    <definedName name="HTML1_12" hidden="1">"C:\My Documents\MyHTML.htm"</definedName>
    <definedName name="HTML1_2" hidden="1">1</definedName>
    <definedName name="HTML1_3" hidden="1">"anly9705"</definedName>
    <definedName name="HTML1_4" hidden="1">"EM02"</definedName>
    <definedName name="HTML1_5" hidden="1">""</definedName>
    <definedName name="HTML1_6" hidden="1">-4146</definedName>
    <definedName name="HTML1_7" hidden="1">-4146</definedName>
    <definedName name="HTML1_8" hidden="1">"1997/7/7"</definedName>
    <definedName name="HTML1_9" hidden="1">"mis1"</definedName>
    <definedName name="HTML1_CONTROL" hidden="1">{"'MODIFY &amp; REPARE '!$B$1:$S$27"}</definedName>
    <definedName name="HTMLCount" hidden="1">1</definedName>
    <definedName name="htt">#REF!</definedName>
    <definedName name="hub_cost">#REF!</definedName>
    <definedName name="HV">#REF!</definedName>
    <definedName name="HW_Device">#REF!</definedName>
    <definedName name="Hw_Device_total">#REF!</definedName>
    <definedName name="HW_Device_W">#REF!</definedName>
    <definedName name="HW_Quanity">#REF!</definedName>
    <definedName name="HW_Quanity_total">#REF!</definedName>
    <definedName name="HW_Quanity_W">#REF!</definedName>
    <definedName name="hygvwesx">#REF!</definedName>
    <definedName name="hyytrv">#REF!</definedName>
    <definedName name="I">#REF!</definedName>
    <definedName name="IA" hidden="1">[10]IA1!$D$7:$N$7</definedName>
    <definedName name="IAARFPA71">#REF!</definedName>
    <definedName name="IAARFPQ76">#REF!</definedName>
    <definedName name="IAASRAC30">#REF!</definedName>
    <definedName name="IAASRAC75">#REF!</definedName>
    <definedName name="IAASRR24">#REF!</definedName>
    <definedName name="IAASRY114">#REF!</definedName>
    <definedName name="IAFPPA71">#REF!</definedName>
    <definedName name="IAFPPB4">#REF!</definedName>
    <definedName name="IAFPPQ104">#REF!</definedName>
    <definedName name="IAFUASAC24">#REF!</definedName>
    <definedName name="IAFUFPQ15">#REF!</definedName>
    <definedName name="IAPH42">#REF!</definedName>
    <definedName name="IASF02B13">#REF!</definedName>
    <definedName name="IASF02B17">#REF!</definedName>
    <definedName name="IASF02E25">#REF!</definedName>
    <definedName name="IASPF12">#REF!</definedName>
    <definedName name="IB">IF(#REF!="OK",OK_wy,NOK_wy)</definedName>
    <definedName name="IC">#REF!</definedName>
    <definedName name="IC20P">#REF!</definedName>
    <definedName name="ICR">#N/A</definedName>
    <definedName name="ict_time">#REF!</definedName>
    <definedName name="idr">#REF!</definedName>
    <definedName name="Idrive">#REF!</definedName>
    <definedName name="Idrive_Score">#REF!</definedName>
    <definedName name="idrive_total">#REF!</definedName>
    <definedName name="idrive_W">#REF!</definedName>
    <definedName name="IEHAssemblyProcess">#REF!</definedName>
    <definedName name="IEHStamping">#REF!</definedName>
    <definedName name="IEIA">#REF!</definedName>
    <definedName name="IEIStamping">#REF!</definedName>
    <definedName name="IHILStamping">#REF!</definedName>
    <definedName name="II">#REF!</definedName>
    <definedName name="IID">#REF!</definedName>
    <definedName name="ikke">#REF!</definedName>
    <definedName name="ikyrdvu">#REF!</definedName>
    <definedName name="ILN">#REF!</definedName>
    <definedName name="ILN_Test">#REF!</definedName>
    <definedName name="ILN_Test_Total">#REF!</definedName>
    <definedName name="ILN_Test_W">#REF!</definedName>
    <definedName name="ILN_W">#REF!</definedName>
    <definedName name="ILNR">#REF!</definedName>
    <definedName name="ILNR_w">#REF!</definedName>
    <definedName name="IM_S">#REF!</definedName>
    <definedName name="IM_T">#REF!</definedName>
    <definedName name="IM_Track_Score">#REF!</definedName>
    <definedName name="IM_TrackGeneral_Score">#REF!</definedName>
    <definedName name="Image_Delivery">#REF!</definedName>
    <definedName name="Image_Delivery_Score">#REF!</definedName>
    <definedName name="Image_Delivery_Total">#REF!</definedName>
    <definedName name="Image_Delivery_W">#REF!</definedName>
    <definedName name="Improvement">#REF!</definedName>
    <definedName name="IMSStamping">#REF!</definedName>
    <definedName name="In">#REF!</definedName>
    <definedName name="Incoterm">#REF!</definedName>
    <definedName name="Incre">#REF!</definedName>
    <definedName name="incre03">#REF!</definedName>
    <definedName name="Index">#REF!</definedName>
    <definedName name="Indirect_Cost">#REF!</definedName>
    <definedName name="inf">#REF!</definedName>
    <definedName name="infobase">#REF!</definedName>
    <definedName name="injection">#REF!</definedName>
    <definedName name="injection_Machine_cost">#REF!</definedName>
    <definedName name="Injection_Tonnage">OFFSET(#REF!,,,COUNTA(#REF!),1)</definedName>
    <definedName name="inox_ressort">#REF!</definedName>
    <definedName name="INP">#REF!</definedName>
    <definedName name="Input_Month">#REF!</definedName>
    <definedName name="Input_Year">#REF!</definedName>
    <definedName name="inr">#REF!</definedName>
    <definedName name="INS">#REF!</definedName>
    <definedName name="INS_CYCLE">#REF!</definedName>
    <definedName name="Ins_pc">#REF!</definedName>
    <definedName name="Insp_Date">#REF!</definedName>
    <definedName name="INSPECT">#REF!</definedName>
    <definedName name="Int">#REF!</definedName>
    <definedName name="Intangible_Assets_Tables">#REF!</definedName>
    <definedName name="Interest_Rate">#REF!</definedName>
    <definedName name="Internaltesttotal">#REF!</definedName>
    <definedName name="internaltesttotal2">#REF!</definedName>
    <definedName name="Introduction">#REF!</definedName>
    <definedName name="inv">#REF!</definedName>
    <definedName name="INVENTORY">#REF!</definedName>
    <definedName name="Inventory_Clear">#REF!</definedName>
    <definedName name="Investment_Tables">#REF!</definedName>
    <definedName name="INVOICELIST">#REF!</definedName>
    <definedName name="iop">#REF!</definedName>
    <definedName name="IOUOUOH">#REF!</definedName>
    <definedName name="IPTHStamping">#REF!</definedName>
    <definedName name="IQ_ADDIN" hidden="1">"AUTO"</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41666.7099189815</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ISP">#REF!</definedName>
    <definedName name="ISP_Score">#REF!</definedName>
    <definedName name="ISP_Total">#REF!</definedName>
    <definedName name="ISP_W">#REF!</definedName>
    <definedName name="ISR_No.">#REF!</definedName>
    <definedName name="Issue_Type">#REF!</definedName>
    <definedName name="ISZ_Finance">#REF!</definedName>
    <definedName name="ISZ_HR">#REF!</definedName>
    <definedName name="ISZ_Logistics">#REF!</definedName>
    <definedName name="ISZ_Materials">#REF!</definedName>
    <definedName name="ISZ_Planning">#REF!</definedName>
    <definedName name="ISZ_Sales">#REF!</definedName>
    <definedName name="ISZStamping">#REF!</definedName>
    <definedName name="ITAR1">#REF!</definedName>
    <definedName name="ITAR2">#REF!</definedName>
    <definedName name="ITAR3">#REF!</definedName>
    <definedName name="item">#REF!</definedName>
    <definedName name="Item_codes">#REF!</definedName>
    <definedName name="Item_Data">#REF!</definedName>
    <definedName name="itmb">#REF!</definedName>
    <definedName name="iuo">#REF!</definedName>
    <definedName name="iuytredfvb">#REF!</definedName>
    <definedName name="J">#REF!</definedName>
    <definedName name="j_sem">#REF!</definedName>
    <definedName name="J3F外購件">#REF!</definedName>
    <definedName name="JA">IF(#REF!="OK",OK_wy,NOK_wy)</definedName>
    <definedName name="Jan_qty">OFFSET(#REF!,0,0,COUNTA(OFFSET(#REF!,0,0,999,1)),1)</definedName>
    <definedName name="Jazz">#REF!</definedName>
    <definedName name="JB">IF(#REF!="OK",OK_wy,NOK_wy)</definedName>
    <definedName name="jcliu">#REF!</definedName>
    <definedName name="jh" hidden="1">{"'Broadway ML#4'!$J$7:$N$490"}</definedName>
    <definedName name="jhgdfg">#REF!</definedName>
    <definedName name="jhgfcvbn">#REF!</definedName>
    <definedName name="jhgfvbnnm">#REF!</definedName>
    <definedName name="jhytfvb">#REF!</definedName>
    <definedName name="JJ">#REF!</definedName>
    <definedName name="jjj">#REF!</definedName>
    <definedName name="jjjjj" hidden="1">{"'MODIFY &amp; REPARE '!$B$1:$S$27"}</definedName>
    <definedName name="jkj" hidden="1">{"'Broadway ML#4'!$J$7:$N$490"}</definedName>
    <definedName name="jkjij" localSheetId="10" hidden="1">'[8]Issues List'!#REF!</definedName>
    <definedName name="jkjij" localSheetId="11" hidden="1">'[8]Issues List'!#REF!</definedName>
    <definedName name="jkjij" localSheetId="12" hidden="1">'[8]Issues List'!#REF!</definedName>
    <definedName name="jkjij" localSheetId="1" hidden="1">'[8]Issues List'!#REF!</definedName>
    <definedName name="jkjij" hidden="1">'[8]Issues List'!#REF!</definedName>
    <definedName name="jkjkjkj">#REF!</definedName>
    <definedName name="jobcode">OFFSET(#REF!,0,0,COUNTA(OFFSET(#REF!,0,0,999,1)),1)</definedName>
    <definedName name="JOB工程">OFFSET(#REF!,0,0,COUNTA(#REF!)-1,1)</definedName>
    <definedName name="JOB目的">OFFSET(#REF!,0,0,COUNTA(#REF!)-1,1)</definedName>
    <definedName name="jolin">#REF!</definedName>
    <definedName name="JP_1A">#REF!</definedName>
    <definedName name="JP_1B">#REF!</definedName>
    <definedName name="ju" hidden="1">{"'Broadway ML#4'!$J$7:$N$490"}</definedName>
    <definedName name="JUL">#REF!</definedName>
    <definedName name="Jul_qty">OFFSET(#REF!,0,0,COUNTA(OFFSET(#REF!,0,0,999,1)),1)</definedName>
    <definedName name="July" hidden="1">{"'Broadway ML#4'!$J$7:$N$490"}</definedName>
    <definedName name="JUN">#REF!</definedName>
    <definedName name="Jun_qty">OFFSET(#REF!,0,0,COUNTA(OFFSET(#REF!,0,0,999,1)),1)</definedName>
    <definedName name="jytrhrgs">#REF!</definedName>
    <definedName name="k" hidden="1">{#N/A,#N/A,FALSE,"Sheet1"}</definedName>
    <definedName name="KA">IF(#REF!="OK",OK_wy,NOK_wy)</definedName>
    <definedName name="KApr_201811">#REF!</definedName>
    <definedName name="KAug_20173">#REF!</definedName>
    <definedName name="KB">IF(#REF!="OK",OK_wy,NOK_wy)</definedName>
    <definedName name="KDec_20177">#REF!</definedName>
    <definedName name="kdl">#REF!</definedName>
    <definedName name="kengh">#REF!</definedName>
    <definedName name="Key">#REF!</definedName>
    <definedName name="KEYBOARD">#REF!</definedName>
    <definedName name="KFeb_20189">#REF!</definedName>
    <definedName name="Kg_Sht">#REF!</definedName>
    <definedName name="kingpo">#REF!</definedName>
    <definedName name="kj" hidden="1">{"'Broadway ML#4'!$J$7:$N$490"}</definedName>
    <definedName name="KJan_20188">#REF!</definedName>
    <definedName name="KJul_20172">#REF!</definedName>
    <definedName name="KJun_201813">#REF!</definedName>
    <definedName name="KK">#REF!</definedName>
    <definedName name="kkk">#REF!</definedName>
    <definedName name="kkkk">#REF!</definedName>
    <definedName name="kkkl">#REF!</definedName>
    <definedName name="kljcudksdsd">#REF!</definedName>
    <definedName name="KMar_201810">#REF!</definedName>
    <definedName name="KMay_201812">#REF!</definedName>
    <definedName name="KNov_20176">#REF!</definedName>
    <definedName name="knvdkndkv">#REF!</definedName>
    <definedName name="KOct_20175">#REF!</definedName>
    <definedName name="Koval_Baseline">#REF!</definedName>
    <definedName name="Koval_Cost_Reduction">#REF!</definedName>
    <definedName name="Koval_Ext_Cost">#REF!</definedName>
    <definedName name="Koval_Reduction_Percentage">#REF!</definedName>
    <definedName name="KSep_20174">#REF!</definedName>
    <definedName name="kvdnvkdv">#REF!</definedName>
    <definedName name="KwokKH">#REF!,#REF!,#REF!,#REF!,#REF!,#REF!,#REF!,#REF!,#REF!,#REF!,#REF!</definedName>
    <definedName name="L">#REF!</definedName>
    <definedName name="L10N">#REF!</definedName>
    <definedName name="L10N_Score">#REF!</definedName>
    <definedName name="L10N_Total">#REF!</definedName>
    <definedName name="L10N_W">#REF!</definedName>
    <definedName name="l7kjhgfd">#REF!</definedName>
    <definedName name="LA">IF(#REF!="OK",OK_wy,NOK_wy)</definedName>
    <definedName name="Lab_Clear">#REF!</definedName>
    <definedName name="lable">#REF!</definedName>
    <definedName name="labour">#REF!</definedName>
    <definedName name="LABOUR2">#REF!</definedName>
    <definedName name="LABOUR3">#REF!</definedName>
    <definedName name="labour4">#REF!</definedName>
    <definedName name="labour5">#REF!</definedName>
    <definedName name="LABOUR6">#REF!</definedName>
    <definedName name="LABOUR7">#REF!</definedName>
    <definedName name="LANDIMP">#REF!</definedName>
    <definedName name="LANDREV">#REF!</definedName>
    <definedName name="Last_Row">IF(#REF!,Header_Row+#REF!,Header_Row)</definedName>
    <definedName name="LastRealCell">#REF!</definedName>
    <definedName name="LAU">#REF!</definedName>
    <definedName name="LB">IF(#REF!="OK",OK_wy,NOK_wy)</definedName>
    <definedName name="LCD">#REF!</definedName>
    <definedName name="LCL">#REF!</definedName>
    <definedName name="LCurveMultiplier">#REF!</definedName>
    <definedName name="LD" localSheetId="10" hidden="1">{#N/A,#N/A,FALSE,"MFI -MIDDLE COVER"}</definedName>
    <definedName name="LD" localSheetId="11" hidden="1">{#N/A,#N/A,FALSE,"MFI -MIDDLE COVER"}</definedName>
    <definedName name="LD" localSheetId="12" hidden="1">{#N/A,#N/A,FALSE,"MFI -MIDDLE COVER"}</definedName>
    <definedName name="LD" localSheetId="1" hidden="1">{#N/A,#N/A,FALSE,"MFI -MIDDLE COVER"}</definedName>
    <definedName name="LD" hidden="1">{#N/A,#N/A,FALSE,"MFI -MIDDLE COVER"}</definedName>
    <definedName name="LEADTIME">#REF!</definedName>
    <definedName name="LEARN">#REF!</definedName>
    <definedName name="LENGTH">#REF!</definedName>
    <definedName name="level0">#REF!</definedName>
    <definedName name="level1">#REF!</definedName>
    <definedName name="level10">#REF!</definedName>
    <definedName name="level11">#REF!</definedName>
    <definedName name="level12">#REF!</definedName>
    <definedName name="level2">#REF!</definedName>
    <definedName name="level3">#REF!</definedName>
    <definedName name="level4">#REF!</definedName>
    <definedName name="level5">#REF!</definedName>
    <definedName name="level6">#REF!</definedName>
    <definedName name="level7">#REF!</definedName>
    <definedName name="level8">#REF!</definedName>
    <definedName name="level9">#REF!</definedName>
    <definedName name="Lgth">#REF!</definedName>
    <definedName name="Lieferzyklus">#REF!</definedName>
    <definedName name="Lifting">#REF!</definedName>
    <definedName name="LILY">#REF!</definedName>
    <definedName name="LimMW">#REF!,#REF!,#REF!,#REF!,#REF!,#REF!,#REF!,#REF!,#REF!,#REF!</definedName>
    <definedName name="LINE">#REF!</definedName>
    <definedName name="LINEUP" hidden="1">{#N/A,#N/A,TRUE,"????-1";#N/A,#N/A,TRUE,"????-2";#N/A,#N/A,TRUE,"????";#N/A,#N/A,TRUE,"RAC";#N/A,#N/A,TRUE,"PAC ";#N/A,#N/A,TRUE,"????";#N/A,#N/A,TRUE,"????"}</definedName>
    <definedName name="list">#REF!</definedName>
    <definedName name="LIST_STATUS">#REF!</definedName>
    <definedName name="liteon" hidden="1">#REF!</definedName>
    <definedName name="lkkk">#REF!</definedName>
    <definedName name="LL">#REF!</definedName>
    <definedName name="llj" hidden="1">{"'Broadway ML#4'!$J$7:$N$490"}</definedName>
    <definedName name="lnbo">#REF!</definedName>
    <definedName name="Loan_Amount">#REF!</definedName>
    <definedName name="Loan_Start">#REF!</definedName>
    <definedName name="Loan_Years">#REF!</definedName>
    <definedName name="Localization">#REF!</definedName>
    <definedName name="Localization_Score">#REF!</definedName>
    <definedName name="Localization_Total">#REF!</definedName>
    <definedName name="localization_W">#REF!</definedName>
    <definedName name="Location">#REF!</definedName>
    <definedName name="Location_List">#REF!</definedName>
    <definedName name="Location_Table">#REF!</definedName>
    <definedName name="LookList">#REF!</definedName>
    <definedName name="Lower_Tolerance">#REF!</definedName>
    <definedName name="lpvh">#REF!</definedName>
    <definedName name="Lunch">#REF!</definedName>
    <definedName name="LW">#REF!</definedName>
    <definedName name="lxi">#REF!</definedName>
    <definedName name="M">#REF!</definedName>
    <definedName name="m1_mat">#REF!</definedName>
    <definedName name="m1_name">#REF!</definedName>
    <definedName name="m1_no">#REF!</definedName>
    <definedName name="m1_no1">#REF!</definedName>
    <definedName name="m1_type">#REF!</definedName>
    <definedName name="m1_w">#REF!</definedName>
    <definedName name="M11___20">#REF!</definedName>
    <definedName name="M11___20_Total">#REF!</definedName>
    <definedName name="m110t">OFFSET(#REF!,0,0,COUNTA(OFFSET(#REF!,0,0,999,1)),1)</definedName>
    <definedName name="M112M11" hidden="1">{"'MODIFY &amp; REPARE '!$B$1:$S$27"}</definedName>
    <definedName name="m150t">OFFSET(#REF!,0,0,COUNTA(OFFSET(#REF!,0,0,999,1)),1)</definedName>
    <definedName name="m160t">OFFSET(#REF!,0,0,COUNTA(OFFSET(#REF!,0,0,999,1)),1)</definedName>
    <definedName name="m2_mat">#REF!</definedName>
    <definedName name="m2_name">#REF!</definedName>
    <definedName name="m2_no">#REF!</definedName>
    <definedName name="m2_type">#REF!</definedName>
    <definedName name="m2_w">#REF!</definedName>
    <definedName name="m200t">OFFSET(#REF!,0,0,COUNTA(OFFSET(#REF!,0,0,999,1)),1)</definedName>
    <definedName name="M25___35">#REF!</definedName>
    <definedName name="M25___35_Total">#REF!</definedName>
    <definedName name="m3_mat">#REF!</definedName>
    <definedName name="M3_NAME">#REF!</definedName>
    <definedName name="m3_no">#REF!</definedName>
    <definedName name="m3_type">#REF!</definedName>
    <definedName name="m3_w">#REF!</definedName>
    <definedName name="m4_mat">#REF!</definedName>
    <definedName name="m4_name">#REF!</definedName>
    <definedName name="m4_no">#REF!</definedName>
    <definedName name="m4_type">#REF!</definedName>
    <definedName name="m4_w">#REF!</definedName>
    <definedName name="m5_mat">#REF!</definedName>
    <definedName name="m5_name">#REF!</definedName>
    <definedName name="m5_no">#REF!</definedName>
    <definedName name="m5_type">#REF!</definedName>
    <definedName name="m5_w">#REF!</definedName>
    <definedName name="m6_mat">#REF!</definedName>
    <definedName name="m6_name">#REF!</definedName>
    <definedName name="m6_no">#REF!</definedName>
    <definedName name="m6_type">#REF!</definedName>
    <definedName name="m6_w">#REF!</definedName>
    <definedName name="m60t">OFFSET(#REF!,0,0,COUNTA(OFFSET(#REF!,0,0,999,1)),1)</definedName>
    <definedName name="m7_mat">#REF!</definedName>
    <definedName name="m7_name">#REF!</definedName>
    <definedName name="m7_no">#REF!</definedName>
    <definedName name="m7_type">#REF!</definedName>
    <definedName name="m7_w">#REF!</definedName>
    <definedName name="m8_mat">#REF!</definedName>
    <definedName name="m8_name">#REF!</definedName>
    <definedName name="m8_no">#REF!</definedName>
    <definedName name="m8_type">#REF!</definedName>
    <definedName name="m8_w">#REF!</definedName>
    <definedName name="m9_mat">#REF!</definedName>
    <definedName name="m9_name">#REF!</definedName>
    <definedName name="m9_no">#REF!</definedName>
    <definedName name="m9_type">#REF!</definedName>
    <definedName name="m9_w">#REF!</definedName>
    <definedName name="MA">IF(#REF!="OK",OK_wy,NOK_wy)</definedName>
    <definedName name="MAC_QTY">#REF!</definedName>
    <definedName name="Mach_rate">#REF!</definedName>
    <definedName name="Machine">#REF!</definedName>
    <definedName name="Machine_cost">#REF!</definedName>
    <definedName name="Machine_Description_1">#REF!</definedName>
    <definedName name="Machine_List_Plastic">#REF!</definedName>
    <definedName name="Machine_List1">#REF!</definedName>
    <definedName name="Machine_Table_Metal">#REF!</definedName>
    <definedName name="Machine_Table_Plastic">#REF!</definedName>
    <definedName name="MACRO">#REF!</definedName>
    <definedName name="Macro4">#REF!</definedName>
    <definedName name="macroV">#REF!</definedName>
    <definedName name="MacroV_Score">#REF!</definedName>
    <definedName name="MacroV_Total">#REF!</definedName>
    <definedName name="macroV_W">#REF!</definedName>
    <definedName name="Macrovision_Question">#REF!</definedName>
    <definedName name="MAINDATA">#REF!</definedName>
    <definedName name="MAINT">#REF!</definedName>
    <definedName name="MAINTAA">#REF!</definedName>
    <definedName name="MAINTBB">#REF!</definedName>
    <definedName name="maintc">#REF!</definedName>
    <definedName name="MAINTCC">#REF!</definedName>
    <definedName name="maintd">#REF!</definedName>
    <definedName name="MAINTDD">#REF!</definedName>
    <definedName name="mainte">#REF!</definedName>
    <definedName name="Maintenanc" hidden="1">{"'ID(2)'!$E$1:$N$4"}</definedName>
    <definedName name="maintez">#REF!</definedName>
    <definedName name="maintf">#REF!</definedName>
    <definedName name="maintfz">#REF!</definedName>
    <definedName name="maintg">#REF!</definedName>
    <definedName name="mainth">#REF!</definedName>
    <definedName name="mainti">#REF!</definedName>
    <definedName name="maintj">#REF!</definedName>
    <definedName name="maintk">#REF!</definedName>
    <definedName name="maintl">#REF!</definedName>
    <definedName name="maintm">#REF!</definedName>
    <definedName name="maintn">#REF!</definedName>
    <definedName name="mainto">#REF!</definedName>
    <definedName name="maintv">#REF!</definedName>
    <definedName name="mainty">#REF!</definedName>
    <definedName name="maintyy">#REF!</definedName>
    <definedName name="MAINTZ">#REF!</definedName>
    <definedName name="maintzz">#REF!</definedName>
    <definedName name="MaMT">#REF!,#REF!,#REF!,#REF!,#REF!,#REF!,#REF!,#REF!,#REF!,#REF!</definedName>
    <definedName name="MAN_TIME">#REF!</definedName>
    <definedName name="MApr_201811">#REF!</definedName>
    <definedName name="MAR">#REF!</definedName>
    <definedName name="Mar_qty">OFFSET(#REF!,0,0,COUNTA(OFFSET(#REF!,0,0,999,1)),1)</definedName>
    <definedName name="March_2000_Assumptions">#REF!</definedName>
    <definedName name="master">#REF!</definedName>
    <definedName name="masyert">#REF!</definedName>
    <definedName name="MAT">#REF!</definedName>
    <definedName name="Mat_kg">#REF!</definedName>
    <definedName name="Mat_kg1">#REF!</definedName>
    <definedName name="mat_plist">#N/A</definedName>
    <definedName name="mat_thick">OFFSET(#REF!,0,0,1,COUNTA(OFFSET(#REF!,0,0,1,99)))</definedName>
    <definedName name="Mat_Type">#REF!</definedName>
    <definedName name="MAT1AA">#REF!</definedName>
    <definedName name="MAT1BB">#REF!</definedName>
    <definedName name="MAT1CC">#REF!</definedName>
    <definedName name="MAT1D">#REF!</definedName>
    <definedName name="mat1y">#REF!</definedName>
    <definedName name="matc">#REF!</definedName>
    <definedName name="MatCost">#REF!</definedName>
    <definedName name="matd">#REF!</definedName>
    <definedName name="mate">#REF!</definedName>
    <definedName name="Material">#REF!</definedName>
    <definedName name="Material_Chart_Density">#REF!</definedName>
    <definedName name="Material_Chart_NUM">#REF!</definedName>
    <definedName name="Material_Cost">#REF!</definedName>
    <definedName name="Material_list">#REF!</definedName>
    <definedName name="Material_List_Plastic">#REF!</definedName>
    <definedName name="MATERIAL_PREP_HOURS01">#REF!</definedName>
    <definedName name="MATERIAL_PREP_HOURS02">#REF!</definedName>
    <definedName name="MATERIAL_PREP_HOURS03">#REF!</definedName>
    <definedName name="MATERIAL_PREP_HOURS04">#REF!</definedName>
    <definedName name="MATERIAL_PREP_HOURS05">#REF!</definedName>
    <definedName name="MATERIAL_PREP_HOURS06">#REF!</definedName>
    <definedName name="MATERIAL_PREP_HOURS07">#REF!</definedName>
    <definedName name="MATERIAL_PREP_HOURS08">#REF!</definedName>
    <definedName name="MATERIAL_PREP_HOURS09">#REF!</definedName>
    <definedName name="MATERIAL_PREP_HOURS10">#REF!</definedName>
    <definedName name="MATERIAL_PREP_HOURS11">#REF!</definedName>
    <definedName name="MATERIAL_PREP_HOURS12">#REF!</definedName>
    <definedName name="MATERIAL_PREP_HOURS13">#REF!</definedName>
    <definedName name="MATERIAL_PREP_HOURS14">#REF!</definedName>
    <definedName name="MATERIAL_PREP_HOURS15">#REF!</definedName>
    <definedName name="MATERIAL_PREP_HOURS16">#REF!</definedName>
    <definedName name="MATERIAL_PREP_HOURS17">#REF!</definedName>
    <definedName name="MATERIAL_PREP_HOURS18">#REF!</definedName>
    <definedName name="Material_type">OFFSET(#REF!,,,COUNTA(#REF!),1)</definedName>
    <definedName name="materialtype">#REF!</definedName>
    <definedName name="matez">#REF!</definedName>
    <definedName name="matf">#REF!</definedName>
    <definedName name="matfz">#REF!</definedName>
    <definedName name="matg">#REF!</definedName>
    <definedName name="math">#REF!</definedName>
    <definedName name="mati">#REF!</definedName>
    <definedName name="matj">#REF!</definedName>
    <definedName name="matk">#REF!</definedName>
    <definedName name="matl">#REF!</definedName>
    <definedName name="Matl_Cost">#REF!</definedName>
    <definedName name="matlcat">OFFSET(#REF!,0,0,COUNTA(OFFSET(#REF!,0,0,9999,1)),1)</definedName>
    <definedName name="matlist">OFFSET(#REF!,0,0,COUNTA(OFFSET(#REF!,0,0,9999,1)),1)</definedName>
    <definedName name="matlType">#REF!</definedName>
    <definedName name="matm">#REF!</definedName>
    <definedName name="matn">#REF!</definedName>
    <definedName name="mato">#REF!</definedName>
    <definedName name="MATRIZPRE">#REF!</definedName>
    <definedName name="matType">#REF!</definedName>
    <definedName name="MATV">#REF!</definedName>
    <definedName name="matyy">#REF!</definedName>
    <definedName name="matz">#REF!</definedName>
    <definedName name="MAug_20173">#REF!</definedName>
    <definedName name="MAX">#REF!</definedName>
    <definedName name="Max_Qty">#REF!</definedName>
    <definedName name="MaxAmbientTemp">40</definedName>
    <definedName name="MaxExpAllele">350</definedName>
    <definedName name="MaxExpGapSize">10</definedName>
    <definedName name="MAY">#REF!</definedName>
    <definedName name="May_qty">OFFSET(#REF!,0,0,COUNTA(OFFSET(#REF!,0,0,999,1)),1)</definedName>
    <definedName name="Mayl">#REF!</definedName>
    <definedName name="Mayl_1">#REF!</definedName>
    <definedName name="Mayl_2">#REF!</definedName>
    <definedName name="Mayl_3">#REF!</definedName>
    <definedName name="Mayl_4">#REF!</definedName>
    <definedName name="Mayl1">#REF!</definedName>
    <definedName name="Mayl10">#REF!</definedName>
    <definedName name="Mayl2">#REF!</definedName>
    <definedName name="Mayl3">#REF!</definedName>
    <definedName name="Mayl4">#REF!</definedName>
    <definedName name="Mayl6">#REF!</definedName>
    <definedName name="Mayl7">#REF!</definedName>
    <definedName name="Mayl8">#REF!</definedName>
    <definedName name="Mayl9">#REF!</definedName>
    <definedName name="MB">IF(#REF!="OK",OK_wy,NOK_wy)</definedName>
    <definedName name="MB_Schedule">#REF!</definedName>
    <definedName name="mbnbknn">#REF!</definedName>
    <definedName name="mc">#REF!</definedName>
    <definedName name="mc_depre">OFFSET(#REF!,0,0,COUNTA(OFFSET(#REF!,0,0,999,1)),1)</definedName>
    <definedName name="MC_grp">#REF!</definedName>
    <definedName name="mc_maint">OFFSET(#REF!,0,0,COUNTA(OFFSET(#REF!,0,0,999,1)),1)</definedName>
    <definedName name="mc_oh">OFFSET(#REF!,0,0,COUNTA(OFFSET(#REF!,0,0,999,1)),1)</definedName>
    <definedName name="mc_opn">OFFSET(#REF!,0,0,COUNTA(OFFSET(#REF!,0,0,999,1)),1)</definedName>
    <definedName name="MC_rate">#REF!</definedName>
    <definedName name="MC_RATE_A">#REF!</definedName>
    <definedName name="MC_RATE_B">#REF!</definedName>
    <definedName name="mcc">#REF!</definedName>
    <definedName name="mcd">#REF!</definedName>
    <definedName name="mce">#REF!</definedName>
    <definedName name="mcez">#REF!</definedName>
    <definedName name="mcf">#REF!</definedName>
    <definedName name="mcfz">#REF!</definedName>
    <definedName name="mcg">#REF!</definedName>
    <definedName name="mch">#REF!</definedName>
    <definedName name="mci">#REF!</definedName>
    <definedName name="mcj">#REF!</definedName>
    <definedName name="mck">#REF!</definedName>
    <definedName name="mcl">#REF!</definedName>
    <definedName name="mcm">#REF!</definedName>
    <definedName name="mcn">#REF!</definedName>
    <definedName name="mco">#REF!</definedName>
    <definedName name="MCRP_1099_final_no_subk">#REF!</definedName>
    <definedName name="MCRP_1099_final_w_subk">#REF!</definedName>
    <definedName name="mcv">#REF!</definedName>
    <definedName name="mcyy">#REF!</definedName>
    <definedName name="mcz">#REF!</definedName>
    <definedName name="md">#REF!</definedName>
    <definedName name="MDec_20177">#REF!</definedName>
    <definedName name="MDesktop">#REF!</definedName>
    <definedName name="MDesktopT">#REF!</definedName>
    <definedName name="mdj">#REF!</definedName>
    <definedName name="ME_Owner">#REF!</definedName>
    <definedName name="MEAuth">#REF!</definedName>
    <definedName name="MECHANICAL">#REF!</definedName>
    <definedName name="Media">#REF!</definedName>
    <definedName name="Media_Man_Score_Total">#REF!</definedName>
    <definedName name="Media_Options">#REF!</definedName>
    <definedName name="Media_Score_Total">#REF!</definedName>
    <definedName name="Media_Score1">#REF!</definedName>
    <definedName name="Media_Score2">#REF!</definedName>
    <definedName name="Media_W">#REF!</definedName>
    <definedName name="Meeting_Facility">#REF!</definedName>
    <definedName name="Meeting_Facility_Score">#REF!</definedName>
    <definedName name="Meeting_Facility_Total">#REF!</definedName>
    <definedName name="Meeting_W">#REF!</definedName>
    <definedName name="Memory">#REF!</definedName>
    <definedName name="MENU1">#REF!</definedName>
    <definedName name="MENU2">#REF!</definedName>
    <definedName name="MENU3">#REF!</definedName>
    <definedName name="MENU4">#REF!</definedName>
    <definedName name="Metal_MC_DO_List">#REF!</definedName>
    <definedName name="Metal_MC_DO_Table">#REF!</definedName>
    <definedName name="Metal_MC_TH_List">#REF!</definedName>
    <definedName name="Metal_MC_TH_Table">#REF!</definedName>
    <definedName name="Metal_tooling">#REF!</definedName>
    <definedName name="Metal2D">#REF!</definedName>
    <definedName name="Metal3D">#REF!</definedName>
    <definedName name="MetalPaint">#REF!</definedName>
    <definedName name="Method">#REF!</definedName>
    <definedName name="metnote">#REF!</definedName>
    <definedName name="metrow">#REF!</definedName>
    <definedName name="mexcgty">#REF!</definedName>
    <definedName name="MFeb_20189">#REF!</definedName>
    <definedName name="mfg" hidden="1">{"Drawing&amp;Homo.result",#N/A,FALSE,"Greco Hom. and BOM"}</definedName>
    <definedName name="MgmtRevMaxSc">#REF!</definedName>
    <definedName name="MgmtRevSc">#REF!</definedName>
    <definedName name="MGQ900DL">#REF!</definedName>
    <definedName name="MGQ900Gap">#REF!</definedName>
    <definedName name="MH?????" hidden="1">{#N/A,#N/A,TRUE,"????-1";#N/A,#N/A,TRUE,"????-2";#N/A,#N/A,TRUE,"????";#N/A,#N/A,TRUE,"RAC";#N/A,#N/A,TRUE,"PAC ";#N/A,#N/A,TRUE,"????";#N/A,#N/A,TRUE,"????"}</definedName>
    <definedName name="MH공수투자전" hidden="1">{#N/A,#N/A,TRUE,"매출진척-1";#N/A,#N/A,TRUE,"매출진척-2";#N/A,#N/A,TRUE,"제품실적";#N/A,#N/A,TRUE,"RAC";#N/A,#N/A,TRUE,"PAC ";#N/A,#N/A,TRUE,"재고현황";#N/A,#N/A,TRUE,"공지사항"}</definedName>
    <definedName name="MI">#REF!</definedName>
    <definedName name="mid">#REF!</definedName>
    <definedName name="migi">#REF!</definedName>
    <definedName name="MIN">#REF!</definedName>
    <definedName name="Min_Qty">#REF!</definedName>
    <definedName name="MINAA">#REF!</definedName>
    <definedName name="MINBB">#REF!</definedName>
    <definedName name="MINCC">#REF!</definedName>
    <definedName name="MINDD">#REF!</definedName>
    <definedName name="MinExpAllele">50</definedName>
    <definedName name="Minn">#REF!</definedName>
    <definedName name="Minn_1">#REF!</definedName>
    <definedName name="Minn_2">#REF!</definedName>
    <definedName name="Minn_3">#REF!</definedName>
    <definedName name="Minn_4">#REF!</definedName>
    <definedName name="Minn1">#REF!</definedName>
    <definedName name="Minn10">#REF!</definedName>
    <definedName name="Minn2">#REF!</definedName>
    <definedName name="Minn3">#REF!</definedName>
    <definedName name="Minn4">#REF!</definedName>
    <definedName name="Minn6">#REF!</definedName>
    <definedName name="Minn7">#REF!</definedName>
    <definedName name="Minn8">#REF!</definedName>
    <definedName name="Minn9">#REF!</definedName>
    <definedName name="miny">#REF!</definedName>
    <definedName name="MIP">#N/A</definedName>
    <definedName name="Miro_Baseline">#REF!</definedName>
    <definedName name="Miro_Cost_Reduction">#REF!</definedName>
    <definedName name="Miro_Ext_Cost">#REF!</definedName>
    <definedName name="Miro_Reduction_Percentage">#REF!</definedName>
    <definedName name="MIT">#REF!</definedName>
    <definedName name="MJan_20188">#REF!</definedName>
    <definedName name="mjuhbf">#REF!</definedName>
    <definedName name="MJul_20172">#REF!</definedName>
    <definedName name="MJun_201813">#REF!</definedName>
    <definedName name="MM">#REF!</definedName>
    <definedName name="MMar_201810">#REF!</definedName>
    <definedName name="MMay_201812">#REF!</definedName>
    <definedName name="mmm" hidden="1">{"Drawing&amp;Homo.result",#N/A,FALSE,"Greco Hom. and BOM"}</definedName>
    <definedName name="mnbvcdrty">#REF!</definedName>
    <definedName name="mnbvryuu">#REF!</definedName>
    <definedName name="mncnbjdv">#REF!</definedName>
    <definedName name="mngfdc">#REF!</definedName>
    <definedName name="MNov_20176">#REF!</definedName>
    <definedName name="mnvnjvcj">#REF!</definedName>
    <definedName name="MOct_20175">#REF!</definedName>
    <definedName name="MODEL">#REF!</definedName>
    <definedName name="Model_Query">#REF!</definedName>
    <definedName name="MODEM">#REF!</definedName>
    <definedName name="Module2.戻る">#REF!</definedName>
    <definedName name="moh9901a">#REF!</definedName>
    <definedName name="Molded">#REF!</definedName>
    <definedName name="Molding_Secondary_Ops">#REF!</definedName>
    <definedName name="Molding_Specialties">#REF!</definedName>
    <definedName name="mon_dep">#REF!</definedName>
    <definedName name="Moneda">#REF!</definedName>
    <definedName name="MONO">#REF!</definedName>
    <definedName name="Mont">#REF!</definedName>
    <definedName name="Mont_1">#REF!</definedName>
    <definedName name="Mont_2">#REF!</definedName>
    <definedName name="Mont_3">#REF!</definedName>
    <definedName name="Mont_4">#REF!</definedName>
    <definedName name="Mont1">#REF!</definedName>
    <definedName name="Mont10">#REF!</definedName>
    <definedName name="Mont2">#REF!</definedName>
    <definedName name="Mont3">#REF!</definedName>
    <definedName name="Mont4">#REF!</definedName>
    <definedName name="Mont6">#REF!</definedName>
    <definedName name="Mont7">#REF!</definedName>
    <definedName name="Mont8">#REF!</definedName>
    <definedName name="Mont9">#REF!</definedName>
    <definedName name="MonthLabel">#REF!</definedName>
    <definedName name="Monthly_volume">#REF!</definedName>
    <definedName name="Mony">#REF!</definedName>
    <definedName name="Mony_1">#REF!</definedName>
    <definedName name="Mony_2">#REF!</definedName>
    <definedName name="Mony_3">#REF!</definedName>
    <definedName name="Mony_4">#REF!</definedName>
    <definedName name="Mony1">#REF!</definedName>
    <definedName name="Mony10">#REF!</definedName>
    <definedName name="Mony2">#REF!</definedName>
    <definedName name="Mony3">#REF!</definedName>
    <definedName name="Mony4">#REF!</definedName>
    <definedName name="Mony5">#REF!</definedName>
    <definedName name="Mony6">#REF!</definedName>
    <definedName name="Mony7">#REF!</definedName>
    <definedName name="Mony8">#REF!</definedName>
    <definedName name="Mony9">#REF!</definedName>
    <definedName name="MOQ">#REF!</definedName>
    <definedName name="MotherBoard">#REF!</definedName>
    <definedName name="Mould_Base">#REF!</definedName>
    <definedName name="moule">#REF!</definedName>
    <definedName name="moule_bc">#REF!</definedName>
    <definedName name="Mounting">#REF!</definedName>
    <definedName name="Move11">#REF!</definedName>
    <definedName name="MOVETIME">#REF!</definedName>
    <definedName name="MPortable">#REF!</definedName>
    <definedName name="MPortableT">#REF!</definedName>
    <definedName name="MPVGenerated">#REF!</definedName>
    <definedName name="MSep_20174">#REF!</definedName>
    <definedName name="MSG_Code">#REF!</definedName>
    <definedName name="MSGAREA">#REF!</definedName>
    <definedName name="MSN_MoneyCentral_Investor_Currency_Rates">#REF!</definedName>
    <definedName name="msuRate">#REF!</definedName>
    <definedName name="MT">#REF!</definedName>
    <definedName name="mtglocation">#REF!</definedName>
    <definedName name="mtgmethod">#REF!</definedName>
    <definedName name="mth">6</definedName>
    <definedName name="mtnrebsvcx">#REF!</definedName>
    <definedName name="MU">#REF!</definedName>
    <definedName name="Mu10.1">#REF!</definedName>
    <definedName name="MU10.2">#REF!</definedName>
    <definedName name="MU100.1">#REF!</definedName>
    <definedName name="MU101.1">#REF!</definedName>
    <definedName name="Mu11.1">#REF!</definedName>
    <definedName name="MU11.2">#REF!</definedName>
    <definedName name="Mu15.1">#REF!</definedName>
    <definedName name="MU15.2">#REF!</definedName>
    <definedName name="Mu17.1">#REF!</definedName>
    <definedName name="MU17.2">#REF!</definedName>
    <definedName name="Mu18.1">#REF!</definedName>
    <definedName name="MU18.2">#REF!</definedName>
    <definedName name="Mu20.1">#REF!</definedName>
    <definedName name="MU20.2">#REF!</definedName>
    <definedName name="Mu23.1">#REF!</definedName>
    <definedName name="MU23.2">#REF!</definedName>
    <definedName name="Mu24.1">#REF!</definedName>
    <definedName name="MU24.2">#REF!</definedName>
    <definedName name="Mu32.1">#REF!</definedName>
    <definedName name="MU32.2">#REF!</definedName>
    <definedName name="Mu33.1">#REF!</definedName>
    <definedName name="MU33.2">#REF!</definedName>
    <definedName name="Mu34.1">#REF!</definedName>
    <definedName name="MU34.2">#REF!</definedName>
    <definedName name="Mu35.1">#REF!</definedName>
    <definedName name="MU35.2">#REF!</definedName>
    <definedName name="Mu37.1">#REF!</definedName>
    <definedName name="MU37.2">#REF!</definedName>
    <definedName name="mu38.1">#REF!</definedName>
    <definedName name="MU38.2">#REF!</definedName>
    <definedName name="Mu4.1">#REF!</definedName>
    <definedName name="MU4.2">#REF!</definedName>
    <definedName name="Mu40.1">#REF!</definedName>
    <definedName name="MU40.2">#REF!</definedName>
    <definedName name="Mu41.1">#REF!</definedName>
    <definedName name="Mu41.2">#REF!</definedName>
    <definedName name="Mu43.1">#REF!</definedName>
    <definedName name="Mu43.2">#REF!</definedName>
    <definedName name="Mu44.1">#REF!</definedName>
    <definedName name="Mu44.2">#REF!</definedName>
    <definedName name="Mu46.1">#REF!</definedName>
    <definedName name="Mu46.2">#REF!</definedName>
    <definedName name="Mu47.1">#REF!</definedName>
    <definedName name="Mu47.2">#REF!</definedName>
    <definedName name="Mu5.1">#REF!</definedName>
    <definedName name="MU5.2">#REF!</definedName>
    <definedName name="Mu51.1">#REF!</definedName>
    <definedName name="Mu51.2">#REF!</definedName>
    <definedName name="mu52.1">#REF!</definedName>
    <definedName name="mu52.2">#REF!</definedName>
    <definedName name="MU54.1">#REF!</definedName>
    <definedName name="MU54.2">#REF!</definedName>
    <definedName name="MU55.1">#REF!</definedName>
    <definedName name="MU55.2">#REF!</definedName>
    <definedName name="MU56.1">#REF!</definedName>
    <definedName name="MU56.2">#REF!</definedName>
    <definedName name="mU57.1">#REF!</definedName>
    <definedName name="MU57.2">#REF!</definedName>
    <definedName name="Mu59.1">#REF!</definedName>
    <definedName name="Mu59.2">#REF!</definedName>
    <definedName name="Mu6.1">#REF!</definedName>
    <definedName name="MU6.2">#REF!</definedName>
    <definedName name="Mu64.1">#REF!</definedName>
    <definedName name="Mu64.2">#REF!</definedName>
    <definedName name="Mu65.1">#REF!</definedName>
    <definedName name="Mu65.2">#REF!</definedName>
    <definedName name="Mu66.1">#REF!</definedName>
    <definedName name="Mu66.2">#REF!</definedName>
    <definedName name="Mu67.1">#REF!</definedName>
    <definedName name="Mu67.2">#REF!</definedName>
    <definedName name="Mu68.1">#REF!</definedName>
    <definedName name="Mu68.2">#REF!</definedName>
    <definedName name="Mu69.1">#REF!</definedName>
    <definedName name="Mu69.2">#REF!</definedName>
    <definedName name="Mu70.1">#REF!</definedName>
    <definedName name="Mu70.2">#REF!</definedName>
    <definedName name="Mu71.1">#REF!</definedName>
    <definedName name="Mu71.2">#REF!</definedName>
    <definedName name="Mu73.1">#REF!</definedName>
    <definedName name="Mu73.2">#REF!</definedName>
    <definedName name="MU75.1">#REF!</definedName>
    <definedName name="MU75.2">#REF!</definedName>
    <definedName name="MU76.1">#REF!</definedName>
    <definedName name="MU76.2">#REF!</definedName>
    <definedName name="MU77.1">#REF!</definedName>
    <definedName name="MU77.2">#REF!</definedName>
    <definedName name="MU78.1">#REF!</definedName>
    <definedName name="MU78.2">#REF!</definedName>
    <definedName name="MU79.1">#REF!</definedName>
    <definedName name="MU79.2">#REF!</definedName>
    <definedName name="Mu80.1">#REF!</definedName>
    <definedName name="Mu80.2">#REF!</definedName>
    <definedName name="MU81.1">#REF!</definedName>
    <definedName name="MU81.2">#REF!</definedName>
    <definedName name="MU82.1">#REF!</definedName>
    <definedName name="MU82.2">#REF!</definedName>
    <definedName name="MU83.1">#REF!</definedName>
    <definedName name="MU83.2">#REF!</definedName>
    <definedName name="MU84.1">#REF!</definedName>
    <definedName name="mU84.2">#REF!</definedName>
    <definedName name="MU85.1">#REF!</definedName>
    <definedName name="MU85.2">#REF!</definedName>
    <definedName name="MU86.1">#REF!</definedName>
    <definedName name="MU86.2">#REF!</definedName>
    <definedName name="Mu87.1">#REF!</definedName>
    <definedName name="Mu87.2">#REF!</definedName>
    <definedName name="Mu88.1">#REF!</definedName>
    <definedName name="Mu88.2">#REF!</definedName>
    <definedName name="MU89.1">#REF!</definedName>
    <definedName name="MU89.2">#REF!</definedName>
    <definedName name="mu90.1">#REF!</definedName>
    <definedName name="mu90.2">#REF!</definedName>
    <definedName name="mu92.1">#REF!</definedName>
    <definedName name="mu92.2">#REF!</definedName>
    <definedName name="MU93.1">#REF!</definedName>
    <definedName name="MU93.2">#REF!</definedName>
    <definedName name="MU94.1">#REF!</definedName>
    <definedName name="MU94.2">#REF!</definedName>
    <definedName name="MU95.1">#REF!</definedName>
    <definedName name="MU95.2">#REF!</definedName>
    <definedName name="MU96.1">#REF!</definedName>
    <definedName name="MU96.2">#REF!</definedName>
    <definedName name="MU97.1">#REF!</definedName>
    <definedName name="MU97.2">#REF!</definedName>
    <definedName name="MU98.1">#REF!</definedName>
    <definedName name="MU98.2">#REF!</definedName>
    <definedName name="mu99.1">#REF!</definedName>
    <definedName name="MUAA">#REF!</definedName>
    <definedName name="MUBB">#REF!</definedName>
    <definedName name="muc">#REF!</definedName>
    <definedName name="MUCC">#REF!</definedName>
    <definedName name="mud">#REF!</definedName>
    <definedName name="MUDD">#REF!</definedName>
    <definedName name="mue">#REF!</definedName>
    <definedName name="muez">#REF!</definedName>
    <definedName name="muf">#REF!</definedName>
    <definedName name="mufz">#REF!</definedName>
    <definedName name="mug">#REF!</definedName>
    <definedName name="muh">#REF!</definedName>
    <definedName name="mui">#REF!</definedName>
    <definedName name="muj">#REF!</definedName>
    <definedName name="muk">#REF!</definedName>
    <definedName name="mul">#REF!</definedName>
    <definedName name="Multiple_TestSite">#REF!</definedName>
    <definedName name="Multiple_TestSite_Score">#REF!</definedName>
    <definedName name="Multiple_TestSite_Total">#REF!</definedName>
    <definedName name="Multiple_Testsite_W">#REF!</definedName>
    <definedName name="MultipleLotDiscount">#REF!</definedName>
    <definedName name="mum">#REF!</definedName>
    <definedName name="mun">#REF!</definedName>
    <definedName name="muo">#REF!</definedName>
    <definedName name="muv">#REF!</definedName>
    <definedName name="mux">#REF!</definedName>
    <definedName name="muy">#REF!</definedName>
    <definedName name="muyy">#REF!</definedName>
    <definedName name="MUZ">#REF!</definedName>
    <definedName name="muzz">#REF!</definedName>
    <definedName name="MV">#REF!</definedName>
    <definedName name="mvdjvbia">#REF!</definedName>
    <definedName name="mymydrse">#REF!</definedName>
    <definedName name="MZC000DL">#REF!</definedName>
    <definedName name="MZC000Gap">#REF!</definedName>
    <definedName name="MZC300DL">#REF!</definedName>
    <definedName name="MZC300Gap">#REF!</definedName>
    <definedName name="MZC400DL">#REF!</definedName>
    <definedName name="MZC400Gap">#REF!</definedName>
    <definedName name="MZC500DL">#REF!</definedName>
    <definedName name="MZC500Gap">#REF!</definedName>
    <definedName name="MZC600DL">#REF!</definedName>
    <definedName name="MZC600Gap">#REF!</definedName>
    <definedName name="MZC800DL">#REF!</definedName>
    <definedName name="MZC800Gap">#REF!</definedName>
    <definedName name="MZCN012">#REF!</definedName>
    <definedName name="n">#REF!</definedName>
    <definedName name="N3_NAME">#REF!</definedName>
    <definedName name="NA">IF(#REF!="OK",OK_wy,NOK_wy)</definedName>
    <definedName name="NAME">#REF!</definedName>
    <definedName name="narnzntqqq">#REF!</definedName>
    <definedName name="navdbvivib">#REF!</definedName>
    <definedName name="NB">IF(#REF!="OK",OK_wy,NOK_wy)</definedName>
    <definedName name="NB_RT_Chart_Data">#REF!,#REF!</definedName>
    <definedName name="nbad">#REF!</definedName>
    <definedName name="nbsvsrg">#REF!</definedName>
    <definedName name="nbvcdrth">#REF!</definedName>
    <definedName name="nbvcrtyh">#REF!</definedName>
    <definedName name="nbvctgyh">#REF!</definedName>
    <definedName name="nbvcxdf">#REF!</definedName>
    <definedName name="nbvdkvnkdv">#REF!</definedName>
    <definedName name="nbvvvbbbbb">#REF!</definedName>
    <definedName name="NCSITE">#REF!</definedName>
    <definedName name="ndakvjkvnv">#REF!</definedName>
    <definedName name="ndkvlavlnv">#REF!</definedName>
    <definedName name="ndvbaibav">#REF!</definedName>
    <definedName name="ndvdvv">#REF!</definedName>
    <definedName name="ndvkdvl">#REF!</definedName>
    <definedName name="ndvnjkvkja">#REF!</definedName>
    <definedName name="ndvnlkvnvao">#REF!</definedName>
    <definedName name="NEO">#REF!</definedName>
    <definedName name="Network_DT_PT_Document">#REF!</definedName>
    <definedName name="Network1_Clear">#REF!</definedName>
    <definedName name="Network2_Clear">#REF!</definedName>
    <definedName name="Network2_Clear2">#REF!</definedName>
    <definedName name="networktotal">#REF!</definedName>
    <definedName name="new">#REF!</definedName>
    <definedName name="Newman_Baseline">#REF!</definedName>
    <definedName name="Newman_Cost_Reduction">#REF!</definedName>
    <definedName name="Newman_Ext_Cost">#REF!</definedName>
    <definedName name="Newman_Reduction_Percentage">#REF!</definedName>
    <definedName name="next">#REF!</definedName>
    <definedName name="ngnwgwng">#REF!</definedName>
    <definedName name="ngwenw">#REF!</definedName>
    <definedName name="Nickel_Silver__C7521R">#REF!+#REF!</definedName>
    <definedName name="njnjiniini">#REF!</definedName>
    <definedName name="nkdvbdkvbkv">#REF!</definedName>
    <definedName name="nkdvbv">#REF!</definedName>
    <definedName name="nklvdvnldvl">#REF!</definedName>
    <definedName name="nkvbkvbkav">#REF!</definedName>
    <definedName name="nlkvnvn">#REF!</definedName>
    <definedName name="nlvanldvnlav">#REF!</definedName>
    <definedName name="nmvnbbvb">#REF!</definedName>
    <definedName name="nniopnfa">#REF!</definedName>
    <definedName name="nnn">#REF!</definedName>
    <definedName name="nnnnm">#REF!</definedName>
    <definedName name="NO">#REF!</definedName>
    <definedName name="No_CCL">#REF!</definedName>
    <definedName name="NO_CUTS">#REF!</definedName>
    <definedName name="NO_OF_CUTS">#REF!</definedName>
    <definedName name="No_Template">#REF!</definedName>
    <definedName name="NOK">#REF!</definedName>
    <definedName name="NOK_wy">#REF!</definedName>
    <definedName name="Non_Ferrous_Transformation">#REF!</definedName>
    <definedName name="NONPRODUCTIVE_PRINT">#REF!</definedName>
    <definedName name="NOO" hidden="1">{"'MODIFY &amp; REPARE '!$B$1:$S$27"}</definedName>
    <definedName name="NormalOvertime">#REF!</definedName>
    <definedName name="NormalPlan">#REF!</definedName>
    <definedName name="notold">#REF!</definedName>
    <definedName name="NOUVEAU">#REF!</definedName>
    <definedName name="Nov_qty">OFFSET(#REF!,0,0,COUNTA(OFFSET(#REF!,0,0,999,1)),1)</definedName>
    <definedName name="npfyy">#REF!</definedName>
    <definedName name="NTD">#REF!</definedName>
    <definedName name="ntnn">#REF!</definedName>
    <definedName name="nttnwa">#REF!</definedName>
    <definedName name="Num_Pmt_Per_Year">#REF!</definedName>
    <definedName name="Number_of_operators">#REF!</definedName>
    <definedName name="Number_of_Payments">MATCH(0.01,End_Bal,-1)+1</definedName>
    <definedName name="Number_Places">#REF!</definedName>
    <definedName name="numbers">#REF!</definedName>
    <definedName name="nvaldvnlvnalv">#REF!</definedName>
    <definedName name="nvedvbauvb">#REF!</definedName>
    <definedName name="nvkabvkvbk">#REF!</definedName>
    <definedName name="nvnkdvkv">#REF!</definedName>
    <definedName name="nwtnwattn">#REF!</definedName>
    <definedName name="nymnednz">#REF!</definedName>
    <definedName name="nytmtrewacsvb">#REF!</definedName>
    <definedName name="nytnsn">#REF!</definedName>
    <definedName name="o">#REF!</definedName>
    <definedName name="O_Media_Man">#REF!</definedName>
    <definedName name="O_Media_W">#REF!</definedName>
    <definedName name="O_SW">#REF!</definedName>
    <definedName name="O_SW_MC">#REF!</definedName>
    <definedName name="O_SW_Score_Total">#REF!</definedName>
    <definedName name="O_SW_W">#REF!</definedName>
    <definedName name="Oanswer">#REF!</definedName>
    <definedName name="OASALES">#REF!</definedName>
    <definedName name="OASALES1">#REF!</definedName>
    <definedName name="OASALES2">#REF!</definedName>
    <definedName name="Ocean_Rate">#REF!</definedName>
    <definedName name="OCREDITOR">#REF!</definedName>
    <definedName name="Oct_qty">OFFSET(#REF!,0,0,COUNTA(OFFSET(#REF!,0,0,999,1)),1)</definedName>
    <definedName name="ODD">#REF!</definedName>
    <definedName name="odk">#REF!</definedName>
    <definedName name="ODS" hidden="1">[11]Mfg_Tdg!$B$65:$P$92</definedName>
    <definedName name="ODTR">#REF!</definedName>
    <definedName name="OE">#REF!</definedName>
    <definedName name="OFFFIN">#REF!</definedName>
    <definedName name="ofk">#REF!</definedName>
    <definedName name="OH">#REF!</definedName>
    <definedName name="OH_NCT">#REF!</definedName>
    <definedName name="OH_tool">#REF!</definedName>
    <definedName name="OHAA">#REF!</definedName>
    <definedName name="OHBB">#REF!</definedName>
    <definedName name="ohc">#REF!</definedName>
    <definedName name="OHCC">#REF!</definedName>
    <definedName name="ohd">#REF!</definedName>
    <definedName name="OHDD">#REF!</definedName>
    <definedName name="ohe">#REF!</definedName>
    <definedName name="ohez">#REF!</definedName>
    <definedName name="ohf">#REF!</definedName>
    <definedName name="ohfz">#REF!</definedName>
    <definedName name="ohg">#REF!</definedName>
    <definedName name="ohgtdx">#REF!</definedName>
    <definedName name="ohh">#REF!</definedName>
    <definedName name="ohi">#REF!</definedName>
    <definedName name="ohj">#REF!</definedName>
    <definedName name="ohk">#REF!</definedName>
    <definedName name="ohl">#REF!</definedName>
    <definedName name="ohm">#REF!</definedName>
    <definedName name="ohn">#REF!</definedName>
    <definedName name="oho">#REF!</definedName>
    <definedName name="ohv">#REF!</definedName>
    <definedName name="ohy">#REF!</definedName>
    <definedName name="ohyy">#REF!</definedName>
    <definedName name="OHZ">#REF!</definedName>
    <definedName name="ohzz">#REF!</definedName>
    <definedName name="oil">OFFSET(#REF!,0,0,COUNTA(OFFSET(#REF!,0,0,999,1)),1)</definedName>
    <definedName name="oil_price">OFFSET(#REF!,0,0,COUNTA(OFFSET(#REF!,0,0,999,1)),1)</definedName>
    <definedName name="oityu">#REF!</definedName>
    <definedName name="oiu">#REF!</definedName>
    <definedName name="OK">#REF!</definedName>
    <definedName name="OK_wy">#REF!</definedName>
    <definedName name="okzr">#REF!</definedName>
    <definedName name="old" hidden="1">{"MONTHPLAN",#N/A,FALSE,"DETAIL REPORT";"MONTHPRIOR",#N/A,FALSE,"DETAIL REPORT";"YTDPLAN",#N/A,FALSE,"DETAIL REPORT";"YTDPRIOR",#N/A,FALSE,"DETAIL REPORT"}</definedName>
    <definedName name="on" hidden="1">[3]현금및현금등가물!#REF!</definedName>
    <definedName name="ON_SITE01">#REF!</definedName>
    <definedName name="ON_SITE02">#REF!</definedName>
    <definedName name="ON_SITE03">#REF!</definedName>
    <definedName name="ON_SITE04">#REF!</definedName>
    <definedName name="ON_SITE05">#REF!</definedName>
    <definedName name="ON_SITE06">#REF!</definedName>
    <definedName name="ON_SITE07">#REF!</definedName>
    <definedName name="ON_SITE08">#REF!</definedName>
    <definedName name="ON_SITE09">#REF!</definedName>
    <definedName name="ON_SITE10">#REF!</definedName>
    <definedName name="ON_SITE11">#REF!</definedName>
    <definedName name="ON_SITE12">#REF!</definedName>
    <definedName name="ON_SITE13">#REF!</definedName>
    <definedName name="ON_SITE14">#REF!</definedName>
    <definedName name="ON_SITE15">#REF!</definedName>
    <definedName name="ON_SITE16">#REF!</definedName>
    <definedName name="ON_SITE17">#REF!</definedName>
    <definedName name="ON_SITE18">#REF!</definedName>
    <definedName name="ON_SITE19">#REF!</definedName>
    <definedName name="ON_SITE20">#REF!</definedName>
    <definedName name="ON_SITE21">#REF!</definedName>
    <definedName name="ON_SITE22">#REF!</definedName>
    <definedName name="ON_SITE23">#REF!</definedName>
    <definedName name="One_Cut">#REF!</definedName>
    <definedName name="OO">#REF!</definedName>
    <definedName name="ooo">#REF!</definedName>
    <definedName name="ooooo" hidden="1">{"'MODIFY &amp; REPARE '!$B$1:$S$27"}</definedName>
    <definedName name="op">#REF!</definedName>
    <definedName name="OPER_QTY">#REF!</definedName>
    <definedName name="operation">OFFSET(#REF!,0,0,COUNTA(OFFSET(#REF!,0,0,999,1)),1)</definedName>
    <definedName name="Operation3">#REF!</definedName>
    <definedName name="OPN">#REF!</definedName>
    <definedName name="opop">#REF!</definedName>
    <definedName name="option1">#REF!</definedName>
    <definedName name="OQC月报">#REF!</definedName>
    <definedName name="Org">#REF!</definedName>
    <definedName name="org_score">#REF!</definedName>
    <definedName name="org_total">#REF!</definedName>
    <definedName name="Org_W">#REF!</definedName>
    <definedName name="Organization">#REF!</definedName>
    <definedName name="Organization_Score">#REF!</definedName>
    <definedName name="Organization_Total">#REF!</definedName>
    <definedName name="Organization_W">#REF!</definedName>
    <definedName name="Orig_ISR">#REF!</definedName>
    <definedName name="Orig_ISR_Date">#REF!</definedName>
    <definedName name="Origin">#REF!</definedName>
    <definedName name="Originating_Group">#REF!</definedName>
    <definedName name="OS">#REF!</definedName>
    <definedName name="OT">#REF!</definedName>
    <definedName name="Oteroperation_cost">#REF!</definedName>
    <definedName name="Other_Cost">#REF!</definedName>
    <definedName name="Other_Devices">#REF!</definedName>
    <definedName name="Other_Drivers">#REF!</definedName>
    <definedName name="OtherPriceImpacts">#REF!</definedName>
    <definedName name="Others" hidden="1">{"'MODIFY &amp; REPARE '!$B$1:$S$27"}</definedName>
    <definedName name="OthersCost">#REF!</definedName>
    <definedName name="OthersDate">#REF!</definedName>
    <definedName name="OthersFun">#REF!</definedName>
    <definedName name="OthersPresent">#REF!</definedName>
    <definedName name="OthersProject">#REF!</definedName>
    <definedName name="OthersStage">#REF!</definedName>
    <definedName name="OthersWeek">#REF!</definedName>
    <definedName name="Others國假">#REF!</definedName>
    <definedName name="Others假日">#REF!</definedName>
    <definedName name="Others平日">#REF!</definedName>
    <definedName name="OTNI">#REF!</definedName>
    <definedName name="OTNI_W">#REF!</definedName>
    <definedName name="otu">#REF!</definedName>
    <definedName name="OUTPUT_RATE">#REF!</definedName>
    <definedName name="Overdues">#REF!</definedName>
    <definedName name="overhead">#REF!</definedName>
    <definedName name="overheads">#REF!</definedName>
    <definedName name="overtime">#REF!</definedName>
    <definedName name="OvertimeSTD">#REF!</definedName>
    <definedName name="ovs">#REF!</definedName>
    <definedName name="OWNER">#REF!</definedName>
    <definedName name="Ownership">#REF!</definedName>
    <definedName name="OY">#REF!</definedName>
    <definedName name="P">#REF!</definedName>
    <definedName name="p_an">#REF!</definedName>
    <definedName name="P_HW_Document">#REF!</definedName>
    <definedName name="P_M">#REF!</definedName>
    <definedName name="P1_CAV">#REF!</definedName>
    <definedName name="P1_CAV2">#REF!</definedName>
    <definedName name="P1_MAT">#REF!</definedName>
    <definedName name="P1_MAT2">#REF!</definedName>
    <definedName name="P1_NAME">#REF!</definedName>
    <definedName name="P1_NAME2">#REF!</definedName>
    <definedName name="p1_no">#REF!</definedName>
    <definedName name="p1_no2">#REF!</definedName>
    <definedName name="P1_W">#REF!</definedName>
    <definedName name="p1_W2">#REF!</definedName>
    <definedName name="P10_CAV">#REF!</definedName>
    <definedName name="P10_CAV2">#REF!</definedName>
    <definedName name="P10_MAT">#REF!</definedName>
    <definedName name="P10_NAME">#REF!</definedName>
    <definedName name="P10_NO">#REF!</definedName>
    <definedName name="P10_W">#REF!</definedName>
    <definedName name="P11_CAV">#REF!</definedName>
    <definedName name="P11_MAT">#REF!</definedName>
    <definedName name="P11_NAME">#REF!</definedName>
    <definedName name="P11_NO">#REF!</definedName>
    <definedName name="P11_W">#REF!</definedName>
    <definedName name="p12_cav">#REF!</definedName>
    <definedName name="p12_cav1">#REF!</definedName>
    <definedName name="p12_mat">#REF!</definedName>
    <definedName name="p12_name">#REF!</definedName>
    <definedName name="p12_no">#REF!</definedName>
    <definedName name="p12_w">#REF!</definedName>
    <definedName name="p13_cav">#REF!</definedName>
    <definedName name="p13_mat">#REF!</definedName>
    <definedName name="p13_name">#REF!</definedName>
    <definedName name="p13_no">#REF!</definedName>
    <definedName name="p13_w">#REF!</definedName>
    <definedName name="p14_cav">#REF!</definedName>
    <definedName name="p14_mat">#REF!</definedName>
    <definedName name="p14_mat1">#REF!</definedName>
    <definedName name="p14_name">#REF!</definedName>
    <definedName name="p14_name_b">#REF!</definedName>
    <definedName name="p14_no">#REF!</definedName>
    <definedName name="p14_w">#REF!</definedName>
    <definedName name="p14_w1">#REF!</definedName>
    <definedName name="p15_cav">#REF!</definedName>
    <definedName name="p15_mat">#REF!</definedName>
    <definedName name="p15_mat1">#REF!</definedName>
    <definedName name="p15_name_b">#REF!</definedName>
    <definedName name="p15_w">#REF!</definedName>
    <definedName name="p15_w1">#REF!</definedName>
    <definedName name="P160T">#REF!</definedName>
    <definedName name="p2_cav">#REF!</definedName>
    <definedName name="P2_MAT">#REF!</definedName>
    <definedName name="P2_NAME">#REF!</definedName>
    <definedName name="p2_no">#REF!</definedName>
    <definedName name="P2_W">#REF!</definedName>
    <definedName name="P25T">#REF!</definedName>
    <definedName name="P3_CAV">#REF!</definedName>
    <definedName name="P3_MAT">#REF!</definedName>
    <definedName name="P3_NAME">#REF!</definedName>
    <definedName name="p3_no">#REF!</definedName>
    <definedName name="P3_W">#REF!</definedName>
    <definedName name="P4_CAV">#REF!</definedName>
    <definedName name="P4_MAT">#REF!</definedName>
    <definedName name="P4_NAME">#REF!</definedName>
    <definedName name="p4_no">#REF!</definedName>
    <definedName name="P4_W">#REF!</definedName>
    <definedName name="P400T">#REF!</definedName>
    <definedName name="P5_CAV">#REF!</definedName>
    <definedName name="P5_MAT">#REF!</definedName>
    <definedName name="P5_NAME">#REF!</definedName>
    <definedName name="p5_no">#REF!</definedName>
    <definedName name="P5_W">#REF!</definedName>
    <definedName name="P6_CAV">#REF!</definedName>
    <definedName name="P6_MAT">#REF!</definedName>
    <definedName name="P6_NAME">#REF!</definedName>
    <definedName name="p6_no">#REF!</definedName>
    <definedName name="P6_W">#REF!</definedName>
    <definedName name="P63T">#REF!</definedName>
    <definedName name="P7_CAV">#REF!</definedName>
    <definedName name="P7_MAT">#REF!</definedName>
    <definedName name="P7_NAME">#REF!</definedName>
    <definedName name="P7_NO">#REF!</definedName>
    <definedName name="P7_W">#REF!</definedName>
    <definedName name="p8_cav">#REF!</definedName>
    <definedName name="P8_MAT">#REF!</definedName>
    <definedName name="P8_NAME">#REF!</definedName>
    <definedName name="p8_no">#REF!</definedName>
    <definedName name="P8_W">#REF!</definedName>
    <definedName name="P9_CAV">#REF!</definedName>
    <definedName name="P9_MAT">#REF!</definedName>
    <definedName name="P9_NAME">#REF!</definedName>
    <definedName name="p9_no">#REF!</definedName>
    <definedName name="P9_W">#REF!</definedName>
    <definedName name="pa">#REF!</definedName>
    <definedName name="PA_bc">#REF!</definedName>
    <definedName name="PAC???" hidden="1">{#N/A,#N/A,TRUE,"????-1";#N/A,#N/A,TRUE,"????-2";#N/A,#N/A,TRUE,"????";#N/A,#N/A,TRUE,"RAC";#N/A,#N/A,TRUE,"PAC ";#N/A,#N/A,TRUE,"????";#N/A,#N/A,TRUE,"????"}</definedName>
    <definedName name="PACK">#REF!</definedName>
    <definedName name="PACKAA">#REF!</definedName>
    <definedName name="Packaging">#REF!</definedName>
    <definedName name="Packaging_type">#REF!</definedName>
    <definedName name="PACKBB">#REF!</definedName>
    <definedName name="PACKCC">#REF!</definedName>
    <definedName name="PACKDD">#REF!</definedName>
    <definedName name="packing">OFFSET(#REF!,,,COUNTA(#REF!),1)</definedName>
    <definedName name="Packing_Location">#REF!</definedName>
    <definedName name="Packmethode">#REF!</definedName>
    <definedName name="packy">#REF!</definedName>
    <definedName name="PAC중대형" hidden="1">{#N/A,#N/A,TRUE,"매출진척-1";#N/A,#N/A,TRUE,"매출진척-2";#N/A,#N/A,TRUE,"제품실적";#N/A,#N/A,TRUE,"RAC";#N/A,#N/A,TRUE,"PAC ";#N/A,#N/A,TRUE,"재고현황";#N/A,#N/A,TRUE,"공지사항"}</definedName>
    <definedName name="Page1">#REF!</definedName>
    <definedName name="Page1part">#REF!</definedName>
    <definedName name="Page2">#REF!</definedName>
    <definedName name="Page2part">#REF!</definedName>
    <definedName name="Page3">#REF!</definedName>
    <definedName name="Page3part">#REF!</definedName>
    <definedName name="Page4">#REF!</definedName>
    <definedName name="Page4part">#REF!</definedName>
    <definedName name="Page5">#REF!</definedName>
    <definedName name="Page5part">#REF!</definedName>
    <definedName name="Page6">#REF!</definedName>
    <definedName name="Page6part">#REF!</definedName>
    <definedName name="Page7">#REF!</definedName>
    <definedName name="Paint_Material">#N/A</definedName>
    <definedName name="Palett">#REF!</definedName>
    <definedName name="Pallet">#REF!</definedName>
    <definedName name="Pallet_dimensions">#REF!</definedName>
    <definedName name="Pallet_Table">#REF!</definedName>
    <definedName name="Pallet_type">#REF!</definedName>
    <definedName name="Panswer">#REF!</definedName>
    <definedName name="PanYong">#REF!,#REF!,#REF!,#REF!,#REF!,#REF!,#REF!,#REF!,#REF!,#REF!</definedName>
    <definedName name="parent">#REF!</definedName>
    <definedName name="ParentNumber">#REF!</definedName>
    <definedName name="part" localSheetId="10" hidden="1">'[12]Issues List'!#REF!</definedName>
    <definedName name="part" localSheetId="11" hidden="1">'[12]Issues List'!#REF!</definedName>
    <definedName name="part" localSheetId="12" hidden="1">'[12]Issues List'!#REF!</definedName>
    <definedName name="part" localSheetId="1" hidden="1">'[12]Issues List'!#REF!</definedName>
    <definedName name="part" hidden="1">'[12]Issues List'!#REF!</definedName>
    <definedName name="Part_Data">#REF!</definedName>
    <definedName name="Part_List_tooling" hidden="1">{"'MODIFY &amp; REPARE '!$B$1:$S$27"}</definedName>
    <definedName name="Part_Material">#REF!</definedName>
    <definedName name="PART_NAME01">#REF!</definedName>
    <definedName name="PART_NAME02">#REF!</definedName>
    <definedName name="PART_NAME03">#REF!</definedName>
    <definedName name="PART_NAME04">#REF!</definedName>
    <definedName name="PART_NAME05">#REF!</definedName>
    <definedName name="PART_NAME06">#REF!</definedName>
    <definedName name="PART_NAME07">#REF!</definedName>
    <definedName name="PART_NAME08">#REF!</definedName>
    <definedName name="PART_NAME09">#REF!</definedName>
    <definedName name="PART_NAME10">#REF!</definedName>
    <definedName name="PART_NAME11">#REF!</definedName>
    <definedName name="PART_NAME12">#REF!</definedName>
    <definedName name="PART_NAME13">#REF!</definedName>
    <definedName name="PART_NAME14">#REF!</definedName>
    <definedName name="PART_NAME15">#REF!</definedName>
    <definedName name="PART_NAME16">#REF!</definedName>
    <definedName name="PART_NAME17">#REF!</definedName>
    <definedName name="PART_NAME18">#REF!</definedName>
    <definedName name="Part_No">#REF!</definedName>
    <definedName name="PART_NO01">#REF!</definedName>
    <definedName name="PART_NO02">#REF!</definedName>
    <definedName name="PART_NO03">#REF!</definedName>
    <definedName name="PART_NO04">#REF!</definedName>
    <definedName name="PART_NO05">#REF!</definedName>
    <definedName name="PART_NO06">#REF!</definedName>
    <definedName name="PART_NO07">#REF!</definedName>
    <definedName name="PART_NO08">#REF!</definedName>
    <definedName name="PART_NO09">#REF!</definedName>
    <definedName name="PART_NO10">#REF!</definedName>
    <definedName name="PART_NO11">#REF!</definedName>
    <definedName name="PART_NO12">#REF!</definedName>
    <definedName name="PART_NO13">#REF!</definedName>
    <definedName name="PART_NO14">#REF!</definedName>
    <definedName name="PART_NO15">#REF!</definedName>
    <definedName name="PART_NO16">#REF!</definedName>
    <definedName name="PART_NO17">#REF!</definedName>
    <definedName name="PART_NO18">#REF!</definedName>
    <definedName name="PART_NO19">#REF!</definedName>
    <definedName name="PART_NO20">#REF!</definedName>
    <definedName name="PART_NO21">#REF!</definedName>
    <definedName name="PART_NO22">#REF!</definedName>
    <definedName name="PART_NO23">#REF!</definedName>
    <definedName name="part_type">#REF!</definedName>
    <definedName name="Part1ref">#REF!</definedName>
    <definedName name="Part2ref">#REF!</definedName>
    <definedName name="Part3ref">#REF!</definedName>
    <definedName name="Part4ref">#REF!</definedName>
    <definedName name="Part5ref">#REF!</definedName>
    <definedName name="Part6ref">#REF!</definedName>
    <definedName name="PartDescription">#REF!</definedName>
    <definedName name="PartEight">#REF!</definedName>
    <definedName name="partes_y_grupos">#REF!</definedName>
    <definedName name="PartFive">#REF!</definedName>
    <definedName name="PartFour">#REF!</definedName>
    <definedName name="Partition">#REF!</definedName>
    <definedName name="PARTLIST">#REF!</definedName>
    <definedName name="PARTLIST0">#REF!</definedName>
    <definedName name="PartNine">#REF!</definedName>
    <definedName name="PartOne">#REF!</definedName>
    <definedName name="parts">#REF!</definedName>
    <definedName name="PartSeven">#REF!</definedName>
    <definedName name="PartSix">#REF!</definedName>
    <definedName name="PartTen">#REF!</definedName>
    <definedName name="PartTree">#REF!</definedName>
    <definedName name="PartTwo">#REF!</definedName>
    <definedName name="Paso">#REF!</definedName>
    <definedName name="Paso_1">#REF!</definedName>
    <definedName name="Paso_2">#REF!</definedName>
    <definedName name="Paso_3">#REF!</definedName>
    <definedName name="Paso_4">#REF!</definedName>
    <definedName name="Paso1">#REF!</definedName>
    <definedName name="Paso10">#REF!</definedName>
    <definedName name="Paso2">#REF!</definedName>
    <definedName name="Paso3">#REF!</definedName>
    <definedName name="Paso4">#REF!</definedName>
    <definedName name="Paso5">#REF!</definedName>
    <definedName name="Paso6">#REF!</definedName>
    <definedName name="Paso7">#REF!</definedName>
    <definedName name="Paso8">#REF!</definedName>
    <definedName name="Paso9">#REF!</definedName>
    <definedName name="paxk">#REF!</definedName>
    <definedName name="Pay_Date">#REF!</definedName>
    <definedName name="Pay_Num">#REF!</definedName>
    <definedName name="Payment_Date">DATE(YEAR(Loan_Start),MONTH(Loan_Start)+Payment_Number,DAY(Loan_Start))</definedName>
    <definedName name="PaymentTerms">#REF!</definedName>
    <definedName name="pbt20fv">#REF!</definedName>
    <definedName name="pc">#REF!</definedName>
    <definedName name="PCB">#REF!</definedName>
    <definedName name="PCBA">#REF!</definedName>
    <definedName name="pcba1">#REF!</definedName>
    <definedName name="PCBAOffline">#REF!</definedName>
    <definedName name="pcb共用人力">#REF!</definedName>
    <definedName name="pcb輪值表">#REF!</definedName>
    <definedName name="pci">#REF!</definedName>
    <definedName name="pd">#REF!</definedName>
    <definedName name="PDEBUR">#REF!</definedName>
    <definedName name="PDRestHC">#REF!</definedName>
    <definedName name="PDTurnoverHC">#REF!</definedName>
    <definedName name="PE">#REF!</definedName>
    <definedName name="Pencent">#REF!</definedName>
    <definedName name="PEng_Pr_01">#REF!</definedName>
    <definedName name="PEng_Pr_02">#REF!</definedName>
    <definedName name="PEng_Pr_03">#REF!</definedName>
    <definedName name="pentagon">#REF!</definedName>
    <definedName name="percent">#REF!</definedName>
    <definedName name="performance">#REF!</definedName>
    <definedName name="period">#REF!</definedName>
    <definedName name="pez">#REF!</definedName>
    <definedName name="PF">#REF!</definedName>
    <definedName name="PFAA">#REF!</definedName>
    <definedName name="PFBB">#REF!</definedName>
    <definedName name="pfc">#REF!</definedName>
    <definedName name="PFCC">#REF!</definedName>
    <definedName name="pfd">#REF!</definedName>
    <definedName name="PFDD">#REF!</definedName>
    <definedName name="pfe">#REF!</definedName>
    <definedName name="pfez">#REF!</definedName>
    <definedName name="pff">#REF!</definedName>
    <definedName name="pffz">#REF!</definedName>
    <definedName name="pfg">#REF!</definedName>
    <definedName name="pfh">#REF!</definedName>
    <definedName name="pfi">#REF!</definedName>
    <definedName name="PFIT">#REF!</definedName>
    <definedName name="pfj">#REF!</definedName>
    <definedName name="pfk">#REF!</definedName>
    <definedName name="pfl">#REF!</definedName>
    <definedName name="pfm">#REF!</definedName>
    <definedName name="pfn">#REF!</definedName>
    <definedName name="pfy">#REF!</definedName>
    <definedName name="PFZ">#REF!</definedName>
    <definedName name="pfzz">#REF!</definedName>
    <definedName name="pg">#REF!</definedName>
    <definedName name="pgm_1210_q1">#REF!</definedName>
    <definedName name="pgm_1210_q2">#REF!</definedName>
    <definedName name="pgm_1210_q3">#REF!</definedName>
    <definedName name="pgm_1210_q4">#REF!</definedName>
    <definedName name="pgm_1240">#REF!</definedName>
    <definedName name="pgv">#REF!</definedName>
    <definedName name="ph">#REF!</definedName>
    <definedName name="PHH">#REF!</definedName>
    <definedName name="PHL">#REF!</definedName>
    <definedName name="pho">#REF!</definedName>
    <definedName name="PhoneNumber">#REF!</definedName>
    <definedName name="PHP">#REF!</definedName>
    <definedName name="PHPAA">#REF!</definedName>
    <definedName name="PHPBB">#REF!</definedName>
    <definedName name="phpc">#REF!</definedName>
    <definedName name="PHPCC">#REF!</definedName>
    <definedName name="phpd">#REF!</definedName>
    <definedName name="PHPDD">#REF!</definedName>
    <definedName name="phpe">#REF!</definedName>
    <definedName name="phpez">#REF!</definedName>
    <definedName name="phpf">#REF!</definedName>
    <definedName name="phpfz">#REF!</definedName>
    <definedName name="phpg">#REF!</definedName>
    <definedName name="phph">#REF!</definedName>
    <definedName name="phpi">#REF!</definedName>
    <definedName name="phpj">#REF!</definedName>
    <definedName name="phpk">#REF!</definedName>
    <definedName name="phpl">#REF!</definedName>
    <definedName name="phpm">#REF!</definedName>
    <definedName name="phpn">#REF!</definedName>
    <definedName name="phpo">#REF!</definedName>
    <definedName name="phpv">#REF!</definedName>
    <definedName name="phpy">#REF!</definedName>
    <definedName name="phpyy">#REF!</definedName>
    <definedName name="PHPZ">#REF!</definedName>
    <definedName name="phpzz">#REF!</definedName>
    <definedName name="PHw">#REF!</definedName>
    <definedName name="PHW_Avg">#REF!</definedName>
    <definedName name="PHW_Clear">#REF!</definedName>
    <definedName name="PHW_Max">#REF!</definedName>
    <definedName name="PHW_Min">#REF!</definedName>
    <definedName name="PHW_P1">#REF!</definedName>
    <definedName name="PHW_P10">#REF!</definedName>
    <definedName name="PHW_P2">#REF!</definedName>
    <definedName name="PHW_P3">#REF!</definedName>
    <definedName name="PHW_P4">#REF!</definedName>
    <definedName name="PHW_P5">#REF!</definedName>
    <definedName name="PHW_P6">#REF!</definedName>
    <definedName name="PHW_P7">#REF!</definedName>
    <definedName name="PHW_P8">#REF!</definedName>
    <definedName name="PHW_P9">#REF!</definedName>
    <definedName name="PHW_RH1">#REF!</definedName>
    <definedName name="PHW_RH10">#REF!</definedName>
    <definedName name="PHW_RH2">#REF!</definedName>
    <definedName name="PHW_RH3">#REF!</definedName>
    <definedName name="PHW_RH4">#REF!</definedName>
    <definedName name="PHW_RH5">#REF!</definedName>
    <definedName name="PHW_RH6">#REF!</definedName>
    <definedName name="PHW_RH7">#REF!</definedName>
    <definedName name="PHW_RH8">#REF!</definedName>
    <definedName name="PHW_RH9">#REF!</definedName>
    <definedName name="PHW_RL1">#REF!</definedName>
    <definedName name="PHW_RL10">#REF!</definedName>
    <definedName name="PHW_RL2">#REF!</definedName>
    <definedName name="PHW_RL3">#REF!</definedName>
    <definedName name="PHW_RL4">#REF!</definedName>
    <definedName name="PHW_RL5">#REF!</definedName>
    <definedName name="PHW_RL6">#REF!</definedName>
    <definedName name="PHW_RL7">#REF!</definedName>
    <definedName name="PHW_RL8">#REF!</definedName>
    <definedName name="PHW_RL9">#REF!</definedName>
    <definedName name="PHW_S">#REF!</definedName>
    <definedName name="PHW_Score">#REF!</definedName>
    <definedName name="PHW_T">#REF!</definedName>
    <definedName name="PHW_Total">#REF!</definedName>
    <definedName name="PHw_W">#REF!</definedName>
    <definedName name="PI">#N/A</definedName>
    <definedName name="PICK">#REF!</definedName>
    <definedName name="pick_Up_Frequency">#REF!</definedName>
    <definedName name="Pilote">#REF!</definedName>
    <definedName name="PITCH">#REF!</definedName>
    <definedName name="pj">#REF!</definedName>
    <definedName name="PK">#REF!</definedName>
    <definedName name="pkc">#REF!</definedName>
    <definedName name="pkd">#REF!</definedName>
    <definedName name="pke">#REF!</definedName>
    <definedName name="pkez">#REF!</definedName>
    <definedName name="pkf">#REF!</definedName>
    <definedName name="pkfz">#REF!</definedName>
    <definedName name="pkg">#REF!</definedName>
    <definedName name="Pkg_Lab">#REF!</definedName>
    <definedName name="Pkg_Mat">#REF!</definedName>
    <definedName name="PKG10.1">#REF!</definedName>
    <definedName name="PKG10.2">#REF!</definedName>
    <definedName name="PKG11.1">#REF!</definedName>
    <definedName name="PKG11.2">#REF!</definedName>
    <definedName name="PKG14.1">#REF!</definedName>
    <definedName name="PKG14.2">#REF!</definedName>
    <definedName name="PKG15.1">#REF!</definedName>
    <definedName name="PKG15.2">#REF!</definedName>
    <definedName name="PKG16.1">#REF!</definedName>
    <definedName name="PKG16.2">#REF!</definedName>
    <definedName name="PKG17.1">#REF!</definedName>
    <definedName name="PKG17.2">#REF!</definedName>
    <definedName name="PKG18.1">#REF!</definedName>
    <definedName name="PKG18.2">#REF!</definedName>
    <definedName name="PKG20.1">#REF!</definedName>
    <definedName name="PKG20.2">#REF!</definedName>
    <definedName name="PKG23.1">#REF!</definedName>
    <definedName name="PKG23.2">#REF!</definedName>
    <definedName name="PKG24.1">#REF!</definedName>
    <definedName name="PKG24.2">#REF!</definedName>
    <definedName name="PKG32.1">#REF!</definedName>
    <definedName name="PKG32.2">#REF!</definedName>
    <definedName name="PKG33.1">#REF!</definedName>
    <definedName name="PKG33.2">#REF!</definedName>
    <definedName name="PKG34.1">#REF!</definedName>
    <definedName name="PKG34.2">#REF!</definedName>
    <definedName name="PKG35.1">#REF!</definedName>
    <definedName name="PKG35.2">#REF!</definedName>
    <definedName name="PKG37.1">#REF!</definedName>
    <definedName name="PKG37.2">#REF!</definedName>
    <definedName name="PKG38.1">#REF!</definedName>
    <definedName name="PKG38.2">#REF!</definedName>
    <definedName name="PKG4.1">#REF!</definedName>
    <definedName name="PKG4.2">#REF!</definedName>
    <definedName name="PKG40.1">#REF!</definedName>
    <definedName name="PKG40.2">#REF!</definedName>
    <definedName name="PKG5.1">#REF!</definedName>
    <definedName name="PKG5.2">#REF!</definedName>
    <definedName name="PKG6.1">#REF!</definedName>
    <definedName name="PKG6.2">#REF!</definedName>
    <definedName name="PKGAA">#REF!</definedName>
    <definedName name="PKGBB">#REF!</definedName>
    <definedName name="PKGCC">#REF!</definedName>
    <definedName name="PkgCost">#REF!</definedName>
    <definedName name="PKGDD">#REF!</definedName>
    <definedName name="PkgTyp">#REF!</definedName>
    <definedName name="pkgy">#REF!</definedName>
    <definedName name="PKGZ">#REF!</definedName>
    <definedName name="pkh">#REF!</definedName>
    <definedName name="pki">#REF!</definedName>
    <definedName name="pkj">#REF!</definedName>
    <definedName name="pkk">#REF!</definedName>
    <definedName name="pkl">#REF!</definedName>
    <definedName name="pkm">#REF!</definedName>
    <definedName name="pkn">#REF!</definedName>
    <definedName name="pko">#REF!</definedName>
    <definedName name="pkv">#REF!</definedName>
    <definedName name="pkyy">#REF!</definedName>
    <definedName name="pkzz">#REF!</definedName>
    <definedName name="pl">#REF!</definedName>
    <definedName name="Pla" localSheetId="10" hidden="1">'[4]Issues List'!#REF!</definedName>
    <definedName name="Pla" localSheetId="11" hidden="1">'[4]Issues List'!#REF!</definedName>
    <definedName name="Pla" localSheetId="12" hidden="1">'[4]Issues List'!#REF!</definedName>
    <definedName name="Pla" localSheetId="1" hidden="1">'[4]Issues List'!#REF!</definedName>
    <definedName name="Pla" hidden="1">'[4]Issues List'!#REF!</definedName>
    <definedName name="place">OFFSET(#REF!,0,0,COUNTA(OFFSET(#REF!,0,0,999,1)),1)</definedName>
    <definedName name="plage">#REF!</definedName>
    <definedName name="Plan">#REF!,#REF!,#REF!,#REF!</definedName>
    <definedName name="plant">#REF!</definedName>
    <definedName name="plant_input">#REF!</definedName>
    <definedName name="plantc">#REF!</definedName>
    <definedName name="plante">#REF!</definedName>
    <definedName name="plantsa">#REF!</definedName>
    <definedName name="plastic">#REF!</definedName>
    <definedName name="Plastic_MC_DO_List">#REF!</definedName>
    <definedName name="Plastic_MC_DO_Table">#REF!</definedName>
    <definedName name="Plastic_MC_TH_List">#REF!</definedName>
    <definedName name="Plastic_MC_TH_Table">#REF!</definedName>
    <definedName name="Plastic_tooling">#REF!</definedName>
    <definedName name="Plastic2D">#REF!</definedName>
    <definedName name="Plastic3D">#REF!</definedName>
    <definedName name="PlasticBag">#REF!</definedName>
    <definedName name="PlasticPaint">#REF!</definedName>
    <definedName name="Plastics_Transformation">#REF!</definedName>
    <definedName name="Plate_Thickness">#REF!</definedName>
    <definedName name="PlateOffset">#REF!</definedName>
    <definedName name="PLH">#REF!</definedName>
    <definedName name="plhalf" hidden="1">#REF!</definedName>
    <definedName name="PLL">#REF!</definedName>
    <definedName name="plnCap">#REF!</definedName>
    <definedName name="plnEVA">#REF!</definedName>
    <definedName name="plnOP">#REF!</definedName>
    <definedName name="plnOth">#REF!</definedName>
    <definedName name="plnRev">#REF!</definedName>
    <definedName name="PLOSS">#REF!</definedName>
    <definedName name="PLP">#REF!</definedName>
    <definedName name="PLPAA">#REF!</definedName>
    <definedName name="PLPBB">#REF!</definedName>
    <definedName name="plpc">#REF!</definedName>
    <definedName name="PLPCC">#REF!</definedName>
    <definedName name="plpd">#REF!</definedName>
    <definedName name="PLPDD">#REF!</definedName>
    <definedName name="plpe">#REF!</definedName>
    <definedName name="plpez">#REF!</definedName>
    <definedName name="plpf">#REF!</definedName>
    <definedName name="plpfz">#REF!</definedName>
    <definedName name="plpg">#REF!</definedName>
    <definedName name="plph">#REF!</definedName>
    <definedName name="plpi">#REF!</definedName>
    <definedName name="plpj">#REF!</definedName>
    <definedName name="plpk">#REF!</definedName>
    <definedName name="plpl">#REF!</definedName>
    <definedName name="plpm">#REF!</definedName>
    <definedName name="plpn">#REF!</definedName>
    <definedName name="plpo">#REF!</definedName>
    <definedName name="plpv">#REF!</definedName>
    <definedName name="plpy">#REF!</definedName>
    <definedName name="plpyy">#REF!</definedName>
    <definedName name="PLPZ">#REF!</definedName>
    <definedName name="plpzz">#REF!</definedName>
    <definedName name="PLSITE">#REF!</definedName>
    <definedName name="PLUS">#REF!</definedName>
    <definedName name="PLW">#REF!</definedName>
    <definedName name="plz">#REF!</definedName>
    <definedName name="pm">#REF!</definedName>
    <definedName name="PM_C1">#REF!</definedName>
    <definedName name="PM_C2">#REF!</definedName>
    <definedName name="PM_C3">#REF!</definedName>
    <definedName name="PM_C4">#REF!</definedName>
    <definedName name="PM_C5">#REF!</definedName>
    <definedName name="PM_C6">#REF!</definedName>
    <definedName name="PM_C7">#REF!</definedName>
    <definedName name="PM_C8">#REF!</definedName>
    <definedName name="PM_LIST">#REF!</definedName>
    <definedName name="PMAINT">#REF!</definedName>
    <definedName name="PMed_Clear1">#REF!</definedName>
    <definedName name="PMed_Clear2">#REF!</definedName>
    <definedName name="PMRZ" hidden="1">{"'Individual Tooling Cost'!$B$3:$O$6"}</definedName>
    <definedName name="PN">#REF!</definedName>
    <definedName name="PNDESC">#REF!</definedName>
    <definedName name="po">#REF!</definedName>
    <definedName name="pocessfz">#REF!</definedName>
    <definedName name="pole_an">#REF!</definedName>
    <definedName name="Port">#REF!</definedName>
    <definedName name="Port_1">#REF!</definedName>
    <definedName name="Port_2">#REF!</definedName>
    <definedName name="Port_3">#REF!</definedName>
    <definedName name="Port_4">#REF!</definedName>
    <definedName name="Port1">#REF!</definedName>
    <definedName name="Port10">#REF!</definedName>
    <definedName name="Port2">#REF!</definedName>
    <definedName name="Port3">#REF!</definedName>
    <definedName name="Port4">#REF!</definedName>
    <definedName name="Port5">#REF!</definedName>
    <definedName name="Port6">#REF!</definedName>
    <definedName name="Port7">#REF!</definedName>
    <definedName name="Port8">#REF!</definedName>
    <definedName name="Port9">#REF!</definedName>
    <definedName name="Portable_Cert">#REF!</definedName>
    <definedName name="POTS">#REF!</definedName>
    <definedName name="POTS_Score">#REF!</definedName>
    <definedName name="POTS_Total">#REF!</definedName>
    <definedName name="POTS_W">#REF!</definedName>
    <definedName name="PP">#REF!</definedName>
    <definedName name="PPACK">#REF!</definedName>
    <definedName name="ppop">#REF!</definedName>
    <definedName name="PPP">#REF!</definedName>
    <definedName name="PPPP">#REF!</definedName>
    <definedName name="pppp8" hidden="1">{"'MODIFY &amp; REPARE '!$B$1:$S$27"}</definedName>
    <definedName name="ppppp8" hidden="1">{"'MODIFY &amp; REPARE '!$B$1:$S$27"}</definedName>
    <definedName name="Prandtl">#REF!</definedName>
    <definedName name="prb">#REF!</definedName>
    <definedName name="PRCost">#REF!</definedName>
    <definedName name="PRDate">#REF!</definedName>
    <definedName name="PRE">#REF!</definedName>
    <definedName name="preguntas">#REF!</definedName>
    <definedName name="Press">#REF!</definedName>
    <definedName name="PrevCost">#REF!</definedName>
    <definedName name="PRFun">#REF!</definedName>
    <definedName name="pri">#REF!</definedName>
    <definedName name="Princ">#REF!</definedName>
    <definedName name="PRINT">#REF!</definedName>
    <definedName name="_xlnm.Print_Area">#REF!</definedName>
    <definedName name="Print_Area_1">#REF!</definedName>
    <definedName name="Print_Area_MI">#REF!</definedName>
    <definedName name="Print_Area_Reset">#N/A</definedName>
    <definedName name="Print_Area1">#REF!</definedName>
    <definedName name="Print_Area2">#REF!</definedName>
    <definedName name="Print_Date">#REF!</definedName>
    <definedName name="Print_No">#REF!</definedName>
    <definedName name="print_operating_income">#REF!</definedName>
    <definedName name="_xlnm.Print_Titles">#REF!</definedName>
    <definedName name="Print_Titles_MI">#REF!</definedName>
    <definedName name="Print2">#REF!</definedName>
    <definedName name="Printed_area">#REF!</definedName>
    <definedName name="PRINTHEADING">#REF!</definedName>
    <definedName name="Prix">#REF!</definedName>
    <definedName name="PRN">#REF!</definedName>
    <definedName name="Pro">#REF!</definedName>
    <definedName name="Problem">#REF!</definedName>
    <definedName name="PROCESS">#REF!</definedName>
    <definedName name="PROCESSAA">#REF!</definedName>
    <definedName name="PROCESSBB">#REF!</definedName>
    <definedName name="processc">#REF!</definedName>
    <definedName name="PROCESSCC">#REF!</definedName>
    <definedName name="processd">#REF!</definedName>
    <definedName name="PROCESSDD">#REF!</definedName>
    <definedName name="processe">#REF!</definedName>
    <definedName name="processez">#REF!</definedName>
    <definedName name="processf">#REF!</definedName>
    <definedName name="processg">#REF!</definedName>
    <definedName name="processh">#REF!</definedName>
    <definedName name="processi">#REF!</definedName>
    <definedName name="processj">#REF!</definedName>
    <definedName name="processk">#REF!</definedName>
    <definedName name="processl">#REF!</definedName>
    <definedName name="processm">#REF!</definedName>
    <definedName name="processn">#REF!</definedName>
    <definedName name="processo">#REF!</definedName>
    <definedName name="processstation">#REF!</definedName>
    <definedName name="processType">#REF!</definedName>
    <definedName name="processv">#REF!</definedName>
    <definedName name="processy">#REF!</definedName>
    <definedName name="processyy">#REF!</definedName>
    <definedName name="PROCESSZ">#REF!</definedName>
    <definedName name="processzz">#REF!</definedName>
    <definedName name="PROD_LINE">#REF!</definedName>
    <definedName name="Product">#REF!</definedName>
    <definedName name="Product_Line">OFFSET(#REF!,0,0,COUNTA(#REF!),1)</definedName>
    <definedName name="Product_mix">#REF!</definedName>
    <definedName name="Product_Spec">#REF!</definedName>
    <definedName name="Product_Spec_Score">#REF!</definedName>
    <definedName name="Product_Spec_Total">#REF!</definedName>
    <definedName name="Product_Spec_W">#REF!</definedName>
    <definedName name="Production_Location">#REF!</definedName>
    <definedName name="ProductionValue">#REF!</definedName>
    <definedName name="PRODUCTIVE_PRINT">#REF!</definedName>
    <definedName name="Profit">OFFSET(#REF!,0,0,COUNTA(OFFSET(#REF!,0,0,100,1)),1)</definedName>
    <definedName name="Progressive">#REF!</definedName>
    <definedName name="Project">#REF!</definedName>
    <definedName name="Project_last_entry">#REF!</definedName>
    <definedName name="Project_management">#REF!</definedName>
    <definedName name="Project_start_row">#REF!</definedName>
    <definedName name="ProjectEnd">IFERROR(DATE(YEAR(VLOOKUP(1,#REF!,2,FALSE)),12,31),DATE(YEAR(TODAY()),12,31))</definedName>
    <definedName name="ProjEndDate">#REF!</definedName>
    <definedName name="ProjStartDate">#REF!</definedName>
    <definedName name="proposedSpec">#REF!</definedName>
    <definedName name="PROT">#REF!</definedName>
    <definedName name="Prototyping_Capabilities">#REF!</definedName>
    <definedName name="Provisions_Tables">#REF!</definedName>
    <definedName name="PRProject">#REF!</definedName>
    <definedName name="PRWeek">#REF!</definedName>
    <definedName name="PSIZ">#REF!</definedName>
    <definedName name="PSPOT">#REF!</definedName>
    <definedName name="PSW">#REF!</definedName>
    <definedName name="PSW_Clear1">#REF!</definedName>
    <definedName name="PSW_Clear2">#REF!</definedName>
    <definedName name="ptype">#REF!</definedName>
    <definedName name="ptypr">#REF!</definedName>
    <definedName name="Punch_Inserts">#REF!</definedName>
    <definedName name="Punch_Inserts_HSS">#REF!</definedName>
    <definedName name="Punch_Inserts_Material">#REF!</definedName>
    <definedName name="PUR">#REF!</definedName>
    <definedName name="PURAA">#REF!</definedName>
    <definedName name="PURBB">#REF!</definedName>
    <definedName name="purc">#REF!</definedName>
    <definedName name="PURCC">#REF!</definedName>
    <definedName name="PurchasedPart">#REF!</definedName>
    <definedName name="purd">#REF!</definedName>
    <definedName name="PURDD">#REF!</definedName>
    <definedName name="pure">#REF!</definedName>
    <definedName name="purez">#REF!</definedName>
    <definedName name="purf">#REF!</definedName>
    <definedName name="purfz">#REF!</definedName>
    <definedName name="purg">#REF!</definedName>
    <definedName name="purh">#REF!</definedName>
    <definedName name="puri">#REF!</definedName>
    <definedName name="purj">#REF!</definedName>
    <definedName name="purk">#REF!</definedName>
    <definedName name="purl">#REF!</definedName>
    <definedName name="purm">#REF!</definedName>
    <definedName name="purn">#REF!</definedName>
    <definedName name="puro">#REF!</definedName>
    <definedName name="purv">#REF!</definedName>
    <definedName name="pury">#REF!</definedName>
    <definedName name="puryy">#REF!</definedName>
    <definedName name="PURZ">#REF!</definedName>
    <definedName name="purzz">#REF!</definedName>
    <definedName name="pv">#REF!</definedName>
    <definedName name="PWASH">#REF!</definedName>
    <definedName name="PWH">#REF!</definedName>
    <definedName name="PWL">#REF!</definedName>
    <definedName name="PWP">#REF!</definedName>
    <definedName name="PWPAA">#REF!</definedName>
    <definedName name="PWPBB">#REF!</definedName>
    <definedName name="pwpc">#REF!</definedName>
    <definedName name="PWPCC">#REF!</definedName>
    <definedName name="pwpd">#REF!</definedName>
    <definedName name="PWPDD">#REF!</definedName>
    <definedName name="pwpe">#REF!</definedName>
    <definedName name="pwpez">#REF!</definedName>
    <definedName name="pwpf">#REF!</definedName>
    <definedName name="pwpfz">#REF!</definedName>
    <definedName name="pwpg">#REF!</definedName>
    <definedName name="pwph">#REF!</definedName>
    <definedName name="pwpi">#REF!</definedName>
    <definedName name="pwpj">#REF!</definedName>
    <definedName name="pwpk">#REF!</definedName>
    <definedName name="pwpl">#REF!</definedName>
    <definedName name="pwpm">#REF!</definedName>
    <definedName name="pwpo">#REF!</definedName>
    <definedName name="pwpv">#REF!</definedName>
    <definedName name="pwpy">#REF!</definedName>
    <definedName name="pwpyy">#REF!</definedName>
    <definedName name="PWPZ">#REF!</definedName>
    <definedName name="pwpzz">#REF!</definedName>
    <definedName name="PWW">#REF!</definedName>
    <definedName name="py">#REF!</definedName>
    <definedName name="pyy">#REF!</definedName>
    <definedName name="pz">#REF!</definedName>
    <definedName name="pzz">#REF!</definedName>
    <definedName name="Q">#REF!</definedName>
    <definedName name="q___0">#REF!</definedName>
    <definedName name="Q__SCのみ_販計タイプ別メーカー別台数">#REF!</definedName>
    <definedName name="Q_A_S_PLAN">#REF!</definedName>
    <definedName name="Q_販計タイプ別メーカー別金額">#REF!</definedName>
    <definedName name="Q_販計タイプ別メーカー別台数">#REF!</definedName>
    <definedName name="Q_経費操業度算出">#REF!</definedName>
    <definedName name="Q_選択結果">#REF!</definedName>
    <definedName name="Q0000_UKBR_A10_00">#REF!</definedName>
    <definedName name="Q0020_UKBR_A12_00">#REF!</definedName>
    <definedName name="QA_Tech">#REF!</definedName>
    <definedName name="qazxdgv">#REF!</definedName>
    <definedName name="QEAuth">#REF!</definedName>
    <definedName name="qer">#REF!</definedName>
    <definedName name="qf">#REF!</definedName>
    <definedName name="QID">#REF!</definedName>
    <definedName name="QIID">#REF!</definedName>
    <definedName name="QQ">#REF!</definedName>
    <definedName name="qqq">#REF!</definedName>
    <definedName name="qqqq">#REF!</definedName>
    <definedName name="qqqqq">#REF!</definedName>
    <definedName name="qqqqqqq">#REF!</definedName>
    <definedName name="qqqqqqqqqqq">#REF!</definedName>
    <definedName name="qqqqqqqqqqqqqqqq">#REF!</definedName>
    <definedName name="qqwaweqwe">#REF!</definedName>
    <definedName name="qqwdwefeef">#REF!</definedName>
    <definedName name="Qry_Production_Pivot_Values">#REF!</definedName>
    <definedName name="QTY">#REF!</definedName>
    <definedName name="Qty_Ctn">#REF!</definedName>
    <definedName name="Qty_Shpmt">#REF!</definedName>
    <definedName name="Qty_Sht">#REF!</definedName>
    <definedName name="QTYAA">#REF!</definedName>
    <definedName name="QTYBB">#REF!</definedName>
    <definedName name="qtyc">#REF!</definedName>
    <definedName name="QTYCC">#REF!</definedName>
    <definedName name="qtyd">#REF!</definedName>
    <definedName name="QTYDD">#REF!</definedName>
    <definedName name="qtye">#REF!</definedName>
    <definedName name="qtyez">#REF!</definedName>
    <definedName name="qtyf">#REF!</definedName>
    <definedName name="qtyfz">#REF!</definedName>
    <definedName name="qtyg">#REF!</definedName>
    <definedName name="qtyh">#REF!</definedName>
    <definedName name="qtyhour">#REF!</definedName>
    <definedName name="qtyi">#REF!</definedName>
    <definedName name="qtyj">#REF!</definedName>
    <definedName name="qtyk">#REF!</definedName>
    <definedName name="qtyl">#REF!</definedName>
    <definedName name="qtym">#REF!</definedName>
    <definedName name="qtyn">#REF!</definedName>
    <definedName name="qtyo">#REF!</definedName>
    <definedName name="QtyPer">#REF!</definedName>
    <definedName name="qtyv">#REF!</definedName>
    <definedName name="qtyy">#REF!</definedName>
    <definedName name="qtyyy">#REF!</definedName>
    <definedName name="QTYZ">#REF!</definedName>
    <definedName name="qtyzz">#REF!</definedName>
    <definedName name="qualification">#REF!</definedName>
    <definedName name="Quantités_par_date">#REF!</definedName>
    <definedName name="quantity">IF(#REF!,#REF!,OFFSET(#REF!,0,0,COUNTA(OFFSET(#REF!,0,0,100,1)),1))</definedName>
    <definedName name="Query1___SMTC_MPP_Only">#REF!</definedName>
    <definedName name="Queryww50">#REF!</definedName>
    <definedName name="QUOT1">#REF!</definedName>
    <definedName name="QUOTE">#REF!</definedName>
    <definedName name="QUOTE_NO">#REF!</definedName>
    <definedName name="QUOTE_NO01">#REF!</definedName>
    <definedName name="QUOTE_NO02">#REF!</definedName>
    <definedName name="QUOTE_NO03">#REF!</definedName>
    <definedName name="QUOTE_NO04">#REF!</definedName>
    <definedName name="QUOTE_NO05">#REF!</definedName>
    <definedName name="QUOTE_NO06">#REF!</definedName>
    <definedName name="QUOTE_NO07">#REF!</definedName>
    <definedName name="QUOTE_NO08">#REF!</definedName>
    <definedName name="QUOTE_NO09">#REF!</definedName>
    <definedName name="QUOTE_NO10">#REF!</definedName>
    <definedName name="QUOTE_NO11">#REF!</definedName>
    <definedName name="QUOTE_NO12">#REF!</definedName>
    <definedName name="QUOTE_NO13">#REF!</definedName>
    <definedName name="QUOTE_NO14">#REF!</definedName>
    <definedName name="QUOTE_NO15">#REF!</definedName>
    <definedName name="QUOTE_NO16">#REF!</definedName>
    <definedName name="QUOTE_NO17">#REF!</definedName>
    <definedName name="QUOTE_NO18">#REF!</definedName>
    <definedName name="QUOTE_NO19">#REF!</definedName>
    <definedName name="QUOTE_NO20">#REF!</definedName>
    <definedName name="QUOTE_NO21">#REF!</definedName>
    <definedName name="QUOTE_NO22">#REF!</definedName>
    <definedName name="QUOTE_NO23">#REF!</definedName>
    <definedName name="Quote_Price">#REF!</definedName>
    <definedName name="quote1">#REF!</definedName>
    <definedName name="quote10">#REF!</definedName>
    <definedName name="quote2">#REF!</definedName>
    <definedName name="quote3">#REF!</definedName>
    <definedName name="quote4">#REF!</definedName>
    <definedName name="quote5">#REF!</definedName>
    <definedName name="quote6">#REF!</definedName>
    <definedName name="quote7">#REF!</definedName>
    <definedName name="quote8">#REF!</definedName>
    <definedName name="quote9">#REF!</definedName>
    <definedName name="QuoteCurrency">#REF!</definedName>
    <definedName name="QUOTEDINV">#REF!</definedName>
    <definedName name="QuoteNumber">#REF!</definedName>
    <definedName name="QuoteStatus">#REF!</definedName>
    <definedName name="QuoteValidity">#REF!</definedName>
    <definedName name="qvl">#REF!</definedName>
    <definedName name="qwdqcdevfgbjmnbvcdxsa">#REF!</definedName>
    <definedName name="qwerrty">#REF!</definedName>
    <definedName name="qwtd">#REF!</definedName>
    <definedName name="qwtf">#REF!</definedName>
    <definedName name="qwtfz">#REF!</definedName>
    <definedName name="R_FILE">#REF!</definedName>
    <definedName name="R_SW">#REF!</definedName>
    <definedName name="R_SW_Q">#REF!</definedName>
    <definedName name="R_SW_Q_W">#REF!</definedName>
    <definedName name="R_SW_W">#REF!</definedName>
    <definedName name="RAD">#REF!</definedName>
    <definedName name="radial5">#REF!</definedName>
    <definedName name="rate">#REF!</definedName>
    <definedName name="RATE10">#REF!</definedName>
    <definedName name="Ratios">#REF!</definedName>
    <definedName name="Raw_Matl">#REF!</definedName>
    <definedName name="Raw_Matl_Cost">#REF!</definedName>
    <definedName name="Raw_Matls">#REF!</definedName>
    <definedName name="rbar">#REF!</definedName>
    <definedName name="rbar1">#REF!</definedName>
    <definedName name="re">#REF!</definedName>
    <definedName name="ready">#REF!</definedName>
    <definedName name="Réalisé1">#REF!</definedName>
    <definedName name="RéaliséGlobal">#REF!</definedName>
    <definedName name="RECOVERABLE">#REF!</definedName>
    <definedName name="RED">#REF!</definedName>
    <definedName name="Ref_30">#REF!</definedName>
    <definedName name="Ref_32">#REF!</definedName>
    <definedName name="Ref_91">#REF!</definedName>
    <definedName name="Reference_Number">#REF!</definedName>
    <definedName name="RefNumber">#REF!</definedName>
    <definedName name="Region">#REF!</definedName>
    <definedName name="rehgfdfehgf">#REF!</definedName>
    <definedName name="Release_Notes">#REF!</definedName>
    <definedName name="Release_Notes_Score">#REF!</definedName>
    <definedName name="Release_Notes_Total">#REF!</definedName>
    <definedName name="Release_Notes_W">#REF!</definedName>
    <definedName name="Release_Notice">#REF!</definedName>
    <definedName name="remark">#REF!</definedName>
    <definedName name="Rena">#REF!</definedName>
    <definedName name="Rene">#REF!,#REF!,#REF!,#REF!,#REF!,#REF!,#REF!,#REF!,#REF!,#REF!,#REF!</definedName>
    <definedName name="rent">#REF!</definedName>
    <definedName name="rental">OFFSET(#REF!,0,0,COUNTA(OFFSET(#REF!,0,0,999,1)),1)</definedName>
    <definedName name="REPAIR">#REF!</definedName>
    <definedName name="Report_Cards">#REF!</definedName>
    <definedName name="Report_Cards_Score">#REF!</definedName>
    <definedName name="Report_Cards_Total">#REF!</definedName>
    <definedName name="Report_Cards_W">#REF!</definedName>
    <definedName name="RESI">#REF!</definedName>
    <definedName name="ResinPricing">#REF!</definedName>
    <definedName name="Resource_Planning">#REF!</definedName>
    <definedName name="Resource_Planning_Score">#REF!</definedName>
    <definedName name="Resource_Planning_Total">#REF!</definedName>
    <definedName name="Resource_Planning_W">#REF!</definedName>
    <definedName name="ressort">#REF!</definedName>
    <definedName name="Resubmit_ISR">#REF!</definedName>
    <definedName name="Resubmit_ISR_Date">#REF!</definedName>
    <definedName name="Result">#REF!</definedName>
    <definedName name="Result1">#REF!</definedName>
    <definedName name="Result2">#REF!</definedName>
    <definedName name="ret">#REF!</definedName>
    <definedName name="Revenue_Range">#REF!</definedName>
    <definedName name="ReviewedDocList">#REF!</definedName>
    <definedName name="ReviewersList">#REF!</definedName>
    <definedName name="Revised_ISR">#REF!</definedName>
    <definedName name="Revised_ISR_Date">#REF!</definedName>
    <definedName name="Revision_Level">#REF!</definedName>
    <definedName name="ReworkCost">#REF!</definedName>
    <definedName name="ReworkDate">#REF!</definedName>
    <definedName name="ReworkFun">#REF!</definedName>
    <definedName name="ReworkWeek">#REF!</definedName>
    <definedName name="Reynolds">#REF!</definedName>
    <definedName name="rfq">#REF!</definedName>
    <definedName name="Rico">#REF!</definedName>
    <definedName name="Rico_1">#REF!</definedName>
    <definedName name="Rico_2">#REF!</definedName>
    <definedName name="Rico_3">#REF!</definedName>
    <definedName name="Rico_4">#REF!</definedName>
    <definedName name="Rico1">#REF!</definedName>
    <definedName name="Rico10">#REF!</definedName>
    <definedName name="Rico2">#REF!</definedName>
    <definedName name="Rico3">#REF!</definedName>
    <definedName name="Rico4">#REF!</definedName>
    <definedName name="Rico6">#REF!</definedName>
    <definedName name="Rico7">#REF!</definedName>
    <definedName name="Rico8">#REF!</definedName>
    <definedName name="Rico9">#REF!</definedName>
    <definedName name="RID">#REF!</definedName>
    <definedName name="riesgo">#REF!</definedName>
    <definedName name="Risk_Level">#REF!</definedName>
    <definedName name="RLA" hidden="1">{#N/A,#N/A,TRUE,"????-1";#N/A,#N/A,TRUE,"????-2";#N/A,#N/A,TRUE,"????";#N/A,#N/A,TRUE,"RAC";#N/A,#N/A,TRUE,"PAC ";#N/A,#N/A,TRUE,"????";#N/A,#N/A,TRUE,"????"}</definedName>
    <definedName name="RM_financial_cost_pct">#REF!</definedName>
    <definedName name="RM_handling_surcharge_pct">#REF!</definedName>
    <definedName name="RM_List">#REF!</definedName>
    <definedName name="rmb">#REF!</definedName>
    <definedName name="rngComplDate">#REF!</definedName>
    <definedName name="rngDueDate">#REF!</definedName>
    <definedName name="rngGate0">#REF!</definedName>
    <definedName name="rngGate1">#REF!</definedName>
    <definedName name="rngGate2">#REF!</definedName>
    <definedName name="rngGate3">#REF!</definedName>
    <definedName name="rngGate4">#REF!</definedName>
    <definedName name="rngGate41">#REF!</definedName>
    <definedName name="rngGate5">#REF!</definedName>
    <definedName name="rngGate6">#REF!</definedName>
    <definedName name="rngGate7">#REF!</definedName>
    <definedName name="rngGate8">#REF!</definedName>
    <definedName name="rngGate9">#REF!</definedName>
    <definedName name="rngMile">#REF!</definedName>
    <definedName name="rngProjPlanStep">#REF!</definedName>
    <definedName name="rngRealValues">#REF!</definedName>
    <definedName name="rngRevDueDate">#REF!</definedName>
    <definedName name="rngStopLight">#REF!</definedName>
    <definedName name="Roadmaps">#REF!</definedName>
    <definedName name="Roadmaps_Score">#REF!</definedName>
    <definedName name="Roadmaps_Total">#REF!</definedName>
    <definedName name="Roadmaps_W">#REF!</definedName>
    <definedName name="Roles">#REF!</definedName>
    <definedName name="roles_score">#REF!</definedName>
    <definedName name="roles_total">#REF!</definedName>
    <definedName name="Roles_W">#REF!</definedName>
    <definedName name="RORE">#N/A</definedName>
    <definedName name="Roulage" hidden="1">{"'ID(2)'!$E$1:$N$4"}</definedName>
    <definedName name="rr">#REF!</definedName>
    <definedName name="RRFPARA70">#REF!</definedName>
    <definedName name="RRFPARB4">#REF!</definedName>
    <definedName name="RRFPPA70">#REF!</definedName>
    <definedName name="RRFPPB4">#REF!</definedName>
    <definedName name="RRFUQ19">#REF!</definedName>
    <definedName name="rrr">#REF!</definedName>
    <definedName name="RRRRFAD134">#REF!</definedName>
    <definedName name="RRRRFAD142">#REF!</definedName>
    <definedName name="RRRRFAE87">#REF!</definedName>
    <definedName name="RRRRFG176">#REF!</definedName>
    <definedName name="RRRRFG190">#REF!</definedName>
    <definedName name="RRRRFG218">#REF!</definedName>
    <definedName name="RRRRFG224">#REF!</definedName>
    <definedName name="RRRRFO45">#REF!</definedName>
    <definedName name="RRRRFR195">#REF!</definedName>
    <definedName name="RRRRFT142">#REF!</definedName>
    <definedName name="RRRRFY142">#REF!</definedName>
    <definedName name="RRRRFZ215">#REF!</definedName>
    <definedName name="RRRRFZ221">#REF!</definedName>
    <definedName name="rrrrr">#REF!</definedName>
    <definedName name="RRSF02B13">#REF!</definedName>
    <definedName name="rs">#REF!</definedName>
    <definedName name="rt">#REF!</definedName>
    <definedName name="rteury">#REF!</definedName>
    <definedName name="rtrtr" hidden="1">{"Drawing&amp;Homo.result",#N/A,FALSE,"Greco Hom. and BOM"}</definedName>
    <definedName name="rtyu">#REF!</definedName>
    <definedName name="rtyujhgf">#REF!</definedName>
    <definedName name="rvvrtvv">#REF!</definedName>
    <definedName name="ryu">#REF!</definedName>
    <definedName name="s">#REF!</definedName>
    <definedName name="S.AREA">#REF!</definedName>
    <definedName name="S.AREAC">#REF!</definedName>
    <definedName name="S_CY_End_GT">#REF!</definedName>
    <definedName name="s_hour_cost">#REF!</definedName>
    <definedName name="s_hub_cost">#REF!</definedName>
    <definedName name="s_Per_Employee">#REF!</definedName>
    <definedName name="s_rate">#REF!</definedName>
    <definedName name="S1.5V">1.5</definedName>
    <definedName name="S1.5V_LOAD">#REF!</definedName>
    <definedName name="S12V">12</definedName>
    <definedName name="S12V_LOAD">#REF!</definedName>
    <definedName name="S3.3V">3.3</definedName>
    <definedName name="S3.3V_LOAD">#REF!</definedName>
    <definedName name="S5V">5</definedName>
    <definedName name="S5V_LOAD">#REF!</definedName>
    <definedName name="sa" hidden="1">{"'Broadway ML#4'!$J$7:$N$490"}</definedName>
    <definedName name="SA1ARFPQ80">#REF!</definedName>
    <definedName name="SA1ASRG24">#REF!</definedName>
    <definedName name="SA1ASRR39">#REF!</definedName>
    <definedName name="SA1ASRY24">#REF!</definedName>
    <definedName name="SA1FUASG24">#REF!</definedName>
    <definedName name="SA1PH42">#REF!</definedName>
    <definedName name="SA1SF02B13">#REF!</definedName>
    <definedName name="SA1SF02E26">#REF!</definedName>
    <definedName name="SA2ARFPQ18">#REF!</definedName>
    <definedName name="SA2PIC12">#REF!</definedName>
    <definedName name="SA3ARFPQ18">#REF!</definedName>
    <definedName name="SA3FUFPQ18">#REF!</definedName>
    <definedName name="SA3PIC12">#REF!</definedName>
    <definedName name="SA4ARFPQ18">#REF!</definedName>
    <definedName name="SA4FUFPQ18">#REF!</definedName>
    <definedName name="SA4PIC12">#REF!</definedName>
    <definedName name="SA5ARFPQ18">#REF!</definedName>
    <definedName name="SA5ARFPQ19">#REF!</definedName>
    <definedName name="SA5FUFPQ18">#REF!</definedName>
    <definedName name="SA5FUFPQ19">#REF!</definedName>
    <definedName name="SA5PIC12">#REF!</definedName>
    <definedName name="saa">#REF!</definedName>
    <definedName name="saaz">#REF!</definedName>
    <definedName name="sadsa">#REF!</definedName>
    <definedName name="saf">#REF!</definedName>
    <definedName name="salary">#REF!</definedName>
    <definedName name="sales">#REF!</definedName>
    <definedName name="Sales_management">#REF!</definedName>
    <definedName name="SalesEstimationFraction">#REF!</definedName>
    <definedName name="saln">#REF!</definedName>
    <definedName name="SALWS">#REF!,#REF!,#REF!,#REF!,#REF!,#REF!,#REF!,#REF!,#REF!,#REF!</definedName>
    <definedName name="sample">#REF!</definedName>
    <definedName name="Sample_Qty">#REF!</definedName>
    <definedName name="Sample_Size">#REF!</definedName>
    <definedName name="Sample_ty">#REF!</definedName>
    <definedName name="sample22" hidden="1">{"'Individual Tooling Cost'!$B$3:$O$6"}</definedName>
    <definedName name="sap_D0001_00000001">#REF!</definedName>
    <definedName name="sap_D0002_00000001">#REF!</definedName>
    <definedName name="sap_D0003_00000001">#REF!</definedName>
    <definedName name="sap_D0004_00000001">#REF!</definedName>
    <definedName name="sap_D0005_00000001">#REF!</definedName>
    <definedName name="sap_F0001">#REF!</definedName>
    <definedName name="sap_K0001">#REF!</definedName>
    <definedName name="sap_K0002">#REF!</definedName>
    <definedName name="sap_K0003">#REF!</definedName>
    <definedName name="sap_K0004">#REF!</definedName>
    <definedName name="sap_S0001">#REF!</definedName>
    <definedName name="sap_S0002">#REF!</definedName>
    <definedName name="sap_S0003">#REF!</definedName>
    <definedName name="sap_S0004">#REF!</definedName>
    <definedName name="sap_S0005">#REF!</definedName>
    <definedName name="sap_Z0001_00000001">#REF!</definedName>
    <definedName name="SAPBEXhrIndnt" hidden="1">2</definedName>
    <definedName name="SAPBEXrevision" hidden="1">2</definedName>
    <definedName name="SAPBEXsysID" hidden="1">"PR5"</definedName>
    <definedName name="SAPBEXwbID" hidden="1">"3WGNQFMFRTDJILC3NWKBA4SAD"</definedName>
    <definedName name="SApr_201811">#REF!</definedName>
    <definedName name="SAS">#REF!+#REF!</definedName>
    <definedName name="SAug_20173">#REF!</definedName>
    <definedName name="Savings">#REF!</definedName>
    <definedName name="SC">#REF!</definedName>
    <definedName name="scascccascrg">#REF!</definedName>
    <definedName name="Sched_Pay">#REF!</definedName>
    <definedName name="Scheduled_Extra_Payments">#REF!</definedName>
    <definedName name="Scheduled_Interest_Rate">#REF!</definedName>
    <definedName name="Scheduled_Monthly_Payment">#REF!</definedName>
    <definedName name="Score_Code">#REF!</definedName>
    <definedName name="Score_Code1">#REF!</definedName>
    <definedName name="scot_hub_cost">#REF!</definedName>
    <definedName name="screws">#REF!</definedName>
    <definedName name="sd">#REF!</definedName>
    <definedName name="sdb">#REF!</definedName>
    <definedName name="SDec_20177">#REF!</definedName>
    <definedName name="sdf">#REF!</definedName>
    <definedName name="sdfg">#REF!</definedName>
    <definedName name="sdfsdfsd">#REF!</definedName>
    <definedName name="SDGUSD">#REF!</definedName>
    <definedName name="SDS" hidden="1">{"'MODIFY &amp; REPARE '!$B$1:$S$27"}</definedName>
    <definedName name="sdvnidvbviav">#REF!</definedName>
    <definedName name="se">#REF!</definedName>
    <definedName name="season">#REF!</definedName>
    <definedName name="Sec_Cost">#REF!</definedName>
    <definedName name="SECAEB">#REF!</definedName>
    <definedName name="SECC_Thickness">#REF!</definedName>
    <definedName name="SECHITL">#REF!</definedName>
    <definedName name="SECIHIL">#REF!</definedName>
    <definedName name="Secondary_Cost">#REF!</definedName>
    <definedName name="secondarymc">#REF!</definedName>
    <definedName name="SECP">#REF!</definedName>
    <definedName name="SECPAA">#REF!</definedName>
    <definedName name="SECPBB">#REF!</definedName>
    <definedName name="SECPCC">#REF!</definedName>
    <definedName name="SECPDD">#REF!</definedName>
    <definedName name="secpy">#REF!</definedName>
    <definedName name="Section_24">#REF!+#REF!</definedName>
    <definedName name="Security_Sep_W">#REF!</definedName>
    <definedName name="Security_Seperation">#REF!</definedName>
    <definedName name="Security_Seperation_Score">#REF!</definedName>
    <definedName name="Security_Seperation_Total">#REF!</definedName>
    <definedName name="segfdfhgf" localSheetId="10" hidden="1">'[13]Issues List'!#REF!</definedName>
    <definedName name="segfdfhgf" localSheetId="11" hidden="1">'[13]Issues List'!#REF!</definedName>
    <definedName name="segfdfhgf" localSheetId="12" hidden="1">'[13]Issues List'!#REF!</definedName>
    <definedName name="segfdfhgf" localSheetId="1" hidden="1">'[13]Issues List'!#REF!</definedName>
    <definedName name="segfdfhgf" hidden="1">'[13]Issues List'!#REF!</definedName>
    <definedName name="Segment">#REF!</definedName>
    <definedName name="SELA">#REF!</definedName>
    <definedName name="Selection_All_Printout">#REF!</definedName>
    <definedName name="Selection_Budget_Year">#REF!</definedName>
    <definedName name="Selection_Display_Currency">#REF!</definedName>
    <definedName name="Selection_Display_Entity">#REF!</definedName>
    <definedName name="Selection_Display_Month">#REF!</definedName>
    <definedName name="Selection_Display_Year">#REF!</definedName>
    <definedName name="Selection_Entity">#REF!</definedName>
    <definedName name="Selection_Input_Month">#REF!</definedName>
    <definedName name="Selection_Input_Year">#REF!</definedName>
    <definedName name="Selection_Option_Alert">#REF!</definedName>
    <definedName name="Selection_Option_Restore">#REF!</definedName>
    <definedName name="Selection_Report_Printout">#REF!</definedName>
    <definedName name="Selection_Summary">#REF!</definedName>
    <definedName name="SELL">#REF!</definedName>
    <definedName name="Sell_price">#REF!</definedName>
    <definedName name="Sell_price_test">#REF!</definedName>
    <definedName name="SellPrice1">#REF!</definedName>
    <definedName name="SellPrice2">#REF!</definedName>
    <definedName name="SellPrice3">#REF!</definedName>
    <definedName name="sem_an">#REF!</definedName>
    <definedName name="sep">#REF!</definedName>
    <definedName name="Sep_qty">OFFSET(#REF!,0,0,COUNTA(OFFSET(#REF!,0,0,999,1)),1)</definedName>
    <definedName name="Serial">#REF!</definedName>
    <definedName name="sert33" hidden="1">{"'Broadway ML#4'!$J$7:$N$490"}</definedName>
    <definedName name="Set_Up">#REF!</definedName>
    <definedName name="Setup">#REF!</definedName>
    <definedName name="setup_qty">#REF!</definedName>
    <definedName name="SETUP_TIME">#REF!</definedName>
    <definedName name="Severity">#REF!</definedName>
    <definedName name="sex" hidden="1">{"'Broadway ML#4'!$J$7:$N$490"}</definedName>
    <definedName name="sez">#REF!</definedName>
    <definedName name="sf">#REF!</definedName>
    <definedName name="sfd">#REF!</definedName>
    <definedName name="SFeb_20189">#REF!</definedName>
    <definedName name="sfed">#REF!</definedName>
    <definedName name="sfg">#REF!</definedName>
    <definedName name="sfwtqj">#REF!</definedName>
    <definedName name="SFX_Data">#REF!</definedName>
    <definedName name="SFX_WBData">#REF!</definedName>
    <definedName name="SFX_WBData_A_First">#REF!</definedName>
    <definedName name="SFX_WBData_A_Last">#REF!</definedName>
    <definedName name="SFX_WBData_B_First">#REF!</definedName>
    <definedName name="SFX_WBData_B_Last">#REF!</definedName>
    <definedName name="sfz">#REF!</definedName>
    <definedName name="sg">#REF!</definedName>
    <definedName name="sg_a" hidden="1">{#N/A,#N/A,TRUE,"????-1";#N/A,#N/A,TRUE,"????-2";#N/A,#N/A,TRUE,"????";#N/A,#N/A,TRUE,"RAC";#N/A,#N/A,TRUE,"PAC ";#N/A,#N/A,TRUE,"????";#N/A,#N/A,TRUE,"????"}</definedName>
    <definedName name="SGCC_Thickness">#REF!</definedName>
    <definedName name="SGD">#REF!</definedName>
    <definedName name="SGDRM">#REF!</definedName>
    <definedName name="SGDUSD">#REF!</definedName>
    <definedName name="sgf">#REF!</definedName>
    <definedName name="sghjkkjhg">#REF!</definedName>
    <definedName name="sh">#REF!</definedName>
    <definedName name="SHARE_CAPITAL">#REF!</definedName>
    <definedName name="Sheehan_Baseline">#REF!</definedName>
    <definedName name="Sheehan_Cost_Reduction">#REF!</definedName>
    <definedName name="Sheehan_Ext_Cost">#REF!</definedName>
    <definedName name="Sheehan_Reduction_Percentage">#REF!</definedName>
    <definedName name="SHEET12" hidden="1">#REF!</definedName>
    <definedName name="SHEET13" hidden="1">#REF!</definedName>
    <definedName name="Sher_Baseline">#REF!</definedName>
    <definedName name="Sher_Cost_Reduction">#REF!</definedName>
    <definedName name="Sher_Ext_Cost">#REF!</definedName>
    <definedName name="Sher_Reduction_Percentage">#REF!</definedName>
    <definedName name="SHFIAJD" hidden="1">{"Curves","Chart 3","Curves Graphique 3"}</definedName>
    <definedName name="ShippingTerms">#REF!</definedName>
    <definedName name="Shop_rate">#REF!</definedName>
    <definedName name="ShowYearlyMonthlyTotalsIndex">#REF!</definedName>
    <definedName name="Sht_Cost">#REF!</definedName>
    <definedName name="si">#REF!</definedName>
    <definedName name="SID">#REF!</definedName>
    <definedName name="SIG_CONTROLE" hidden="1">#REF!</definedName>
    <definedName name="SIG_DERNIERECOLONNE" hidden="1">#REF!</definedName>
    <definedName name="SIG_LG11_firstLine" hidden="1">#REF!</definedName>
    <definedName name="SIG_LG11_H1111" hidden="1">#REF!</definedName>
    <definedName name="SIG_LG11_H349" hidden="1">#REF!</definedName>
    <definedName name="SIG_LG11_H353" hidden="1">#REF!</definedName>
    <definedName name="SIG_LG11_H354" hidden="1">#REF!</definedName>
    <definedName name="SIG_LG11_H357" hidden="1">#REF!</definedName>
    <definedName name="SIG_LG11_H358" hidden="1">#REF!</definedName>
    <definedName name="SIG_LG11_H359" hidden="1">#REF!</definedName>
    <definedName name="SIG_LG11_H388" hidden="1">#REF!</definedName>
    <definedName name="SIG_LG11_H395" hidden="1">#REF!</definedName>
    <definedName name="SIG_LG11_IsControlOK" hidden="1">#REF!</definedName>
    <definedName name="SIG_LG11_lastLine" hidden="1">#REF!</definedName>
    <definedName name="SIG_LG11_ListeRangeMontant" hidden="1">#REF!</definedName>
    <definedName name="SIG_LG11_TITLECOL" hidden="1">#REF!</definedName>
    <definedName name="SIG_LG11_TITLELINE" hidden="1">#REF!</definedName>
    <definedName name="SIG_PTBD_LG11" hidden="1">#REF!</definedName>
    <definedName name="SIG_PTBD_SEC3905" hidden="1">#REF!</definedName>
    <definedName name="SIG_PTBD_SES864" hidden="1">#REF!</definedName>
    <definedName name="SIG_PTBD_SES874" hidden="1">#REF!</definedName>
    <definedName name="SIG_PTBD_STC1010" hidden="1">#REF!</definedName>
    <definedName name="SIG_PTBD_STL2010" hidden="1">#REF!</definedName>
    <definedName name="SIG_PTHG_LG11" hidden="1">#REF!</definedName>
    <definedName name="SIG_PTHG_SEC3905" hidden="1">#REF!</definedName>
    <definedName name="SIG_PTHG_SES864" hidden="1">#REF!</definedName>
    <definedName name="SIG_PTHG_SES874" hidden="1">#REF!</definedName>
    <definedName name="SIG_PTHG_STC1010" hidden="1">#REF!</definedName>
    <definedName name="SIG_PTHG_STL2010" hidden="1">#REF!</definedName>
    <definedName name="SIG_SEC3905_firstLine" hidden="1">#REF!</definedName>
    <definedName name="SIG_SEC3905_H0001" hidden="1">#REF!</definedName>
    <definedName name="SIG_SEC3905_H0002" hidden="1">#REF!</definedName>
    <definedName name="SIG_SEC3905_H0003" hidden="1">#REF!</definedName>
    <definedName name="SIG_SEC3905_H0004" hidden="1">#REF!</definedName>
    <definedName name="SIG_SEC3905_H0005" hidden="1">#REF!</definedName>
    <definedName name="SIG_SEC3905_IsControlOK" hidden="1">#REF!</definedName>
    <definedName name="SIG_SEC3905_lastLine" hidden="1">#REF!</definedName>
    <definedName name="SIG_SEC3905_TITLELINE" hidden="1">#REF!</definedName>
    <definedName name="SIG_SES864_firstLine" hidden="1">#REF!</definedName>
    <definedName name="SIG_SES864_H0001" hidden="1">#REF!</definedName>
    <definedName name="SIG_SES864_H0002" hidden="1">#REF!</definedName>
    <definedName name="SIG_SES864_H0003" hidden="1">#REF!</definedName>
    <definedName name="SIG_SES864_H0004" hidden="1">#REF!</definedName>
    <definedName name="SIG_SES864_H0005" hidden="1">#REF!</definedName>
    <definedName name="SIG_SES864_IsControlOK" hidden="1">#REF!</definedName>
    <definedName name="SIG_SES864_lastLine" hidden="1">#REF!</definedName>
    <definedName name="SIG_SES864_TITLELINE" hidden="1">#REF!</definedName>
    <definedName name="SIG_SES874_firstLine" hidden="1">#REF!</definedName>
    <definedName name="SIG_SES874_H0001" hidden="1">#REF!</definedName>
    <definedName name="SIG_SES874_H0002" hidden="1">#REF!</definedName>
    <definedName name="SIG_SES874_H0003" hidden="1">#REF!</definedName>
    <definedName name="SIG_SES874_H0004" hidden="1">#REF!</definedName>
    <definedName name="SIG_SES874_H0005" hidden="1">#REF!</definedName>
    <definedName name="SIG_SES874_IsControlOK" hidden="1">#REF!</definedName>
    <definedName name="SIG_SES874_lastLine" hidden="1">#REF!</definedName>
    <definedName name="SIG_SES874_TITLELINE" hidden="1">#REF!</definedName>
    <definedName name="SIG_STC1010_firstLine" hidden="1">#REF!</definedName>
    <definedName name="SIG_STC1010_H001" hidden="1">#REF!</definedName>
    <definedName name="SIG_STC1010_H002" hidden="1">#REF!</definedName>
    <definedName name="SIG_STC1010_H003" hidden="1">#REF!</definedName>
    <definedName name="SIG_STC1010_H004" hidden="1">#REF!</definedName>
    <definedName name="SIG_STC1010_H005" hidden="1">#REF!</definedName>
    <definedName name="SIG_STC1010_IsControlOK" hidden="1">#REF!</definedName>
    <definedName name="SIG_STC1010_lastLine" hidden="1">#REF!</definedName>
    <definedName name="SIG_STC1010_TITLELINE" hidden="1">#REF!</definedName>
    <definedName name="SIG_STL2010_firstLine" hidden="1">#REF!</definedName>
    <definedName name="SIG_STL2010_H001" hidden="1">#REF!</definedName>
    <definedName name="SIG_STL2010_H002" hidden="1">#REF!</definedName>
    <definedName name="SIG_STL2010_H003" hidden="1">#REF!</definedName>
    <definedName name="SIG_STL2010_H004" hidden="1">#REF!</definedName>
    <definedName name="SIG_STL2010_H005" hidden="1">#REF!</definedName>
    <definedName name="SIG_STL2010_IsControlOK" hidden="1">#REF!</definedName>
    <definedName name="SIG_STL2010_lastLine" hidden="1">#REF!</definedName>
    <definedName name="SIG_STL2010_TITLELINE" hidden="1">#REF!</definedName>
    <definedName name="SIN2US">#REF!</definedName>
    <definedName name="sing_hub_cost">#REF!</definedName>
    <definedName name="site">#REF!</definedName>
    <definedName name="Site_Type">#REF!</definedName>
    <definedName name="SITEWORKS">#REF!</definedName>
    <definedName name="SizeTable">#REF!</definedName>
    <definedName name="sj">#REF!</definedName>
    <definedName name="SJan_20188">#REF!</definedName>
    <definedName name="SJul_20172">#REF!</definedName>
    <definedName name="SJun_201813">#REF!</definedName>
    <definedName name="sk">#REF!</definedName>
    <definedName name="skp">#REF!</definedName>
    <definedName name="skydive">#REF!</definedName>
    <definedName name="sl">#REF!</definedName>
    <definedName name="Sliding_Cores">#REF!</definedName>
    <definedName name="sm">#REF!</definedName>
    <definedName name="SMar_201810">#REF!</definedName>
    <definedName name="SMay_201812">#REF!</definedName>
    <definedName name="SMLINE" hidden="1">{#N/A,#N/A,TRUE,"????-1";#N/A,#N/A,TRUE,"????-2";#N/A,#N/A,TRUE,"????";#N/A,#N/A,TRUE,"RAC";#N/A,#N/A,TRUE,"PAC ";#N/A,#N/A,TRUE,"????";#N/A,#N/A,TRUE,"????"}</definedName>
    <definedName name="SMT_LOAD">#REF!</definedName>
    <definedName name="SMT_LOAD_B">#REF!</definedName>
    <definedName name="SMTA">#REF!</definedName>
    <definedName name="SMTB">#REF!</definedName>
    <definedName name="SMTHolidayOvertime">#REF!</definedName>
    <definedName name="SMTNormalOvertime">#REF!</definedName>
    <definedName name="SMTShift">#REF!</definedName>
    <definedName name="SMTSTDNew">#REF!</definedName>
    <definedName name="SMTSTDOld">#REF!</definedName>
    <definedName name="SMTSupportHolidayOvertime">#REF!</definedName>
    <definedName name="SMTSupportNormalOvertime">#REF!</definedName>
    <definedName name="SMTSupportWeekendOvertime">#REF!</definedName>
    <definedName name="SMTWeekendOvertime">#REF!</definedName>
    <definedName name="sn">#REF!</definedName>
    <definedName name="SNov_20176">#REF!</definedName>
    <definedName name="snynszsnz">#REF!</definedName>
    <definedName name="so">#REF!</definedName>
    <definedName name="SOct_20175">#REF!</definedName>
    <definedName name="sop">#REF!</definedName>
    <definedName name="SORT">#REF!</definedName>
    <definedName name="space" hidden="1">#REF!</definedName>
    <definedName name="Spec_Char">#REF!</definedName>
    <definedName name="Special">#REF!</definedName>
    <definedName name="Specific_Materials">#REF!</definedName>
    <definedName name="SpecificationChanges">#REF!</definedName>
    <definedName name="SPEED">#REF!</definedName>
    <definedName name="SPM">#REF!</definedName>
    <definedName name="SPTE_Thickness">#REF!</definedName>
    <definedName name="spu">#REF!</definedName>
    <definedName name="SPURR">#REF!</definedName>
    <definedName name="spurra">#REF!</definedName>
    <definedName name="SPWS_WBID">"9DA10260-3510-11D3-811C-00C04F39BB8C"</definedName>
    <definedName name="square">#REF!</definedName>
    <definedName name="SS">#REF!</definedName>
    <definedName name="SSA2FUFPQ17">#REF!</definedName>
    <definedName name="SSA3ARFPQ18">#REF!</definedName>
    <definedName name="SSA3FUFPQ17">#REF!</definedName>
    <definedName name="ssa3pin">#REF!</definedName>
    <definedName name="SSep_20174">#REF!</definedName>
    <definedName name="sss">(1-#REF!)</definedName>
    <definedName name="SSSS" hidden="1">{"'MODIFY &amp; REPARE '!$B$1:$S$27"}</definedName>
    <definedName name="SSSSS" hidden="1">{"'MODIFY &amp; REPARE '!$B$1:$S$27"}</definedName>
    <definedName name="sssssss">1-#REF!</definedName>
    <definedName name="ssssssss" localSheetId="10" hidden="1">#REF!</definedName>
    <definedName name="ssssssss" localSheetId="11" hidden="1">#REF!</definedName>
    <definedName name="ssssssss" localSheetId="12" hidden="1">#REF!</definedName>
    <definedName name="ssssssss" localSheetId="1" hidden="1">#REF!</definedName>
    <definedName name="ssssssss" hidden="1">#REF!</definedName>
    <definedName name="sstotal">#REF!</definedName>
    <definedName name="ST">#REF!</definedName>
    <definedName name="Stage">#REF!</definedName>
    <definedName name="STAMP">#REF!</definedName>
    <definedName name="Stamp_Cost">#REF!</definedName>
    <definedName name="Stamping_Secondary_Ops">#REF!</definedName>
    <definedName name="standaard">#REF!</definedName>
    <definedName name="standard">#REF!</definedName>
    <definedName name="Standard_Items">#REF!</definedName>
    <definedName name="Stapel">#REF!</definedName>
    <definedName name="Status">#REF!</definedName>
    <definedName name="STD">#REF!</definedName>
    <definedName name="STD_02">#REF!</definedName>
    <definedName name="STD_04MAC">#REF!</definedName>
    <definedName name="STD_04MAN">#REF!</definedName>
    <definedName name="STD_BOOT">#REF!</definedName>
    <definedName name="STD_REBOOT">#REF!</definedName>
    <definedName name="STD_TIME">#REF!</definedName>
    <definedName name="STDMODE">#REF!</definedName>
    <definedName name="Steel_Transformation">#REF!</definedName>
    <definedName name="STK">#REF!</definedName>
    <definedName name="stmc">#REF!</definedName>
    <definedName name="stopsign">#REF!</definedName>
    <definedName name="STPAEB">#REF!</definedName>
    <definedName name="STPHITL">#REF!</definedName>
    <definedName name="STPIEH">#REF!</definedName>
    <definedName name="STPIEI">#REF!</definedName>
    <definedName name="STPIHIL">#REF!</definedName>
    <definedName name="STPIMS">#REF!</definedName>
    <definedName name="STPIPTH">#REF!</definedName>
    <definedName name="STPISZ">#REF!</definedName>
    <definedName name="str">#REF!</definedName>
    <definedName name="STRUCTURAL">#REF!</definedName>
    <definedName name="STRY">#REF!</definedName>
    <definedName name="SU">#REF!</definedName>
    <definedName name="SUAA">#REF!</definedName>
    <definedName name="Sub_Con">#REF!</definedName>
    <definedName name="Sub_Supplier">#REF!</definedName>
    <definedName name="Sub_Total">#REF!</definedName>
    <definedName name="Sub7.1">#REF!</definedName>
    <definedName name="Sub7.2">#REF!</definedName>
    <definedName name="SUBB">#REF!</definedName>
    <definedName name="Subcon">#REF!</definedName>
    <definedName name="subtotal">#REF!</definedName>
    <definedName name="suc">#REF!</definedName>
    <definedName name="SUCC">#REF!</definedName>
    <definedName name="SUCOST">#REF!</definedName>
    <definedName name="sucostc">#REF!</definedName>
    <definedName name="sucostd">#REF!</definedName>
    <definedName name="sucoste">#REF!</definedName>
    <definedName name="sucostez">#REF!</definedName>
    <definedName name="sucostf">#REF!</definedName>
    <definedName name="sucostfz">#REF!</definedName>
    <definedName name="sucostg">#REF!</definedName>
    <definedName name="sucosth">#REF!</definedName>
    <definedName name="sucosti">#REF!</definedName>
    <definedName name="sucostj">#REF!</definedName>
    <definedName name="sucostk">#REF!</definedName>
    <definedName name="sucostl">#REF!</definedName>
    <definedName name="sucostm">#REF!</definedName>
    <definedName name="sucostn">#REF!</definedName>
    <definedName name="sucosto">#REF!</definedName>
    <definedName name="sucostv">#REF!</definedName>
    <definedName name="sucostyy">#REF!</definedName>
    <definedName name="sucostzz">#REF!</definedName>
    <definedName name="sud">#REF!</definedName>
    <definedName name="SUDD">#REF!</definedName>
    <definedName name="sue">#REF!</definedName>
    <definedName name="suez">#REF!</definedName>
    <definedName name="suf">#REF!</definedName>
    <definedName name="sufz">#REF!</definedName>
    <definedName name="sug">#REF!</definedName>
    <definedName name="suh">#REF!</definedName>
    <definedName name="sui">#REF!</definedName>
    <definedName name="suj">#REF!</definedName>
    <definedName name="suk">#REF!</definedName>
    <definedName name="sul">#REF!</definedName>
    <definedName name="SUM">#REF!</definedName>
    <definedName name="SUM_TABLE">#REF!</definedName>
    <definedName name="Summary" hidden="1">{"MONTHPLAN",#N/A,FALSE,"DETAIL REPORT";"MONTHPRIOR",#N/A,FALSE,"DETAIL REPORT";"YTDPLAN",#N/A,FALSE,"DETAIL REPORT";"YTDPRIOR",#N/A,FALSE,"DETAIL REPORT"}</definedName>
    <definedName name="Summary_2API">#REF!</definedName>
    <definedName name="Summary_Carat">#REF!</definedName>
    <definedName name="Summary_Entity">#REF!</definedName>
    <definedName name="Summary1">#REF!</definedName>
    <definedName name="SummaryEAU1Range">#REF!</definedName>
    <definedName name="sun">#REF!</definedName>
    <definedName name="suo">#REF!</definedName>
    <definedName name="Sup">#REF!</definedName>
    <definedName name="SuperAuth">#REF!</definedName>
    <definedName name="Supplier">#REF!</definedName>
    <definedName name="Supplier_Code">#REF!</definedName>
    <definedName name="SupplierContact">#REF!</definedName>
    <definedName name="SupplierEmail">#REF!</definedName>
    <definedName name="SupplierInfo">#REF!</definedName>
    <definedName name="SupplierNotes">#REF!</definedName>
    <definedName name="SupplierQuote">#REF!</definedName>
    <definedName name="Supply">#REF!</definedName>
    <definedName name="Support_Clear">#REF!</definedName>
    <definedName name="Surface_Treatment">#REF!</definedName>
    <definedName name="Sust_Clear">#REF!</definedName>
    <definedName name="Sustaining">#REF!</definedName>
    <definedName name="sustaining_score">#REF!</definedName>
    <definedName name="Sustaining_Total">#REF!</definedName>
    <definedName name="Sustaining_W">#REF!</definedName>
    <definedName name="suv">#REF!</definedName>
    <definedName name="suy">#REF!</definedName>
    <definedName name="suyy">#REF!</definedName>
    <definedName name="SUZ">#REF!</definedName>
    <definedName name="suzz">#REF!</definedName>
    <definedName name="sv">#REF!</definedName>
    <definedName name="SV_Equip">#REF!</definedName>
    <definedName name="SV_Equip_Cost">#REF!</definedName>
    <definedName name="SV_Test_Hrs">#REF!</definedName>
    <definedName name="SV_Test_Items">#REF!</definedName>
    <definedName name="SW_Quanity_Score_Total">#REF!</definedName>
    <definedName name="SW_Score_Total">#REF!</definedName>
    <definedName name="SW_Score1">#REF!</definedName>
    <definedName name="SW_Score2">#REF!</definedName>
    <definedName name="SW_Score3">#REF!</definedName>
    <definedName name="SWEGFWE" hidden="1">{#N/A,#N/A,TRUE,"????-1";#N/A,#N/A,TRUE,"????-2";#N/A,#N/A,TRUE,"????";#N/A,#N/A,TRUE,"RAC";#N/A,#N/A,TRUE,"PAC ";#N/A,#N/A,TRUE,"????";#N/A,#N/A,TRUE,"????"}</definedName>
    <definedName name="SWT">#REF!</definedName>
    <definedName name="Symbol">#REF!</definedName>
    <definedName name="SYS320N">#REF!</definedName>
    <definedName name="SYS320SLI">#REF!</definedName>
    <definedName name="SYS325P">#REF!</definedName>
    <definedName name="SYS325SX">#REF!</definedName>
    <definedName name="SYS333SL">#REF!</definedName>
    <definedName name="SYS420DE">#REF!</definedName>
    <definedName name="SYS420SE">#REF!</definedName>
    <definedName name="SYS466DSA">#REF!</definedName>
    <definedName name="SYS486D">#REF!</definedName>
    <definedName name="SYS486L">#REF!</definedName>
    <definedName name="SYS486M">#REF!</definedName>
    <definedName name="SYS486ME">#REF!</definedName>
    <definedName name="SYS486P">#REF!</definedName>
    <definedName name="SYS486T">#REF!</definedName>
    <definedName name="SYSDGX">#REF!</definedName>
    <definedName name="SYSEMS753">#REF!</definedName>
    <definedName name="SYSNL25">#REF!</definedName>
    <definedName name="syuukei">#REF!</definedName>
    <definedName name="sztot">#REF!</definedName>
    <definedName name="szz">#REF!</definedName>
    <definedName name="T">#REF!</definedName>
    <definedName name="t12412314">#REF!</definedName>
    <definedName name="TA">IF(#REF!="OK",OK,NOK)</definedName>
    <definedName name="TA_wy">IF(#REF!="OK",OK_wy,NOK_wy)</definedName>
    <definedName name="TAB">#REF!</definedName>
    <definedName name="TAB_SET">#REF!</definedName>
    <definedName name="Table">#REF!</definedName>
    <definedName name="TABLE_1">#REF!</definedName>
    <definedName name="TABLE_2">#REF!</definedName>
    <definedName name="Table_Peripherals_Dimension">#REF!</definedName>
    <definedName name="Table_Peripherals_Monitors">#REF!</definedName>
    <definedName name="Table_Peripherals_Optiplex">#REF!</definedName>
    <definedName name="Table_Peripherals_Server">#REF!</definedName>
    <definedName name="Table_Peripherals_Workstation">#REF!</definedName>
    <definedName name="table1">#REF!</definedName>
    <definedName name="TABLEAU">#REF!</definedName>
    <definedName name="Tableau_Pareto_ppm">#REF!</definedName>
    <definedName name="TableName">"Dummy"</definedName>
    <definedName name="Tables_Weight">#REF!</definedName>
    <definedName name="taln">#REF!</definedName>
    <definedName name="TAN">#REF!</definedName>
    <definedName name="tang">#REF!</definedName>
    <definedName name="TANT">#REF!</definedName>
    <definedName name="tapb">#REF!</definedName>
    <definedName name="TargetPricing">#REF!</definedName>
    <definedName name="TATA">#REF!</definedName>
    <definedName name="tax" hidden="1">[2]Plbyhalf!$L$134</definedName>
    <definedName name="TaxTV">10%</definedName>
    <definedName name="TaxXL">5%</definedName>
    <definedName name="tbat">#REF!</definedName>
    <definedName name="TBOPN">#REF!</definedName>
    <definedName name="TBORANGE">#REF!</definedName>
    <definedName name="tbtm">#REF!</definedName>
    <definedName name="tc">IF(#REF!="OK",OK_wy,NOK_wy)</definedName>
    <definedName name="tcc">#REF!</definedName>
    <definedName name="tcz">#REF!</definedName>
    <definedName name="td">#REF!</definedName>
    <definedName name="TDB_S_PLAN">#REF!</definedName>
    <definedName name="TDPlan">#REF!</definedName>
    <definedName name="TDPlan_Score">#REF!</definedName>
    <definedName name="TDPlan_Total">#REF!</definedName>
    <definedName name="TDPlan_W">#REF!</definedName>
    <definedName name="te">#REF!</definedName>
    <definedName name="TeamTrack">#REF!</definedName>
    <definedName name="TeamTrack_Issue_Update">#REF!</definedName>
    <definedName name="TeamTrack_Issue_Update_Score">#REF!</definedName>
    <definedName name="TeamTrack_Issue_Update_Total">#REF!</definedName>
    <definedName name="TeamTrack_Issue_Update_W">#REF!</definedName>
    <definedName name="TeamTrack_Score">#REF!</definedName>
    <definedName name="TeamTrack_Total">#REF!</definedName>
    <definedName name="teamtrack_W">#REF!</definedName>
    <definedName name="ted">#REF!</definedName>
    <definedName name="Teil">#REF!</definedName>
    <definedName name="TEKPLUS" hidden="1">{"'Individual Tooling Cost'!$B$3:$O$6"}</definedName>
    <definedName name="Temp_Report">#REF!</definedName>
    <definedName name="Teresa">#REF!</definedName>
    <definedName name="TEST" localSheetId="10" hidden="1">{"'Sheet1'!$A$46:$G$58","'Sheet1'!$A$1:$T$117","'Sheet1'!$A$1:$U$122","'Sheet1'!$A$49:$G$59","'Sheet1'!$A$74:$G$77"}</definedName>
    <definedName name="TEST" localSheetId="11" hidden="1">{"'Sheet1'!$A$46:$G$58","'Sheet1'!$A$1:$T$117","'Sheet1'!$A$1:$U$122","'Sheet1'!$A$49:$G$59","'Sheet1'!$A$74:$G$77"}</definedName>
    <definedName name="TEST" localSheetId="12" hidden="1">{"'Sheet1'!$A$46:$G$58","'Sheet1'!$A$1:$T$117","'Sheet1'!$A$1:$U$122","'Sheet1'!$A$49:$G$59","'Sheet1'!$A$74:$G$77"}</definedName>
    <definedName name="TEST" localSheetId="1" hidden="1">{"'Sheet1'!$A$46:$G$58","'Sheet1'!$A$1:$T$117","'Sheet1'!$A$1:$U$122","'Sheet1'!$A$49:$G$59","'Sheet1'!$A$74:$G$77"}</definedName>
    <definedName name="test">#REF!</definedName>
    <definedName name="Test_Object">#REF!</definedName>
    <definedName name="Test_Resource_W">#REF!</definedName>
    <definedName name="Test_Resources">#REF!</definedName>
    <definedName name="Test_Resources_Score">#REF!</definedName>
    <definedName name="Test_Resources_Total">#REF!</definedName>
    <definedName name="Test_Signature">#REF!</definedName>
    <definedName name="Test_Signature_Score">#REF!</definedName>
    <definedName name="Test_Signature_Total">#REF!</definedName>
    <definedName name="Test_Signature_W">#REF!</definedName>
    <definedName name="Test_Site_Question">#REF!</definedName>
    <definedName name="test_type">#REF!</definedName>
    <definedName name="Test_Util">#REF!</definedName>
    <definedName name="Test_Util_Score">#REF!</definedName>
    <definedName name="Test_Util_Total">#REF!</definedName>
    <definedName name="Test_Util_W">#REF!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 localSheetId="10" hidden="1">{"'Sheet1'!$A$46:$G$58","'Sheet1'!$A$1:$T$117","'Sheet1'!$A$1:$U$122","'Sheet1'!$A$49:$G$59","'Sheet1'!$A$74:$G$77"}</definedName>
    <definedName name="Test2" localSheetId="11" hidden="1">{"'Sheet1'!$A$46:$G$58","'Sheet1'!$A$1:$T$117","'Sheet1'!$A$1:$U$122","'Sheet1'!$A$49:$G$59","'Sheet1'!$A$74:$G$77"}</definedName>
    <definedName name="Test2" localSheetId="12" hidden="1">{"'Sheet1'!$A$46:$G$58","'Sheet1'!$A$1:$T$117","'Sheet1'!$A$1:$U$122","'Sheet1'!$A$49:$G$59","'Sheet1'!$A$74:$G$77"}</definedName>
    <definedName name="Test2" localSheetId="1" hidden="1">{"'Sheet1'!$A$46:$G$58","'Sheet1'!$A$1:$T$117","'Sheet1'!$A$1:$U$122","'Sheet1'!$A$49:$G$59","'Sheet1'!$A$74:$G$77"}</definedName>
    <definedName name="Test2" hidden="1">{"'Sheet1'!$A$46:$G$58","'Sheet1'!$A$1:$T$117","'Sheet1'!$A$1:$U$122","'Sheet1'!$A$49:$G$59","'Sheet1'!$A$74:$G$77"}</definedName>
    <definedName name="TEST20">#REF!</definedName>
    <definedName name="TEST21">#REF!</definedName>
    <definedName name="TEST22">#REF!</definedName>
    <definedName name="TEST23">#REF!</definedName>
    <definedName name="TEST24">#REF!</definedName>
    <definedName name="TEST25">#REF!</definedName>
    <definedName name="TEST26">#REF!</definedName>
    <definedName name="TEST27">#REF!</definedName>
    <definedName name="TEST28">#REF!</definedName>
    <definedName name="TEST29">#REF!</definedName>
    <definedName name="TEST3">#REF!</definedName>
    <definedName name="TEST30">#REF!</definedName>
    <definedName name="TEST31">#REF!</definedName>
    <definedName name="TEST32">#REF!</definedName>
    <definedName name="TEST33">#REF!</definedName>
    <definedName name="TEST34">#REF!</definedName>
    <definedName name="TEST35">#REF!</definedName>
    <definedName name="TEST36">#REF!</definedName>
    <definedName name="TEST37">#REF!</definedName>
    <definedName name="TEST38">#REF!</definedName>
    <definedName name="TEST4">#REF!</definedName>
    <definedName name="test5">#REF!</definedName>
    <definedName name="TEST6">#REF!</definedName>
    <definedName name="TEST7">#REF!</definedName>
    <definedName name="TEST8">#REF!</definedName>
    <definedName name="TEST9">#REF!</definedName>
    <definedName name="Testcase_Creation">#REF!</definedName>
    <definedName name="TestCase_Creation_Score">#REF!</definedName>
    <definedName name="testcase_creation_total">#REF!</definedName>
    <definedName name="Testcase_Creation_W">#REF!</definedName>
    <definedName name="Testcase_Feedback">#REF!</definedName>
    <definedName name="TestCase_Feedback_Score">#REF!</definedName>
    <definedName name="TestCase_Feedback_Total">#REF!</definedName>
    <definedName name="Testcase_Feedback_W">#REF!</definedName>
    <definedName name="TestCase_Owner">#REF!</definedName>
    <definedName name="TestCase_Owner_Score">#REF!</definedName>
    <definedName name="TestCase_Owner_Total">#REF!</definedName>
    <definedName name="TestCase_Owner_W">#REF!</definedName>
    <definedName name="Testdrive">#REF!</definedName>
    <definedName name="TestDrive_Score">#REF!</definedName>
    <definedName name="TestDrive_Total">#REF!</definedName>
    <definedName name="TestDrive_W">#REF!</definedName>
    <definedName name="TESTER">#REF!</definedName>
    <definedName name="TestFocus">#REF!</definedName>
    <definedName name="TestFocus_Score">#REF!</definedName>
    <definedName name="TestFocus_Total">#REF!</definedName>
    <definedName name="TestFocus_W">#REF!</definedName>
    <definedName name="TestGroup_Clear">#REF!</definedName>
    <definedName name="TESTHKEY">#REF!</definedName>
    <definedName name="testing">#REF!</definedName>
    <definedName name="TESTKEYS">#REF!</definedName>
    <definedName name="TESTVKEY">#REF!</definedName>
    <definedName name="tête">#REF!</definedName>
    <definedName name="text" hidden="1">{"'Broadway ML#4'!$J$7:$N$490"}</definedName>
    <definedName name="TextRefCopy1">#REF!</definedName>
    <definedName name="TextRefCopy17">#REF!</definedName>
    <definedName name="TextRefCopy2">#REF!</definedName>
    <definedName name="TextRefCopyRangeCount" hidden="1">3</definedName>
    <definedName name="tez">#REF!</definedName>
    <definedName name="tf">#REF!</definedName>
    <definedName name="tfz">#REF!</definedName>
    <definedName name="tg">#REF!</definedName>
    <definedName name="TH">#REF!</definedName>
    <definedName name="thb">#REF!</definedName>
    <definedName name="thgrfsvbn">#REF!</definedName>
    <definedName name="thi" hidden="1">{"'Leading KPI'!$A$1:$P$33","'Leading KPI'!$A$1:$P$33"}</definedName>
    <definedName name="Thickness">#REF!</definedName>
    <definedName name="ThirdParty_Test">#REF!</definedName>
    <definedName name="ThirdParty_Test_Question">#REF!</definedName>
    <definedName name="ThirdParty_Test_Score">#REF!</definedName>
    <definedName name="ThirdParty_Test_Total">#REF!</definedName>
    <definedName name="Thirdparty_Test_W">#REF!</definedName>
    <definedName name="ThisDB">#REF!</definedName>
    <definedName name="THK">#REF!</definedName>
    <definedName name="Three_Cut">#REF!</definedName>
    <definedName name="thrvgvfcx">#REF!</definedName>
    <definedName name="thtethrthklnnibduivbiue">#REF!</definedName>
    <definedName name="thui">#REF!</definedName>
    <definedName name="thuz">#REF!</definedName>
    <definedName name="ti">#REF!</definedName>
    <definedName name="TIC_Facility">#REF!</definedName>
    <definedName name="TIC_Finance">#REF!</definedName>
    <definedName name="TIC_HR">#REF!</definedName>
    <definedName name="TIC_Management">#REF!</definedName>
    <definedName name="TIC_MIS">#REF!</definedName>
    <definedName name="TIC_QA">#REF!</definedName>
    <definedName name="time_fct">#REF!</definedName>
    <definedName name="time_ict">#REF!</definedName>
    <definedName name="Times">#REF!</definedName>
    <definedName name="TipoCambio">#REF!</definedName>
    <definedName name="tj">#REF!</definedName>
    <definedName name="tjak">#REF!</definedName>
    <definedName name="tjk">#REF!</definedName>
    <definedName name="tk">#REF!</definedName>
    <definedName name="tkl">#REF!</definedName>
    <definedName name="tl">#REF!</definedName>
    <definedName name="TM">#REF!</definedName>
    <definedName name="TMAA">#REF!</definedName>
    <definedName name="TMAINT">#REF!</definedName>
    <definedName name="TMAINTAA">#REF!</definedName>
    <definedName name="TMAINTBB">#REF!</definedName>
    <definedName name="tmaintc">#REF!</definedName>
    <definedName name="TMAINTCC">#REF!</definedName>
    <definedName name="tmaintd">#REF!</definedName>
    <definedName name="TMAINTDD">#REF!</definedName>
    <definedName name="tmainte">#REF!</definedName>
    <definedName name="tmaintez">#REF!</definedName>
    <definedName name="tmaintf">#REF!</definedName>
    <definedName name="tmaintfz">#REF!</definedName>
    <definedName name="tmaintg">#REF!</definedName>
    <definedName name="tmainth">#REF!</definedName>
    <definedName name="tmainti">#REF!</definedName>
    <definedName name="tmaintj">#REF!</definedName>
    <definedName name="tmaintk">#REF!</definedName>
    <definedName name="tmaintl">#REF!</definedName>
    <definedName name="tmaintm">#REF!</definedName>
    <definedName name="tmaintn">#REF!</definedName>
    <definedName name="tmainto">#REF!</definedName>
    <definedName name="tmaintv">#REF!</definedName>
    <definedName name="tmainty">#REF!</definedName>
    <definedName name="tmaintyy">#REF!</definedName>
    <definedName name="TMAINTZ">#REF!</definedName>
    <definedName name="tmaintzz">#REF!</definedName>
    <definedName name="TMBB">#REF!</definedName>
    <definedName name="TMCC">#REF!</definedName>
    <definedName name="TMDD">#REF!</definedName>
    <definedName name="tmex">#REF!</definedName>
    <definedName name="Tml" hidden="1">{"'MODIFY &amp; REPARE '!$B$1:$S$27"}</definedName>
    <definedName name="tmtrack.dll?ReportPage_Template_reports_2Frptexec_ReportId_18157">#REF!</definedName>
    <definedName name="tmtrack.dll?ReportPage_Template_reports_2Frptexec_ReportId_18517">#REF!</definedName>
    <definedName name="TMUP">#REF!</definedName>
    <definedName name="tmx">#REF!</definedName>
    <definedName name="tmy">#REF!</definedName>
    <definedName name="TMZ">#REF!</definedName>
    <definedName name="tn">#REF!</definedName>
    <definedName name="TNScore1">#REF!</definedName>
    <definedName name="TNScore2">#REF!</definedName>
    <definedName name="TNScore3">#REF!</definedName>
    <definedName name="TNScore4">#REF!</definedName>
    <definedName name="TNScore5">#REF!</definedName>
    <definedName name="TNScore8">#REF!</definedName>
    <definedName name="TNScore9">#REF!</definedName>
    <definedName name="tntnwtn">#REF!</definedName>
    <definedName name="TO">#REF!</definedName>
    <definedName name="TO_LIST1">#REF!</definedName>
    <definedName name="TO_LIST2">#REF!</definedName>
    <definedName name="TO_LIST3">#REF!</definedName>
    <definedName name="Tonnage_Range">#REF!</definedName>
    <definedName name="too">#REF!</definedName>
    <definedName name="TOOL_COST01">#REF!</definedName>
    <definedName name="TOOL_COST02">#REF!</definedName>
    <definedName name="TOOL_COST03">#REF!</definedName>
    <definedName name="TOOL_COST04">#REF!</definedName>
    <definedName name="TOOL_COST05">#REF!</definedName>
    <definedName name="TOOL_COST06">#REF!</definedName>
    <definedName name="TOOL_COST07">#REF!</definedName>
    <definedName name="TOOL_COST08">#REF!</definedName>
    <definedName name="TOOL_COST09">#REF!</definedName>
    <definedName name="TOOL_COST10">#REF!</definedName>
    <definedName name="TOOL_COST11">#REF!</definedName>
    <definedName name="TOOL_COST12">#REF!</definedName>
    <definedName name="TOOL_COST13">#REF!</definedName>
    <definedName name="TOOL_COST14">#REF!</definedName>
    <definedName name="TOOL_COST15">#REF!</definedName>
    <definedName name="TOOL_COST16">#REF!</definedName>
    <definedName name="TOOL_COST17">#REF!</definedName>
    <definedName name="TOOL_COST18">#REF!</definedName>
    <definedName name="TOOL_COST19">#REF!</definedName>
    <definedName name="TOOL_COST20">#REF!</definedName>
    <definedName name="TOOL_COST21">#REF!</definedName>
    <definedName name="TOOL_COST22">#REF!</definedName>
    <definedName name="TOOL_COST23">#REF!</definedName>
    <definedName name="Tool_Fixture">#REF!</definedName>
    <definedName name="Tool_Setup_Freq">#REF!</definedName>
    <definedName name="TOOL_WEIGHT01">#REF!</definedName>
    <definedName name="TOOL_WEIGHT02">#REF!</definedName>
    <definedName name="TOOL_WEIGHT03">#REF!</definedName>
    <definedName name="TOOL_WEIGHT04">#REF!</definedName>
    <definedName name="TOOL_WEIGHT05">#REF!</definedName>
    <definedName name="TOOL_WEIGHT06">#REF!</definedName>
    <definedName name="TOOL_WEIGHT07">#REF!</definedName>
    <definedName name="TOOL_WEIGHT08">#REF!</definedName>
    <definedName name="TOOL_WEIGHT09">#REF!</definedName>
    <definedName name="TOOL_WEIGHT10">#REF!</definedName>
    <definedName name="TOOL_WEIGHT11">#REF!</definedName>
    <definedName name="TOOL_WEIGHT12">#REF!</definedName>
    <definedName name="TOOL_WEIGHT13">#REF!</definedName>
    <definedName name="TOOL_WEIGHT14">#REF!</definedName>
    <definedName name="TOOL_WEIGHT15">#REF!</definedName>
    <definedName name="TOOL_WEIGHT16">#REF!</definedName>
    <definedName name="TOOL_WEIGHT17">#REF!</definedName>
    <definedName name="TOOL_WEIGHT18">#REF!</definedName>
    <definedName name="TOOL_WEIGHT19">#REF!</definedName>
    <definedName name="TOOL_WEIGHT20">#REF!</definedName>
    <definedName name="TOOL_WEIGHT21">#REF!</definedName>
    <definedName name="TOOL_WEIGHT22">#REF!</definedName>
    <definedName name="TOOL_WEIGHT23">#REF!</definedName>
    <definedName name="TOOLCOST">#REF!</definedName>
    <definedName name="TOOLCOSTAA">#REF!</definedName>
    <definedName name="TOOLCOSTBB">#REF!</definedName>
    <definedName name="toolcostc">#REF!</definedName>
    <definedName name="TOOLCOSTCC">#REF!</definedName>
    <definedName name="toolcostd">#REF!</definedName>
    <definedName name="TOOLCOSTDD">#REF!</definedName>
    <definedName name="toolcoste">#REF!</definedName>
    <definedName name="toolcostf">#REF!</definedName>
    <definedName name="toolcostfz">#REF!</definedName>
    <definedName name="toolcostg">#REF!</definedName>
    <definedName name="toolcosth">#REF!</definedName>
    <definedName name="toolcosti">#REF!</definedName>
    <definedName name="toolcostj">#REF!</definedName>
    <definedName name="toolcostk">#REF!</definedName>
    <definedName name="toolcostl">#REF!</definedName>
    <definedName name="toolcostm">#REF!</definedName>
    <definedName name="toolcostn">#REF!</definedName>
    <definedName name="toolcosto">#REF!</definedName>
    <definedName name="toolcostv">#REF!</definedName>
    <definedName name="toolcosty">#REF!</definedName>
    <definedName name="toolcostyy">#REF!</definedName>
    <definedName name="TOOLCOSTZ">#REF!</definedName>
    <definedName name="toolcostzz">#REF!</definedName>
    <definedName name="ToolGrade">#REF!</definedName>
    <definedName name="tooling">#REF!</definedName>
    <definedName name="Tooling_Type">#REF!</definedName>
    <definedName name="tooling1">#REF!</definedName>
    <definedName name="ToolingArea">#REF!</definedName>
    <definedName name="ToolingMNGHrs">#REF!</definedName>
    <definedName name="ToolMaint">#REF!</definedName>
    <definedName name="toolocstez">#REF!</definedName>
    <definedName name="ToolRefurnishingcost">#REF!</definedName>
    <definedName name="Tools_Clear">#REF!</definedName>
    <definedName name="TOP">#REF!</definedName>
    <definedName name="TORNADO__263050_001">#REF!</definedName>
    <definedName name="Tornado_X1_Price">#REF!</definedName>
    <definedName name="tot">#REF!</definedName>
    <definedName name="TOTAL">#REF!</definedName>
    <definedName name="TOTAL_C2">#REF!</definedName>
    <definedName name="total_cost">#REF!</definedName>
    <definedName name="Total_Interest">#REF!</definedName>
    <definedName name="Total_Pay">#REF!</definedName>
    <definedName name="Total_Payment">Scheduled_Payment+Extra_Payment</definedName>
    <definedName name="TOTAL_WT">#REF!</definedName>
    <definedName name="total1">#REF!</definedName>
    <definedName name="TotalOEMFeef">#REF!</definedName>
    <definedName name="TotalOEMFnum">#REF!</definedName>
    <definedName name="TotalOEMFtef">#REF!</definedName>
    <definedName name="TotalOEMMeef">#REF!</definedName>
    <definedName name="TotalOEMMnum">#REF!</definedName>
    <definedName name="TotalOEMMtef">#REF!</definedName>
    <definedName name="TotalOEMPnum">#REF!</definedName>
    <definedName name="TotalOEMPper">#REF!</definedName>
    <definedName name="TotalOEMReef">#REF!</definedName>
    <definedName name="TotalOEMRnum">#REF!</definedName>
    <definedName name="TotalOEMRtef">#REF!</definedName>
    <definedName name="TotalT40Feef">#REF!</definedName>
    <definedName name="TotalT40Fnum">#REF!</definedName>
    <definedName name="TotalT40Ftef">#REF!</definedName>
    <definedName name="TotalT40Meef">#REF!</definedName>
    <definedName name="TotalT40Mnum">#REF!</definedName>
    <definedName name="TotalT40Mtef">#REF!</definedName>
    <definedName name="TotalT40Pnum">#REF!</definedName>
    <definedName name="TotalT40Pper">#REF!</definedName>
    <definedName name="TotalT40Reef">#REF!</definedName>
    <definedName name="TotalT40Rnum">#REF!</definedName>
    <definedName name="TotalT40Rtef">#REF!</definedName>
    <definedName name="TotalT50Feef">#REF!</definedName>
    <definedName name="TotalT50Fnum">#REF!</definedName>
    <definedName name="TotalT50Ftef">#REF!</definedName>
    <definedName name="TotalT50Meef">#REF!</definedName>
    <definedName name="TotalT50Mnum">#REF!</definedName>
    <definedName name="TotalT50Mtef">#REF!</definedName>
    <definedName name="TotalT50Pnum">#REF!</definedName>
    <definedName name="TotalT50Pper">#REF!</definedName>
    <definedName name="TotalT50Reef">#REF!</definedName>
    <definedName name="TotalT50Rnum">#REF!</definedName>
    <definedName name="TotalT50Rtef">#REF!</definedName>
    <definedName name="tpb">#REF!</definedName>
    <definedName name="TPEAU1">#REF!</definedName>
    <definedName name="TPEAU2">#REF!</definedName>
    <definedName name="TPEAU3">#REF!</definedName>
    <definedName name="TrackTool">#REF!</definedName>
    <definedName name="TrackTool_General">#REF!</definedName>
    <definedName name="TrackTool_General_W">#REF!</definedName>
    <definedName name="TrackTool_Total">#REF!</definedName>
    <definedName name="TrackTool_W">#REF!</definedName>
    <definedName name="TrackToolG_Total">#REF!</definedName>
    <definedName name="Train_Test_AutoDrive">#REF!</definedName>
    <definedName name="Train_Test_Idrive">#REF!</definedName>
    <definedName name="Train_Test_JPN">#REF!</definedName>
    <definedName name="Train_Test_L10N">#REF!</definedName>
    <definedName name="Train_Test_TeamTrack">#REF!</definedName>
    <definedName name="Train_Test_TestDrive_C">#REF!</definedName>
    <definedName name="Train_Test_TestDrive_E">#REF!</definedName>
    <definedName name="Train_Test_TestDrive_P">#REF!</definedName>
    <definedName name="Train_Test_ToolsFeedback">#REF!</definedName>
    <definedName name="Train_Test_ValueChain">#REF!</definedName>
    <definedName name="Training_Clear">#REF!</definedName>
    <definedName name="TRAN">#REF!</definedName>
    <definedName name="Trans">#REF!</definedName>
    <definedName name="transc">#REF!</definedName>
    <definedName name="transd">#REF!</definedName>
    <definedName name="transe">#REF!</definedName>
    <definedName name="transez">#REF!</definedName>
    <definedName name="transf">#REF!</definedName>
    <definedName name="transfz">#REF!</definedName>
    <definedName name="transg">#REF!</definedName>
    <definedName name="transh">#REF!</definedName>
    <definedName name="transi">#REF!</definedName>
    <definedName name="transj">#REF!</definedName>
    <definedName name="transk">#REF!</definedName>
    <definedName name="transl">#REF!</definedName>
    <definedName name="transm">#REF!</definedName>
    <definedName name="transn">#REF!</definedName>
    <definedName name="transo">#REF!</definedName>
    <definedName name="Transport">#REF!</definedName>
    <definedName name="transv">#REF!</definedName>
    <definedName name="transyy">#REF!</definedName>
    <definedName name="tranzz">#REF!</definedName>
    <definedName name="Tray">#REF!</definedName>
    <definedName name="tredbnbv">#REF!</definedName>
    <definedName name="tredrftgyh">#REF!</definedName>
    <definedName name="trend">#REF!</definedName>
    <definedName name="Trend_No">#REF!</definedName>
    <definedName name="Trial">#REF!</definedName>
    <definedName name="triangle">#REF!</definedName>
    <definedName name="Trise">7</definedName>
    <definedName name="trrewf">#REF!</definedName>
    <definedName name="truck_type">OFFSET(#REF!,0,0,COUNTA(OFFSET(#REF!,0,0,9999,1)),1)</definedName>
    <definedName name="try">#REF!</definedName>
    <definedName name="TSEL">#REF!</definedName>
    <definedName name="tsgp">#REF!</definedName>
    <definedName name="tsha">#REF!</definedName>
    <definedName name="tshaca">#REF!</definedName>
    <definedName name="TSIJ">#REF!</definedName>
    <definedName name="tst">#REF!</definedName>
    <definedName name="tsuz">#REF!</definedName>
    <definedName name="tsz">#REF!</definedName>
    <definedName name="tt">#REF!</definedName>
    <definedName name="Ttl_area">#REF!</definedName>
    <definedName name="Ttl_Freight">#REF!</definedName>
    <definedName name="TTLCOST">#REF!</definedName>
    <definedName name="tts">#REF!</definedName>
    <definedName name="ttt" hidden="1">{"Drawing&amp;Homo.result",#N/A,FALSE,"Greco Hom. and BOM"}</definedName>
    <definedName name="TTTT">#REF!</definedName>
    <definedName name="tu">#REF!</definedName>
    <definedName name="Tully_Baseline">#REF!</definedName>
    <definedName name="Tully_Cost_Reduction">#REF!</definedName>
    <definedName name="Tully_Ext_Cost">#REF!</definedName>
    <definedName name="Tully_Reduction_Percentage">#REF!</definedName>
    <definedName name="tup">#REF!</definedName>
    <definedName name="tv">#REF!</definedName>
    <definedName name="Two_Cut">#REF!</definedName>
    <definedName name="ty">#REF!</definedName>
    <definedName name="ty7i">#REF!</definedName>
    <definedName name="Type">#REF!</definedName>
    <definedName name="Type_Class_List">#REF!</definedName>
    <definedName name="TypeItems">#REF!</definedName>
    <definedName name="tyt" hidden="1">{"'Broadway ML#4'!$J$7:$N$490"}</definedName>
    <definedName name="tyy">#REF!</definedName>
    <definedName name="tz">#REF!</definedName>
    <definedName name="U">#REF!</definedName>
    <definedName name="ub">#REF!</definedName>
    <definedName name="ueem">#REF!</definedName>
    <definedName name="UFPrn20041109085009">#REF!</definedName>
    <definedName name="uggefewef">#REF!</definedName>
    <definedName name="uhnbgtgb">#REF!</definedName>
    <definedName name="uio">#REF!</definedName>
    <definedName name="UK_1A">#REF!</definedName>
    <definedName name="UK_1B">#REF!</definedName>
    <definedName name="ULT" hidden="1">{"'Individual Tooling Cost'!$B$3:$O$6"}</definedName>
    <definedName name="ULT_2" hidden="1">{"'Individual Tooling Cost'!$B$3:$O$6"}</definedName>
    <definedName name="ULT_3" hidden="1">{"'Individual Tooling Cost'!$B$3:$O$6"}</definedName>
    <definedName name="ULT_4" hidden="1">{"'Individual Tooling Cost'!$B$3:$O$6"}</definedName>
    <definedName name="ULT_5" hidden="1">{"'Individual Tooling Cost'!$B$3:$O$6"}</definedName>
    <definedName name="unit_cost">#REF!</definedName>
    <definedName name="Unit_Price">OFFSET(#REF!,0,0,COUNTA(OFFSET(#REF!,0,0,100,1)),1)</definedName>
    <definedName name="Unscrewing">#REF!</definedName>
    <definedName name="UOM">#REF!</definedName>
    <definedName name="UP">#REF!</definedName>
    <definedName name="upc">#REF!</definedName>
    <definedName name="upd">#REF!</definedName>
    <definedName name="upe">#REF!</definedName>
    <definedName name="upez">#REF!</definedName>
    <definedName name="upf">#REF!</definedName>
    <definedName name="upfz">#REF!</definedName>
    <definedName name="upg">#REF!</definedName>
    <definedName name="uph">#REF!</definedName>
    <definedName name="upi">#REF!</definedName>
    <definedName name="upj">#REF!</definedName>
    <definedName name="upk">#REF!</definedName>
    <definedName name="upl">#REF!</definedName>
    <definedName name="upm">#REF!</definedName>
    <definedName name="upn">#REF!</definedName>
    <definedName name="upo">#REF!</definedName>
    <definedName name="Upper_Tolerance">#REF!</definedName>
    <definedName name="upv">#REF!</definedName>
    <definedName name="upyy">#REF!</definedName>
    <definedName name="upz">#REF!</definedName>
    <definedName name="US">#REF!</definedName>
    <definedName name="US_1A">#REF!</definedName>
    <definedName name="US_1B">#REF!</definedName>
    <definedName name="usd">#REF!</definedName>
    <definedName name="USDRM">#REF!</definedName>
    <definedName name="Used_on">#REF!</definedName>
    <definedName name="User_Type">#REF!</definedName>
    <definedName name="Using_Plant">#REF!</definedName>
    <definedName name="USP">#REF!</definedName>
    <definedName name="UU">#REF!</definedName>
    <definedName name="uuuuuu">#REF!</definedName>
    <definedName name="uyt">#REF!</definedName>
    <definedName name="uytredfvb">#REF!</definedName>
    <definedName name="uytrewfgh">#REF!</definedName>
    <definedName name="uytrewsdfg">#REF!</definedName>
    <definedName name="UYYUY">#REF!</definedName>
    <definedName name="V">#REF!</definedName>
    <definedName name="v_M">#REF!</definedName>
    <definedName name="V_Score">#REF!</definedName>
    <definedName name="V_Total">#REF!</definedName>
    <definedName name="V_W">#REF!</definedName>
    <definedName name="VA_Capabilities">#REF!</definedName>
    <definedName name="VAC" hidden="1">{"'MODIFY &amp; REPARE '!$B$1:$S$27"}</definedName>
    <definedName name="Vacant">#REF!,#REF!,#REF!,#REF!,#REF!,#REF!,#REF!,#REF!,#REF!,#REF!</definedName>
    <definedName name="Vacation">#REF!</definedName>
    <definedName name="Vacation_Bonus">#REF!</definedName>
    <definedName name="vaevneviaev">#REF!</definedName>
    <definedName name="valeo">#REF!</definedName>
    <definedName name="Validation">#REF!</definedName>
    <definedName name="ValidationlistCodeR">#REF!</definedName>
    <definedName name="ValidBOMRange">#REF!</definedName>
    <definedName name="value_chain">#REF!</definedName>
    <definedName name="value_chain_score">#REF!</definedName>
    <definedName name="Value_Chain_Total">#REF!</definedName>
    <definedName name="Value_Chain_W">#REF!</definedName>
    <definedName name="ValueChain">#REF!</definedName>
    <definedName name="ValueChain_Score">#REF!</definedName>
    <definedName name="valuechain_total">#REF!</definedName>
    <definedName name="ValueChain_W">#REF!</definedName>
    <definedName name="Values_Entered">IF(Loan_Amount*Interest_Rate*Loan_Years*Loan_Start&gt;0,1,0)</definedName>
    <definedName name="varCap">#REF!</definedName>
    <definedName name="varEVA">#REF!</definedName>
    <definedName name="varOP">#REF!</definedName>
    <definedName name="varOth">#REF!</definedName>
    <definedName name="varRev">#REF!</definedName>
    <definedName name="varspain">#REF!</definedName>
    <definedName name="VBGVJHGHJ">#REF!</definedName>
    <definedName name="vbjk">#REF!</definedName>
    <definedName name="vc" hidden="1">{"'Broadway ML#4'!$J$7:$N$490"}</definedName>
    <definedName name="VCCCV">#REF!</definedName>
    <definedName name="VCscWW10">#REF!</definedName>
    <definedName name="vcsedft">#REF!</definedName>
    <definedName name="vdavdvdv">#REF!</definedName>
    <definedName name="vdbdnxvXcx">#REF!</definedName>
    <definedName name="vdsvs">#REF!</definedName>
    <definedName name="vdsvzvvsdz">#REF!</definedName>
    <definedName name="vdswegwe">#REF!</definedName>
    <definedName name="vdvdvavv">#REF!</definedName>
    <definedName name="vdvdvdv">#REF!</definedName>
    <definedName name="vdvdvdvdv">#REF!</definedName>
    <definedName name="vdvdvsasvsv">#REF!</definedName>
    <definedName name="vdvvdvsdav">#REF!</definedName>
    <definedName name="vdvvgrgfvb">#REF!</definedName>
    <definedName name="vdvvvdv">#REF!</definedName>
    <definedName name="vdvvvuvn">#REF!</definedName>
    <definedName name="vdvvvwe">#REF!</definedName>
    <definedName name="ve">#REF!</definedName>
    <definedName name="vedvkvbakva">#REF!</definedName>
    <definedName name="vedvvnvn">#REF!</definedName>
    <definedName name="VELE">#REF!</definedName>
    <definedName name="Velocity">#REF!</definedName>
    <definedName name="Verpackungsv">#REF!</definedName>
    <definedName name="verrew">#REF!</definedName>
    <definedName name="ververvrv">#REF!</definedName>
    <definedName name="vervevew">#REF!</definedName>
    <definedName name="vervwvwv">#REF!</definedName>
    <definedName name="veveve">#REF!</definedName>
    <definedName name="vevevev">#REF!</definedName>
    <definedName name="vevvtrbyx">#REF!</definedName>
    <definedName name="vevvww">#REF!</definedName>
    <definedName name="vevwvw">#REF!</definedName>
    <definedName name="vewvwvwe">#REF!</definedName>
    <definedName name="vfsaff">#REF!</definedName>
    <definedName name="vgm">#REF!</definedName>
    <definedName name="Victor">#REF!</definedName>
    <definedName name="Viper_Prev">#REF!</definedName>
    <definedName name="ViseCommon">#REF!</definedName>
    <definedName name="ViseForecast">#REF!</definedName>
    <definedName name="ViseS">#REF!</definedName>
    <definedName name="ViseSMT">#REF!</definedName>
    <definedName name="visteon">#REF!</definedName>
    <definedName name="vnaevbiva\">#REF!</definedName>
    <definedName name="vnevwuiaiv">#REF!</definedName>
    <definedName name="vol">(1-#REF!)</definedName>
    <definedName name="vortex">#REF!</definedName>
    <definedName name="vrevevewv">#REF!</definedName>
    <definedName name="vrvervrv">#REF!</definedName>
    <definedName name="vsdvvvdvsdv">#REF!</definedName>
    <definedName name="VV">#REF!</definedName>
    <definedName name="vvbakvkv">#REF!</definedName>
    <definedName name="vvccwqw">#REF!</definedName>
    <definedName name="vvv">#REF!</definedName>
    <definedName name="vvvv" hidden="1">{"'Broadway ML#4'!$J$7:$N$490"}</definedName>
    <definedName name="vwvwv">#REF!</definedName>
    <definedName name="vwvwvw">#REF!</definedName>
    <definedName name="W">#REF!</definedName>
    <definedName name="wadf">#REF!</definedName>
    <definedName name="Waehrung">#REF!</definedName>
    <definedName name="Waiver_Template">#REF!</definedName>
    <definedName name="Wale">#REF!</definedName>
    <definedName name="Wale_1">#REF!</definedName>
    <definedName name="Wale_2">#REF!</definedName>
    <definedName name="Wale_3">#REF!</definedName>
    <definedName name="Wale_4">#REF!</definedName>
    <definedName name="Wale1">#REF!</definedName>
    <definedName name="Wale10">#REF!</definedName>
    <definedName name="Wale2">#REF!</definedName>
    <definedName name="Wale3">#REF!</definedName>
    <definedName name="Wale4">#REF!</definedName>
    <definedName name="Wale6">#REF!</definedName>
    <definedName name="Wale7">#REF!</definedName>
    <definedName name="Wale8">#REF!</definedName>
    <definedName name="Wale9">#REF!</definedName>
    <definedName name="warning" hidden="1">{#N/A,#N/A,FALSE,"Aging Summary";#N/A,#N/A,FALSE,"Ratio Analysis";#N/A,#N/A,FALSE,"Test 120 Day Accts";#N/A,#N/A,FALSE,"Tickmarks"}</definedName>
    <definedName name="WAS">#REF!</definedName>
    <definedName name="wasc">#REF!</definedName>
    <definedName name="wasd">#REF!</definedName>
    <definedName name="wase">#REF!</definedName>
    <definedName name="wasez">#REF!</definedName>
    <definedName name="wasf">#REF!</definedName>
    <definedName name="wasfz">#REF!</definedName>
    <definedName name="wasg">#REF!</definedName>
    <definedName name="wash">#REF!</definedName>
    <definedName name="wasi">#REF!</definedName>
    <definedName name="wasj">#REF!</definedName>
    <definedName name="wask">#REF!</definedName>
    <definedName name="wasl">#REF!</definedName>
    <definedName name="wasm">#REF!</definedName>
    <definedName name="wasn">#REF!</definedName>
    <definedName name="waso">#REF!</definedName>
    <definedName name="WASTAGE">#REF!</definedName>
    <definedName name="Wastage1">#REF!</definedName>
    <definedName name="wastagec">#REF!</definedName>
    <definedName name="wastaged">#REF!</definedName>
    <definedName name="wastagee">#REF!</definedName>
    <definedName name="wastageez">#REF!</definedName>
    <definedName name="wastagef">#REF!</definedName>
    <definedName name="wastagefz">#REF!</definedName>
    <definedName name="wastageg">#REF!</definedName>
    <definedName name="wastageh">#REF!</definedName>
    <definedName name="wastagei">#REF!</definedName>
    <definedName name="wastagej">#REF!</definedName>
    <definedName name="wastagek">#REF!</definedName>
    <definedName name="wastagel">#REF!</definedName>
    <definedName name="wastagem">#REF!</definedName>
    <definedName name="wastagen">#REF!</definedName>
    <definedName name="wastageo">#REF!</definedName>
    <definedName name="wastagev">#REF!</definedName>
    <definedName name="wastageyy">#REF!</definedName>
    <definedName name="wastagez">#REF!</definedName>
    <definedName name="wasv">#REF!</definedName>
    <definedName name="wasyy">#REF!</definedName>
    <definedName name="wasz">#REF!</definedName>
    <definedName name="wc">#REF!</definedName>
    <definedName name="wd">#REF!</definedName>
    <definedName name="we">#REF!</definedName>
    <definedName name="Week">#REF!</definedName>
    <definedName name="Weekdays">#REF!</definedName>
    <definedName name="WeekendOvertime">#REF!</definedName>
    <definedName name="WeekendPlan">#REF!</definedName>
    <definedName name="weerdv">#REF!</definedName>
    <definedName name="weew">#REF!</definedName>
    <definedName name="WEGEWRG" hidden="1">{"'7-2???'!$A$1:$R$44"}</definedName>
    <definedName name="Weight">#REF!</definedName>
    <definedName name="WenJian">#REF!,#REF!,#REF!,#REF!,#REF!,#REF!,#REF!,#REF!,#REF!,#REF!</definedName>
    <definedName name="WEQWEFQ" hidden="1">{#N/A,#N/A,TRUE,"????-1";#N/A,#N/A,TRUE,"????-2";#N/A,#N/A,TRUE,"????";#N/A,#N/A,TRUE,"RAC";#N/A,#N/A,TRUE,"PAC ";#N/A,#N/A,TRUE,"????";#N/A,#N/A,TRUE,"????"}</definedName>
    <definedName name="wer">#REF!</definedName>
    <definedName name="werre">#REF!</definedName>
    <definedName name="WERT">#REF!</definedName>
    <definedName name="werty">#REF!</definedName>
    <definedName name="WEWEGFW" hidden="1">{#N/A,#N/A,TRUE,"????-1";#N/A,#N/A,TRUE,"????-2";#N/A,#N/A,TRUE,"????";#N/A,#N/A,TRUE,"RAC";#N/A,#N/A,TRUE,"PAC ";#N/A,#N/A,TRUE,"????";#N/A,#N/A,TRUE,"????"}</definedName>
    <definedName name="wez">#REF!</definedName>
    <definedName name="wf">#REF!</definedName>
    <definedName name="wfz">#REF!</definedName>
    <definedName name="wg">#REF!</definedName>
    <definedName name="wh">#REF!</definedName>
    <definedName name="whi" hidden="1">{"Drawing&amp;Homo.result",#N/A,FALSE,"Greco Hom. and BOM"}</definedName>
    <definedName name="WI">#REF!</definedName>
    <definedName name="WIDTH">#REF!</definedName>
    <definedName name="Width1">#REF!</definedName>
    <definedName name="win">#REF!</definedName>
    <definedName name="WIN1N">#REF!</definedName>
    <definedName name="WIN2N">#REF!</definedName>
    <definedName name="WIN4N">#N/A</definedName>
    <definedName name="WINN">#REF!</definedName>
    <definedName name="WIRE_HOURS01">#REF!</definedName>
    <definedName name="WIRE_HOURS02">#REF!</definedName>
    <definedName name="WIRE_HOURS03">#REF!</definedName>
    <definedName name="WIRE_HOURS04">#REF!</definedName>
    <definedName name="WIRE_HOURS05">#REF!</definedName>
    <definedName name="WIRE_HOURS06">#REF!</definedName>
    <definedName name="WIRE_HOURS07">#REF!</definedName>
    <definedName name="WIRE_HOURS08">#REF!</definedName>
    <definedName name="WIRE_HOURS09">#REF!</definedName>
    <definedName name="WIRE_HOURS10">#REF!</definedName>
    <definedName name="WIRE_HOURS11">#REF!</definedName>
    <definedName name="WIRE_HOURS12">#REF!</definedName>
    <definedName name="WIRE_HOURS13">#REF!</definedName>
    <definedName name="WIRE_HOURS14">#REF!</definedName>
    <definedName name="WIRE_HOURS15">#REF!</definedName>
    <definedName name="WIRE_HOURS16">#REF!</definedName>
    <definedName name="WIRE_HOURS17">#REF!</definedName>
    <definedName name="WIRE_HOURS18">#REF!</definedName>
    <definedName name="WIRELESS">#REF!</definedName>
    <definedName name="wj">#REF!</definedName>
    <definedName name="wk">#REF!</definedName>
    <definedName name="wl">#REF!</definedName>
    <definedName name="wm">#REF!</definedName>
    <definedName name="wm.????.XLS.2" hidden="1">{#N/A,#N/A,FALSE,"2???";#N/A,#N/A,FALSE,"1???";#N/A,#N/A,FALSE,"3???"}</definedName>
    <definedName name="wm.??0104.XLS.2" hidden="1">{#N/A,#N/A,TRUE,"????-1";#N/A,#N/A,TRUE,"????-2";#N/A,#N/A,TRUE,"????";#N/A,#N/A,TRUE,"RAC";#N/A,#N/A,TRUE,"PAC ";#N/A,#N/A,TRUE,"????";#N/A,#N/A,TRUE,"????"}</definedName>
    <definedName name="wm.입도정정.XLS.2" hidden="1">{#N/A,#N/A,FALSE,"2월입도";#N/A,#N/A,FALSE,"1월입도";#N/A,#N/A,FALSE,"3월입도"}</definedName>
    <definedName name="wm.회의0104.XLS.2" hidden="1">{#N/A,#N/A,TRUE,"매출진척-1";#N/A,#N/A,TRUE,"매출진척-2";#N/A,#N/A,TRUE,"제품실적";#N/A,#N/A,TRUE,"RAC";#N/A,#N/A,TRUE,"PAC ";#N/A,#N/A,TRUE,"재고현황";#N/A,#N/A,TRUE,"공지사항"}</definedName>
    <definedName name="wn">#REF!</definedName>
    <definedName name="wnttnwt">#REF!</definedName>
    <definedName name="wo">#REF!</definedName>
    <definedName name="woiadhao">#REF!</definedName>
    <definedName name="woooawoodjaoijdoas">#REF!</definedName>
    <definedName name="WORK_AREA">#REF!</definedName>
    <definedName name="work_hour">#REF!</definedName>
    <definedName name="WORK1">#REF!</definedName>
    <definedName name="WORK2">#REF!</definedName>
    <definedName name="WORK3">#REF!</definedName>
    <definedName name="wpwn">#REF!</definedName>
    <definedName name="wrn" hidden="1">{"one (KEY)",#N/A,FALSE,"P&amp;L"}</definedName>
    <definedName name="wrn.????.XLS." hidden="1">{#N/A,#N/A,FALSE,"2???";#N/A,#N/A,FALSE,"1???";#N/A,#N/A,FALSE,"3???"}</definedName>
    <definedName name="wrn.??0104.XLS." hidden="1">{#N/A,#N/A,TRUE,"????-1";#N/A,#N/A,TRUE,"????-2";#N/A,#N/A,TRUE,"????";#N/A,#N/A,TRUE,"RAC";#N/A,#N/A,TRUE,"PAC ";#N/A,#N/A,TRUE,"????";#N/A,#N/A,TRUE,"????"}</definedName>
    <definedName name="wrn.Aging._.and._.Trend._.Analysis." hidden="1">{#N/A,#N/A,FALSE,"Aging Summary";#N/A,#N/A,FALSE,"Ratio Analysis";#N/A,#N/A,FALSE,"Test 120 Day Accts";#N/A,#N/A,FALSE,"Tickmarks"}</definedName>
    <definedName name="wrn.ANOC." hidden="1">{"MONTHPLAN",#N/A,FALSE,"DETAIL REPORT";"MONTHPRIOR",#N/A,FALSE,"DETAIL REPORT";"YTDPLAN",#N/A,FALSE,"DETAIL REPORT";"YTDPRIOR",#N/A,FALSE,"DETAIL REPORT"}</definedName>
    <definedName name="wrn.BCFE." hidden="1">{#N/A,#N/A,FALSE,"PAF";#N/A,#N/A,FALSE,"Cash Flow";#N/A,#N/A,FALSE,"Capital";#N/A,#N/A,FALSE,"Expense(1)";#N/A,#N/A,FALSE,"Expense(2)";#N/A,#N/A,FALSE,"Benefit(1)";#N/A,#N/A,FALSE,"Benefit(2)";#N/A,#N/A,FALSE,"People"}</definedName>
    <definedName name="wrn.CARAT." hidden="1">{"volu carat",#N/A,FALSE,"VOLUMEN";"cta global acumul carat",#N/A,FALSE,"CTA_GLOBAL_ACUMUL";"efectivos",#N/A,FALSE,"EFECTIVOS";"bfr carat",#N/A,FALSE,"BFR_CAPITAUX ";"volu carat acu",#N/A,FALSE,"VOLUMEN";"efectivos acu",#N/A,FALSE,"EFECTIVOS"}</definedName>
    <definedName name="wrn.Cash._.Flow." hidden="1">{#N/A,#N/A,FALSE,"Cash Flow"}</definedName>
    <definedName name="wrn.COMPLET." hidden="1">{"HIPOTESIS",#N/A,FALSE,"INDUSTRIAL";"CUADRO",#N/A,FALSE,"INDUSTRIAL";"HIPOTESIS",#N/A,FALSE,"COMERCIAL";"CUADRO",#N/A,FALSE,"COMERCIAL"}</definedName>
    <definedName name="wrn.COMPLETO." hidden="1">{"EUNEA",#N/A,TRUE,"EUNEA";"HIMEL",#N/A,TRUE,"HIMEL";"S_E_E",#N/A,TRUE,"S_E_E";"MESA",#N/A,TRUE,"MESA";"CEVELSA",#N/A,TRUE,"CEVELSA";"POVELSA",#N/A,TRUE,"POVELSA";"TELEMECA",#N/A,TRUE,"TELEMECA";"ESPAÑA",#N/A,TRUE,"ESPAÑA";"PORTUGAL",#N/A,TRUE,"PORTUGAL";"ESPAÑA_FF",#N/A,TRUE,"IBERICO";"PORTUGAL_FF",#N/A,TRUE,"IBERICO";"IBERICO_FF",#N/A,TRUE,"IBERICO"}</definedName>
    <definedName name="wrn.CTA_EXPLOT_ACUM." hidden="1">{"VOLUMEN ACUMULADO",#N/A,FALSE,"VOLUMEN";"cta global acu",#N/A,FALSE,"CTA_GLOBAL_ACUMUL";"app nac acu",#N/A,FALSE,"CTA.EXP. ACUMULADA";"app exp acu 1",#N/A,FALSE,"CTA.EXP. ACUMULADA";"app exp acu 2",#N/A,FALSE,"CTA.EXP. ACUMULADA";"piezas 1 acu",#N/A,FALSE,"CTA.EXP. ACUMULADA";"piezas 2 acu",#N/A,FALSE,"CTA.EXP. ACUMULADA"}</definedName>
    <definedName name="wrn.CTA_EXPLOT_COMPLETA." hidden="1">{"cta global",#N/A,FALSE,"CTA_GLOBAL_MENS";"VOLUMEN MENSUAL",#N/A,FALSE,"VOLUMEN";"cta global acu",#N/A,FALSE,"CTA_GLOBAL_ACUMUL";"VOLUMEN ACUMULADO",#N/A,FALSE,"VOLUMEN";"app nac",#N/A,FALSE,"CTA.EXP. MENSUAL";"app exp 1",#N/A,FALSE,"CTA.EXP. MENSUAL";"app exp 2",#N/A,FALSE,"CTA.EXP. MENSUAL";"piezas 1",#N/A,FALSE,"CTA.EXP. MENSUAL";"piezas 2",#N/A,FALSE,"CTA.EXP. MENSUAL";"app nac acu",#N/A,FALSE,"CTA.EXP. ACUMULADA";"app exp acu 1",#N/A,FALSE,"CTA.EXP. ACUMULADA";"app exp acu 2",#N/A,FALSE,"CTA.EXP. ACUMULADA";"piezas 1 acu",#N/A,FALSE,"CTA.EXP. ACUMULADA";"piezas 2 acu",#N/A,FALSE,"CTA.EXP. ACUMULADA"}</definedName>
    <definedName name="wrn.CTA_EXPLOT_MES." hidden="1">{"cta global",#N/A,FALSE,"CTA_GLOBAL_MENS";"VOLUMEN MENSUAL",#N/A,FALSE,"VOLUMEN";"app nac",#N/A,FALSE,"CTA.EXP. MENSUAL";"app exp 1",#N/A,FALSE,"CTA.EXP. MENSUAL";"app exp 2",#N/A,FALSE,"CTA.EXP. MENSUAL";"piezas 1",#N/A,FALSE,"CTA.EXP. MENSUAL";"piezas 2",#N/A,FALSE,"CTA.EXP. MENSUAL"}</definedName>
    <definedName name="wrn.Drawing._.and._.Homo.result." hidden="1">{"Drawing&amp;Homo.result",#N/A,FALSE,"Greco Hom. and BOM"}</definedName>
    <definedName name="wrn.exec." hidden="1">{"cash",#N/A,FALSE,"Executive Summary";"overview",#N/A,FALSE,"Executive Summary"}</definedName>
    <definedName name="wrn.GRAFICOS." hidden="1">{"GRAF. C.A.",#N/A,TRUE,"GRAFICOS";"GRAF. VOLUM.",#N/A,TRUE,"GRAFICOS";"GRAF. M.B.",#N/A,TRUE,"GRAFICOS"}</definedName>
    <definedName name="wrn.HDD._.BEZEL." localSheetId="10" hidden="1">{#N/A,#N/A,FALSE,"MFI -MIDDLE COVER"}</definedName>
    <definedName name="wrn.HDD._.BEZEL." localSheetId="11" hidden="1">{#N/A,#N/A,FALSE,"MFI -MIDDLE COVER"}</definedName>
    <definedName name="wrn.HDD._.BEZEL." localSheetId="12" hidden="1">{#N/A,#N/A,FALSE,"MFI -MIDDLE COVER"}</definedName>
    <definedName name="wrn.HDD._.BEZEL." localSheetId="1" hidden="1">{#N/A,#N/A,FALSE,"MFI -MIDDLE COVER"}</definedName>
    <definedName name="wrn.HDD._.BEZEL." hidden="1">{#N/A,#N/A,FALSE,"MFI -MIDDLE COVER"}</definedName>
    <definedName name="wrn.Informe._.Mensual." hidden="1">{"Portada",#N/A,TRUE,"Pres";"Cpte Résultat Mois M",#N/A,TRUE,"Cpte Résultat Mois M";"Coûts Structure",#N/A,TRUE,"Coûts Structure";"Capitaux Engagés",#N/A,TRUE,"Capitaux Engagés";"Effectifs",#N/A,TRUE,"Effectifs";"Prev. (M+1)",#N/A,TRUE,"Prev. (M+1)";"Prev. Trim.",#N/A,TRUE,"Prev. Trim.";"Graphs",#N/A,TRUE,"Graphs"}</definedName>
    <definedName name="wrn.Informe._.Trimestral." hidden="1">{"Portada",#N/A,TRUE,"Pres";"Cpte Résultat Mois M",#N/A,TRUE,"Cpte Résultat Mois M";"Coûts Structure",#N/A,TRUE,"Coûts Structure";"Capitaux Engagés",#N/A,TRUE,"Capitaux Engagés";"Effectifs",#N/A,TRUE,"Effectifs";"Prev. (M+1)",#N/A,TRUE,"Prev. (M+1)";"Prev. Trim.",#N/A,TRUE,"Prev. Trim.";"Prev. Fin Année",#N/A,TRUE,"Prev. Fin Année";"MAP",#N/A,TRUE,"MAP";"Graphs",#N/A,TRUE,"Graphs"}</definedName>
    <definedName name="wrn.Measurements." hidden="1">{#N/A,#N/A,FALSE,"Sales";#N/A,#N/A,FALSE,"CM";#N/A,#N/A,FALSE,"CM%";#N/A,#N/A,FALSE,"VCC";#N/A,#N/A,FALSE,"Hourly W &amp; F";#N/A,#N/A,FALSE,"Other Var. Cost";#N/A,#N/A,FALSE,"Std Hours";#N/A,#N/A,FALSE,"Base Cost";#N/A,#N/A,FALSE,"Net Inventory";#N/A,#N/A,FALSE,"Salaried HC";#N/A,#N/A,FALSE,"Hourly HC";#N/A,#N/A,FALSE,"Cust. Service";#N/A,#N/A,FALSE,"Claims";#N/A,#N/A,FALSE,"Safety"}</definedName>
    <definedName name="wrn.Mensual." hidden="1">{"Portada",#N/A,FALSE,"Pres";"PL",#N/A,FALSE,"P&amp;L";"SFC",#N/A,FALSE,"SFC";"CE",#N/A,FALSE,"Capital Employed";"M+1",#N/A,FALSE,"Prev. (M+1)";"TRI",#N/A,FALSE,"Prev. Trim."}</definedName>
    <definedName name="wrn.OTROS_DATOS." hidden="1">{"DIV_COEF (DIVISAS-COEF.)",#N/A,TRUE,"DIVISAS-COEF.";"ECART PRIX PIEZAS",#N/A,TRUE,"PIEZAS";"ECART PRIX PIEZAS ACU",#N/A,TRUE,"PIEZAS";"CA_POR_DIVISAS (PIEZAS)",#N/A,TRUE,"PIEZAS";"efectivos",#N/A,TRUE,"EFECTIVOS";"REPORTIN",#N/A,TRUE,"REPORTIN";"efectivos acu",#N/A,TRUE,"EFECTIVOS"}</definedName>
    <definedName name="wrn.PAF." hidden="1">{#N/A,#N/A,FALSE,"PAF"}</definedName>
    <definedName name="wrn.Scott." hidden="1">{#N/A,#N/A,FALSE,"Summary";#N/A,#N/A,FALSE,"Service";#N/A,#N/A,FALSE,"Carriage";#N/A,#N/A,FALSE,"Backbone"}</definedName>
    <definedName name="wrn.singapore." hidden="1">{"one (KEY)",#N/A,FALSE,"P&amp;L"}</definedName>
    <definedName name="wrn.test." hidden="1">{#N/A,#N/A,FALSE,"Sheet1"}</definedName>
    <definedName name="wrn.TOTAL_FF." hidden="1">{"ESPAÑA_FF",#N/A,FALSE,"IBERICO";"PORTUGAL_FF",#N/A,FALSE,"IBERICO";"IBERICO_FF",#N/A,FALSE,"IBERICO"}</definedName>
    <definedName name="wrn.Trimestral." hidden="1">{"Portada",#N/A,FALSE,"Pres";"PL",#N/A,FALSE,"P&amp;L";"SFC",#N/A,FALSE,"SFC";"CE",#N/A,FALSE,"Capital Employed";"M+1",#N/A,FALSE,"Prev. (M+1)";"TRI",#N/A,FALSE,"Prev. Trim.";"YEF",#N/A,FALSE,"Prev. Fin Année"}</definedName>
    <definedName name="wrn.UNITARIOS_ACU." hidden="1">{"unit acu",#N/A,FALSE,"UNIT-ACUMULADO";"unit exp acu 1",#N/A,FALSE,"UNIT-ACUMULADO";"unit exp acu 2",#N/A,FALSE,"UNIT-ACUMULADO"}</definedName>
    <definedName name="wrn.UNITARIOS_COMPLETO." hidden="1">{"unit nac",#N/A,FALSE,"UNIT-MENSUAL";"unit exp 1",#N/A,FALSE,"UNIT-MENSUAL";"unit exp 2",#N/A,FALSE,"UNIT-MENSUAL";"unit acu",#N/A,FALSE,"UNIT-ACUMULADO";"app exp acu 1",#N/A,FALSE,"UNIT-ACUMULADO";"app exp acu 2",#N/A,FALSE,"UNIT-ACUMULADO"}</definedName>
    <definedName name="wrn.UNITARIOS_MES." hidden="1">{"unit nac",#N/A,FALSE,"UNIT-MENSUAL";"unit exp 1",#N/A,FALSE,"UNIT-MENSUAL";"unit exp 2",#N/A,FALSE,"UNIT-MENSUAL"}</definedName>
    <definedName name="wrn.입도조정.XLS." hidden="1">{#N/A,#N/A,FALSE,"2월입도";#N/A,#N/A,FALSE,"1월입도";#N/A,#N/A,FALSE,"3월입도"}</definedName>
    <definedName name="wrn.회의0104.XLS." hidden="1">{#N/A,#N/A,TRUE,"매출진척-1";#N/A,#N/A,TRUE,"매출진척-2";#N/A,#N/A,TRUE,"제품실적";#N/A,#N/A,TRUE,"RAC";#N/A,#N/A,TRUE,"PAC ";#N/A,#N/A,TRUE,"재고현황";#N/A,#N/A,TRUE,"공지사항"}</definedName>
    <definedName name="WT">#REF!</definedName>
    <definedName name="wtc">#REF!</definedName>
    <definedName name="wtd">#REF!</definedName>
    <definedName name="wte">#REF!</definedName>
    <definedName name="wtez">#REF!</definedName>
    <definedName name="wtf">#REF!</definedName>
    <definedName name="wtfz">#REF!</definedName>
    <definedName name="wtg">#REF!</definedName>
    <definedName name="wth">#REF!</definedName>
    <definedName name="wti">#REF!</definedName>
    <definedName name="wtj">#REF!</definedName>
    <definedName name="wtk">#REF!</definedName>
    <definedName name="wtl">#REF!</definedName>
    <definedName name="wtm">#REF!</definedName>
    <definedName name="wtn">#REF!</definedName>
    <definedName name="wto">#REF!</definedName>
    <definedName name="wtv">#REF!</definedName>
    <definedName name="wtyy">#REF!</definedName>
    <definedName name="wtz">#REF!</definedName>
    <definedName name="wv">#REF!</definedName>
    <definedName name="ww">#REF!</definedName>
    <definedName name="wwr" hidden="1">{"Drawing&amp;Homo.result",#N/A,FALSE,"Greco Hom. and BOM"}</definedName>
    <definedName name="www">#REF!</definedName>
    <definedName name="wwwwwwwwwwww" hidden="1">{"'Broadway ML#4'!$J$7:$N$490"}</definedName>
    <definedName name="wyy">#REF!</definedName>
    <definedName name="wz">#REF!</definedName>
    <definedName name="X">#REF!</definedName>
    <definedName name="X980210_payment_printing_List">#REF!</definedName>
    <definedName name="XBAR">#REF!</definedName>
    <definedName name="XboxB">#REF!</definedName>
    <definedName name="XboxBOX">#REF!</definedName>
    <definedName name="XboxCommon">#REF!</definedName>
    <definedName name="XboxD">#REF!</definedName>
    <definedName name="XboxDIP">#REF!</definedName>
    <definedName name="XboxForecast">#REF!</definedName>
    <definedName name="XboxS">#REF!</definedName>
    <definedName name="XboxSMT">#REF!</definedName>
    <definedName name="xc">#REF!</definedName>
    <definedName name="xccwc">#REF!</definedName>
    <definedName name="xctr">#REF!</definedName>
    <definedName name="XenonDIPSTD">#REF!</definedName>
    <definedName name="XenonFAOffline">#REF!</definedName>
    <definedName name="XenonFASTD">#REF!</definedName>
    <definedName name="XenonPCBAOffline">#REF!</definedName>
    <definedName name="XenonSMTSTD">#REF!</definedName>
    <definedName name="xg">#REF!</definedName>
    <definedName name="xx">#REF!</definedName>
    <definedName name="XXX" hidden="1">{"'MODIFY &amp; REPARE '!$B$1:$S$27"}</definedName>
    <definedName name="xxxx">#REF!</definedName>
    <definedName name="xxxxxxxxx" hidden="1">{"'Broadway ML#4'!$J$7:$N$490"}</definedName>
    <definedName name="xxxxxxxxxxxxxxxxxxx" hidden="1">{"'Broadway ML#4'!$J$7:$N$490"}</definedName>
    <definedName name="xy">#REF!</definedName>
    <definedName name="xz" hidden="1">{"'Broadway ML#4'!$J$7:$N$490"}</definedName>
    <definedName name="Y">#REF!</definedName>
    <definedName name="YAA">#REF!</definedName>
    <definedName name="YBB">#REF!</definedName>
    <definedName name="yc">#REF!</definedName>
    <definedName name="YCC">#REF!</definedName>
    <definedName name="yd">#REF!</definedName>
    <definedName name="YDD">#REF!</definedName>
    <definedName name="ye">#REF!</definedName>
    <definedName name="Year">#REF!</definedName>
    <definedName name="Yeo_Li_Peng">#REF!</definedName>
    <definedName name="Yes">#REF!</definedName>
    <definedName name="YES1">#REF!</definedName>
    <definedName name="Yes12">#REF!</definedName>
    <definedName name="Yesno">#REF!</definedName>
    <definedName name="yez">#REF!</definedName>
    <definedName name="yf">#REF!</definedName>
    <definedName name="yfz">#REF!</definedName>
    <definedName name="yg">#REF!</definedName>
    <definedName name="yh">#REF!</definedName>
    <definedName name="YHT" hidden="1">{"'MODIFY &amp; REPARE '!$B$1:$S$27"}</definedName>
    <definedName name="yhy" hidden="1">{"'Broadway ML#4'!$J$7:$N$490"}</definedName>
    <definedName name="yi">#REF!</definedName>
    <definedName name="yiu">#REF!</definedName>
    <definedName name="yj">#REF!</definedName>
    <definedName name="yk">#REF!</definedName>
    <definedName name="yl">#REF!</definedName>
    <definedName name="ym">#REF!</definedName>
    <definedName name="YN">#REF!</definedName>
    <definedName name="ynmtuytdrebs">#REF!</definedName>
    <definedName name="yo">#REF!</definedName>
    <definedName name="you" hidden="1">{"'MODIFY &amp; REPARE '!$B$1:$S$27"}</definedName>
    <definedName name="ytgfvb">#REF!</definedName>
    <definedName name="ytredcv">#REF!</definedName>
    <definedName name="ytresdfg">#REF!</definedName>
    <definedName name="ytresdfgh">#REF!</definedName>
    <definedName name="ytrewerftgh">#REF!</definedName>
    <definedName name="ytrewsdfg">#REF!</definedName>
    <definedName name="ytrfdvbnnm">#REF!</definedName>
    <definedName name="yty" hidden="1">{"'Broadway ML#4'!$J$7:$N$490"}</definedName>
    <definedName name="Yuan">#REF!</definedName>
    <definedName name="yui">#REF!</definedName>
    <definedName name="yuo">#REF!</definedName>
    <definedName name="yv">#REF!</definedName>
    <definedName name="YY">#REF!</definedName>
    <definedName name="yyewewwe">#REF!</definedName>
    <definedName name="YYU" hidden="1">{"'MODIFY &amp; REPARE '!$B$1:$S$27"}</definedName>
    <definedName name="yyy">#REF!</definedName>
    <definedName name="yyyyyyy">#REF!</definedName>
    <definedName name="YZ">#REF!</definedName>
    <definedName name="yzz">#REF!</definedName>
    <definedName name="Z">#REF!</definedName>
    <definedName name="Z_06685B21_AA05_11D2_AA72_00C04FCC440D_.wvu.Cols" hidden="1">#REF!</definedName>
    <definedName name="Z_06685B21_AA05_11D2_AA72_00C04FCC440D_.wvu.PrintArea" hidden="1">#REF!</definedName>
    <definedName name="Z_06685B21_AA05_11D2_AA72_00C04FCC440D_.wvu.Rows" hidden="1">#REF!</definedName>
    <definedName name="Z_1DB72221_C82D_11D4_A7F3_0050BA6A83ED_.wvu.Cols" hidden="1">#REF!</definedName>
    <definedName name="Z_1DB72221_C82D_11D4_A7F3_0050BA6A83ED_.wvu.Rows" hidden="1">#REF!</definedName>
    <definedName name="Z_2A8D661C_D272_4F4F_89F6_1A8E51B05773_.wvu.Cols">#REF!</definedName>
    <definedName name="Z_2A8D661C_D272_4F4F_89F6_1A8E51B05773_.wvu.FilterData">#REF!</definedName>
    <definedName name="Z_2A8D661C_D272_4F4F_89F6_1A8E51B05773_.wvu.PrintArea">#REF!</definedName>
    <definedName name="Z_84273006_9305_4FF5_BE89_EACDF3C0DA55_.wvu.Cols" hidden="1">#REF!</definedName>
    <definedName name="Z_84273006_9305_4FF5_BE89_EACDF3C0DA55_.wvu.PrintArea" hidden="1">#REF!</definedName>
    <definedName name="Z_8F5C2B68_883F_4029_AD18_B0DF3ED256ED_.wvu.FilterData" localSheetId="10" hidden="1">#REF!</definedName>
    <definedName name="Z_8F5C2B68_883F_4029_AD18_B0DF3ED256ED_.wvu.FilterData" localSheetId="11" hidden="1">#REF!</definedName>
    <definedName name="Z_8F5C2B68_883F_4029_AD18_B0DF3ED256ED_.wvu.FilterData" localSheetId="12" hidden="1">#REF!</definedName>
    <definedName name="Z_8F5C2B68_883F_4029_AD18_B0DF3ED256ED_.wvu.FilterData" localSheetId="1" hidden="1">#REF!</definedName>
    <definedName name="Z_8F5C2B68_883F_4029_AD18_B0DF3ED256ED_.wvu.FilterData" hidden="1">#REF!</definedName>
    <definedName name="Z_8F5C2B68_883F_4029_AD18_B0DF3ED256ED_.wvu.PrintArea" localSheetId="10" hidden="1">#REF!</definedName>
    <definedName name="Z_8F5C2B68_883F_4029_AD18_B0DF3ED256ED_.wvu.PrintArea" localSheetId="11" hidden="1">#REF!</definedName>
    <definedName name="Z_8F5C2B68_883F_4029_AD18_B0DF3ED256ED_.wvu.PrintArea" localSheetId="12" hidden="1">#REF!</definedName>
    <definedName name="Z_8F5C2B68_883F_4029_AD18_B0DF3ED256ED_.wvu.PrintArea" localSheetId="1" hidden="1">#REF!</definedName>
    <definedName name="Z_8F5C2B68_883F_4029_AD18_B0DF3ED256ED_.wvu.PrintArea" hidden="1">#REF!</definedName>
    <definedName name="Z_BCE9AFC3_6439_11D1_8EF6_444553540000_.wvu.Cols" hidden="1">#REF!,#REF!</definedName>
    <definedName name="Z_BCE9AFC3_6439_11D1_8EF6_444553540000_.wvu.PrintArea" hidden="1">#REF!</definedName>
    <definedName name="Z_C63CADD2_0703_11D5_8A22_0080C8EC6978_.wvu.Cols" hidden="1">#REF!</definedName>
    <definedName name="Z_E3973807_6495_46AE_A0E9_BB974F3F83E5_.wvu.PrintTitles" localSheetId="10" hidden="1">#REF!</definedName>
    <definedName name="Z_E3973807_6495_46AE_A0E9_BB974F3F83E5_.wvu.PrintTitles" localSheetId="11" hidden="1">#REF!</definedName>
    <definedName name="Z_E3973807_6495_46AE_A0E9_BB974F3F83E5_.wvu.PrintTitles" localSheetId="12" hidden="1">#REF!</definedName>
    <definedName name="Z_E3973807_6495_46AE_A0E9_BB974F3F83E5_.wvu.PrintTitles" localSheetId="1" hidden="1">#REF!</definedName>
    <definedName name="Z_E3973807_6495_46AE_A0E9_BB974F3F83E5_.wvu.PrintTitles" hidden="1">#REF!</definedName>
    <definedName name="za" hidden="1">{"'Broadway ML#4'!$J$7:$N$490"}</definedName>
    <definedName name="ZhangQing">#REF!,#REF!,#REF!,#REF!,#REF!,#REF!,#REF!,#REF!,#REF!,#REF!</definedName>
    <definedName name="zone_a_trier">#REF!</definedName>
    <definedName name="Zone_d_impression_V29001324">#REF!</definedName>
    <definedName name="ZusatzLieferb">#REF!</definedName>
    <definedName name="Zustand">#REF!</definedName>
    <definedName name="zx">#REF!</definedName>
    <definedName name="zxcv">#REF!</definedName>
    <definedName name="zz">#REF!</definedName>
    <definedName name="zzz">#REF!</definedName>
    <definedName name="ZZZ2" hidden="1">{#N/A,#N/A,TRUE,"????-1";#N/A,#N/A,TRUE,"????-2";#N/A,#N/A,TRUE,"????";#N/A,#N/A,TRUE,"RAC";#N/A,#N/A,TRUE,"PAC ";#N/A,#N/A,TRUE,"????";#N/A,#N/A,TRUE,"????"}</definedName>
    <definedName name="スタータ_事前チェック用_">#REF!</definedName>
    <definedName name="テーブル1">#REF!</definedName>
    <definedName name="ライン名">OFFSET(#REF!,0,0,COUNTA(#REF!)-1,1)</definedName>
    <definedName name="ライン名＿投資金額">OFFSET(#REF!,0,0,COUNTA(#REF!)-1,2)</definedName>
    <definedName name="가공비1" hidden="1">{#N/A,#N/A,TRUE,"매출진척-1";#N/A,#N/A,TRUE,"매출진척-2";#N/A,#N/A,TRUE,"제품실적";#N/A,#N/A,TRUE,"RAC";#N/A,#N/A,TRUE,"PAC ";#N/A,#N/A,TRUE,"재고현황";#N/A,#N/A,TRUE,"공지사항"}</definedName>
    <definedName name="가공비2" hidden="1">{#N/A,#N/A,TRUE,"매출진척-1";#N/A,#N/A,TRUE,"매출진척-2";#N/A,#N/A,TRUE,"제품실적";#N/A,#N/A,TRUE,"RAC";#N/A,#N/A,TRUE,"PAC ";#N/A,#N/A,TRUE,"재고현황";#N/A,#N/A,TRUE,"공지사항"}</definedName>
    <definedName name="경비_" hidden="1">{#N/A,#N/A,TRUE,"매출진척-1";#N/A,#N/A,TRUE,"매출진척-2";#N/A,#N/A,TRUE,"제품실적";#N/A,#N/A,TRUE,"RAC";#N/A,#N/A,TRUE,"PAC ";#N/A,#N/A,TRUE,"재고현황";#N/A,#N/A,TRUE,"공지사항"}</definedName>
    <definedName name="경비___" hidden="1">{#N/A,#N/A,TRUE,"매출진척-1";#N/A,#N/A,TRUE,"매출진척-2";#N/A,#N/A,TRUE,"제품실적";#N/A,#N/A,TRUE,"RAC";#N/A,#N/A,TRUE,"PAC ";#N/A,#N/A,TRUE,"재고현황";#N/A,#N/A,TRUE,"공지사항"}</definedName>
    <definedName name="表表面處理">#REF!</definedName>
    <definedName name="表面">#REF!</definedName>
    <definedName name="表面處">#REF!</definedName>
    <definedName name="表面處埂">#REF!</definedName>
    <definedName name="表面處理理">#REF!</definedName>
    <definedName name="表面加工處">#REF!</definedName>
    <definedName name="表面要求">#REF!</definedName>
    <definedName name="伯臉的">#REF!</definedName>
    <definedName name="不是">#REF!</definedName>
    <definedName name="部署">OFFSET(#REF!,0,0,COUNTA(#REF!)-1,1)</definedName>
    <definedName name="材材質">#REF!</definedName>
    <definedName name="材材質質">#REF!</definedName>
    <definedName name="材料">#REF!</definedName>
    <definedName name="材料質">#REF!</definedName>
    <definedName name="材質厚度">#REF!</definedName>
    <definedName name="材質質">#REF!</definedName>
    <definedName name="材質質在">#REF!</definedName>
    <definedName name="成本">#REF!</definedName>
    <definedName name="成本分析">#REF!</definedName>
    <definedName name="成本分析1">#REF!</definedName>
    <definedName name="次々年度年月">OFFSET(#REF!,0,0,COUNTA(#REF!)-1,1)</definedName>
    <definedName name="次年度年月">OFFSET(#REF!,0,0,COUNTA(#REF!)-1,1)</definedName>
    <definedName name="存貨金額">#N/A</definedName>
    <definedName name="存貨週轉天數">#N/A</definedName>
    <definedName name="担当事業">OFFSET(#REF!,0,0,COUNTA(#REF!)-1,1)</definedName>
    <definedName name="单价">#REF!</definedName>
    <definedName name="单价1">#REF!</definedName>
    <definedName name="单价2">#REF!</definedName>
    <definedName name="当年度年月">OFFSET(#REF!,0,0,COUNTA(#REF!)-1,1)</definedName>
    <definedName name="得" hidden="1">{"'sheet(22) (22)'!$A$64:$K$79"}</definedName>
    <definedName name="夺">#REF!</definedName>
    <definedName name="仮">#REF!</definedName>
    <definedName name="房屋及建筑物">#REF!</definedName>
    <definedName name="費用分析">#REF!</definedName>
    <definedName name="豐厚">#REF!</definedName>
    <definedName name="附页" hidden="1">{"'面5'!$F$16:$G$17"}</definedName>
    <definedName name="隔板">#REF!</definedName>
    <definedName name="各項指標">#REF!</definedName>
    <definedName name="工廠費用">#N/A</definedName>
    <definedName name="工程设备">#REF!</definedName>
    <definedName name="ㄴㅇㅁㄹ" hidden="1">{#N/A,#N/A,TRUE,"매출진척-1";#N/A,#N/A,TRUE,"매출진척-2";#N/A,#N/A,TRUE,"제품실적";#N/A,#N/A,TRUE,"RAC";#N/A,#N/A,TRUE,"PAC ";#N/A,#N/A,TRUE,"재고현황";#N/A,#N/A,TRUE,"공지사항"}</definedName>
    <definedName name="ㄴㅇㅁㄹ2" hidden="1">{#N/A,#N/A,TRUE,"매출진척-1";#N/A,#N/A,TRUE,"매출진척-2";#N/A,#N/A,TRUE,"제품실적";#N/A,#N/A,TRUE,"RAC";#N/A,#N/A,TRUE,"PAC ";#N/A,#N/A,TRUE,"재고현황";#N/A,#N/A,TRUE,"공지사항"}</definedName>
    <definedName name="合典金屬工業有限公司">#REF!</definedName>
    <definedName name="何">#REF!</definedName>
    <definedName name="년도별출고" hidden="1">{#N/A,#N/A,FALSE,"2월입도";#N/A,#N/A,FALSE,"1월입도";#N/A,#N/A,FALSE,"3월입도"}</definedName>
    <definedName name="回主螢幕">#N/A</definedName>
    <definedName name="机电设备">#REF!</definedName>
    <definedName name="機種聯絡窗口">#REF!</definedName>
    <definedName name="價格">#REF!</definedName>
    <definedName name="價格波動">#REF!</definedName>
    <definedName name="價格起伏">#REF!</definedName>
    <definedName name="接地螺柱">#REF!</definedName>
    <definedName name="解雄偉">#REF!</definedName>
    <definedName name="痾k335">#REF!</definedName>
    <definedName name="단품DATA">#REF!</definedName>
    <definedName name="離開">#N/A</definedName>
    <definedName name="梁">#REF!</definedName>
    <definedName name="梁1">#REF!</definedName>
    <definedName name="梁2">#REF!</definedName>
    <definedName name="梁A">#REF!</definedName>
    <definedName name="梁A1">#REF!</definedName>
    <definedName name="量產簽樣進度表">#REF!</definedName>
    <definedName name="樓層參考表">#REF!</definedName>
    <definedName name="_xlnm.Recorder">#REF!</definedName>
    <definedName name="螺母柱">#REF!</definedName>
    <definedName name="螺柱">#REF!</definedName>
    <definedName name="铆螺柱">#REF!</definedName>
    <definedName name="鉚螺釘">#REF!</definedName>
    <definedName name="密">#REF!</definedName>
    <definedName name="密度度">#REF!</definedName>
    <definedName name="密密度">#REF!</definedName>
    <definedName name="模具報價">#REF!</definedName>
    <definedName name="딤채실파매" hidden="1">{#N/A,#N/A,FALSE,"2월입도";#N/A,#N/A,FALSE,"1월입도";#N/A,#N/A,FALSE,"3월입도"}</definedName>
    <definedName name="딤채실파매2" hidden="1">{#N/A,#N/A,FALSE,"2월입도";#N/A,#N/A,FALSE,"1월입도";#N/A,#N/A,FALSE,"3월입도"}</definedName>
    <definedName name="内外区分">OFFSET(#REF!,0,0,COUNTA(#REF!)-1,1)</definedName>
    <definedName name="切">#REF!</definedName>
    <definedName name="切点">#REF!</definedName>
    <definedName name="全体廃却">#REF!</definedName>
    <definedName name="ㄹㄹㄹㄹㄹㄹ" hidden="1">{#N/A,#N/A,TRUE,"매출진척-1";#N/A,#N/A,TRUE,"매출진척-2";#N/A,#N/A,TRUE,"제품실적";#N/A,#N/A,TRUE,"RAC";#N/A,#N/A,TRUE,"PAC ";#N/A,#N/A,TRUE,"재고현황";#N/A,#N/A,TRUE,"공지사항"}</definedName>
    <definedName name="人工百分比">#N/A</definedName>
    <definedName name="日期">#REF!</definedName>
    <definedName name="로드맵PAC" hidden="1">{#N/A,#N/A,TRUE,"매출진척-1";#N/A,#N/A,TRUE,"매출진척-2";#N/A,#N/A,TRUE,"제품실적";#N/A,#N/A,TRUE,"RAC";#N/A,#N/A,TRUE,"PAC ";#N/A,#N/A,TRUE,"재고현황";#N/A,#N/A,TRUE,"공지사항"}</definedName>
    <definedName name="로드맵PAC2" hidden="1">{#N/A,#N/A,TRUE,"매출진척-1";#N/A,#N/A,TRUE,"매출진척-2";#N/A,#N/A,TRUE,"제품실적";#N/A,#N/A,TRUE,"RAC";#N/A,#N/A,TRUE,"PAC ";#N/A,#N/A,TRUE,"재고현황";#N/A,#N/A,TRUE,"공지사항"}</definedName>
    <definedName name="로드맵PAC3" hidden="1">{#N/A,#N/A,TRUE,"매출진척-1";#N/A,#N/A,TRUE,"매출진척-2";#N/A,#N/A,TRUE,"제품실적";#N/A,#N/A,TRUE,"RAC";#N/A,#N/A,TRUE,"PAC ";#N/A,#N/A,TRUE,"재고현황";#N/A,#N/A,TRUE,"공지사항"}</definedName>
    <definedName name="로드맵PAC4" hidden="1">{#N/A,#N/A,TRUE,"매출진척-1";#N/A,#N/A,TRUE,"매출진척-2";#N/A,#N/A,TRUE,"제품실적";#N/A,#N/A,TRUE,"RAC";#N/A,#N/A,TRUE,"PAC ";#N/A,#N/A,TRUE,"재고현황";#N/A,#N/A,TRUE,"공지사항"}</definedName>
    <definedName name="로드맵PAC5" hidden="1">{#N/A,#N/A,TRUE,"매출진척-1";#N/A,#N/A,TRUE,"매출진척-2";#N/A,#N/A,TRUE,"제품실적";#N/A,#N/A,TRUE,"RAC";#N/A,#N/A,TRUE,"PAC ";#N/A,#N/A,TRUE,"재고현황";#N/A,#N/A,TRUE,"공지사항"}</definedName>
    <definedName name="로드맵PAC6" hidden="1">{#N/A,#N/A,TRUE,"매출진척-1";#N/A,#N/A,TRUE,"매출진척-2";#N/A,#N/A,TRUE,"제품실적";#N/A,#N/A,TRUE,"RAC";#N/A,#N/A,TRUE,"PAC ";#N/A,#N/A,TRUE,"재고현황";#N/A,#N/A,TRUE,"공지사항"}</definedName>
    <definedName name="로드맵SM" hidden="1">{#N/A,#N/A,TRUE,"매출진척-1";#N/A,#N/A,TRUE,"매출진척-2";#N/A,#N/A,TRUE,"제품실적";#N/A,#N/A,TRUE,"RAC";#N/A,#N/A,TRUE,"PAC ";#N/A,#N/A,TRUE,"재고현황";#N/A,#N/A,TRUE,"공지사항"}</definedName>
    <definedName name="로드맵SM2" hidden="1">{#N/A,#N/A,TRUE,"매출진척-1";#N/A,#N/A,TRUE,"매출진척-2";#N/A,#N/A,TRUE,"제품실적";#N/A,#N/A,TRUE,"RAC";#N/A,#N/A,TRUE,"PAC ";#N/A,#N/A,TRUE,"재고현황";#N/A,#N/A,TRUE,"공지사항"}</definedName>
    <definedName name="上一頁">#N/A</definedName>
    <definedName name="射出稼動單價">#REF!</definedName>
    <definedName name="設備入荷予想年度計画用案件">#REF!</definedName>
    <definedName name="生产设备">#REF!</definedName>
    <definedName name="生產線名稱">#REF!</definedName>
    <definedName name="生技">#REF!</definedName>
    <definedName name="十一月">#REF!</definedName>
    <definedName name="室工場">OFFSET(#REF!,0,0,COUNTA(#REF!)-1,1)</definedName>
    <definedName name="絲扥">#REF!</definedName>
    <definedName name="宋体">#REF!</definedName>
    <definedName name="素材長">#REF!</definedName>
    <definedName name="素材寬">#REF!</definedName>
    <definedName name="戻る">#REF!</definedName>
    <definedName name="ㅁㄴ" hidden="1">{#N/A,#N/A,TRUE,"매출진척-1";#N/A,#N/A,TRUE,"매출진척-2";#N/A,#N/A,TRUE,"제품실적";#N/A,#N/A,TRUE,"RAC";#N/A,#N/A,TRUE,"PAC ";#N/A,#N/A,TRUE,"재고현황";#N/A,#N/A,TRUE,"공지사항"}</definedName>
    <definedName name="ㅁㄴㄻㄴ" hidden="1">{#N/A,#N/A,TRUE,"매출진척-1";#N/A,#N/A,TRUE,"매출진척-2";#N/A,#N/A,TRUE,"제품실적";#N/A,#N/A,TRUE,"RAC";#N/A,#N/A,TRUE,"PAC ";#N/A,#N/A,TRUE,"재고현황";#N/A,#N/A,TRUE,"공지사항"}</definedName>
    <definedName name="ㅁㅁㅁㅁㅁㅁㅁㅁ" hidden="1">{#N/A,#N/A,TRUE,"매출진척-1";#N/A,#N/A,TRUE,"매출진척-2";#N/A,#N/A,TRUE,"제품실적";#N/A,#N/A,TRUE,"RAC";#N/A,#N/A,TRUE,"PAC ";#N/A,#N/A,TRUE,"재고현황";#N/A,#N/A,TRUE,"공지사항"}</definedName>
    <definedName name="投資区分">OFFSET(#REF!,0,0,COUNTA(#REF!)-1,1)</definedName>
    <definedName name="外購件">#REF!</definedName>
    <definedName name="委外百分比">#N/A</definedName>
    <definedName name="未命名">#REF!</definedName>
    <definedName name="我">#REF!</definedName>
    <definedName name="新機種預估" hidden="1">{"'Sheet1'!$A$1:$Z$85","'Sheet1'!$AB$3"}</definedName>
    <definedName name="新細明體">#REF!</definedName>
    <definedName name="楊烈">#REF!</definedName>
    <definedName name="移">#REF!</definedName>
    <definedName name="已减少">#REF!</definedName>
    <definedName name="予算区分">OFFSET(#REF!,0,0,COUNTA(#REF!)-1,1)</definedName>
    <definedName name="미" hidden="1">{#N/A,#N/A,FALSE,"2월입도";#N/A,#N/A,FALSE,"1월입도";#N/A,#N/A,FALSE,"3월입도"}</definedName>
    <definedName name="原価部門">OFFSET(#REF!,0,0,COUNTA(#REF!)-1,1)</definedName>
    <definedName name="暈">#REF!</definedName>
    <definedName name="运输设备">#REF!</definedName>
    <definedName name="ㅂㅂ" hidden="1">{#N/A,#N/A,TRUE,"매출진척-1";#N/A,#N/A,TRUE,"매출진척-2";#N/A,#N/A,TRUE,"제품실적";#N/A,#N/A,TRUE,"RAC";#N/A,#N/A,TRUE,"PAC ";#N/A,#N/A,TRUE,"재고현황";#N/A,#N/A,TRUE,"공지사항"}</definedName>
    <definedName name="杂项设备">#REF!</definedName>
    <definedName name="방규성" hidden="1">{#N/A,#N/A,TRUE,"매출진척-1";#N/A,#N/A,TRUE,"매출진척-2";#N/A,#N/A,TRUE,"제품실적";#N/A,#N/A,TRUE,"RAC";#N/A,#N/A,TRUE,"PAC ";#N/A,#N/A,TRUE,"재고현황";#N/A,#N/A,TRUE,"공지사항"}</definedName>
    <definedName name="방규성2" hidden="1">{#N/A,#N/A,TRUE,"매출진척-1";#N/A,#N/A,TRUE,"매출진척-2";#N/A,#N/A,TRUE,"제품실적";#N/A,#N/A,TRUE,"RAC";#N/A,#N/A,TRUE,"PAC ";#N/A,#N/A,TRUE,"재고현황";#N/A,#N/A,TRUE,"공지사항"}</definedName>
    <definedName name="帳票0110">#REF!</definedName>
    <definedName name="折床型號">#REF!</definedName>
    <definedName name="紙箱">#REF!</definedName>
    <definedName name="製費百分比">#N/A</definedName>
    <definedName name="製品分野">OFFSET(#REF!,0,0,COUNTA(#REF!)-1,1)</definedName>
    <definedName name="中文">#REF!</definedName>
    <definedName name="資料存檔">#N/A</definedName>
    <definedName name="左右側板" hidden="1">#REF!</definedName>
    <definedName name="빈양식" hidden="1">{#N/A,#N/A,TRUE,"매출진척-1";#N/A,#N/A,TRUE,"매출진척-2";#N/A,#N/A,TRUE,"제품실적";#N/A,#N/A,TRUE,"RAC";#N/A,#N/A,TRUE,"PAC ";#N/A,#N/A,TRUE,"재고현황";#N/A,#N/A,TRUE,"공지사항"}</definedName>
    <definedName name="ㅅ럴" hidden="1">{#N/A,#N/A,FALSE,"2월입도";#N/A,#N/A,FALSE,"1월입도";#N/A,#N/A,FALSE,"3월입도"}</definedName>
    <definedName name="소요비용" hidden="1">{#N/A,#N/A,TRUE,"매출진척-1";#N/A,#N/A,TRUE,"매출진척-2";#N/A,#N/A,TRUE,"제품실적";#N/A,#N/A,TRUE,"RAC";#N/A,#N/A,TRUE,"PAC ";#N/A,#N/A,TRUE,"재고현황";#N/A,#N/A,TRUE,"공지사항"}</definedName>
    <definedName name="수정내판매" hidden="1">{#N/A,#N/A,TRUE,"매출진척-1";#N/A,#N/A,TRUE,"매출진척-2";#N/A,#N/A,TRUE,"제품실적";#N/A,#N/A,TRUE,"RAC";#N/A,#N/A,TRUE,"PAC ";#N/A,#N/A,TRUE,"재고현황";#N/A,#N/A,TRUE,"공지사항"}</definedName>
    <definedName name="수정내판매2" hidden="1">{#N/A,#N/A,TRUE,"매출진척-1";#N/A,#N/A,TRUE,"매출진척-2";#N/A,#N/A,TRUE,"제품실적";#N/A,#N/A,TRUE,"RAC";#N/A,#N/A,TRUE,"PAC ";#N/A,#N/A,TRUE,"재고현황";#N/A,#N/A,TRUE,"공지사항"}</definedName>
    <definedName name="시장규모_" hidden="1">{#N/A,#N/A,TRUE,"매출진척-1";#N/A,#N/A,TRUE,"매출진척-2";#N/A,#N/A,TRUE,"제품실적";#N/A,#N/A,TRUE,"RAC";#N/A,#N/A,TRUE,"PAC ";#N/A,#N/A,TRUE,"재고현황";#N/A,#N/A,TRUE,"공지사항"}</definedName>
    <definedName name="시장규모_2" hidden="1">{#N/A,#N/A,TRUE,"매출진척-1";#N/A,#N/A,TRUE,"매출진척-2";#N/A,#N/A,TRUE,"제품실적";#N/A,#N/A,TRUE,"RAC";#N/A,#N/A,TRUE,"PAC ";#N/A,#N/A,TRUE,"재고현황";#N/A,#N/A,TRUE,"공지사항"}</definedName>
    <definedName name="실" hidden="1">{#N/A,#N/A,FALSE,"2월입도";#N/A,#N/A,FALSE,"1월입도";#N/A,#N/A,FALSE,"3월입도"}</definedName>
    <definedName name="실2" hidden="1">{#N/A,#N/A,FALSE,"2월입도";#N/A,#N/A,FALSE,"1월입도";#N/A,#N/A,FALSE,"3월입도"}</definedName>
    <definedName name="ㅇ" hidden="1">{#N/A,#N/A,FALSE,"2월입도";#N/A,#N/A,FALSE,"1월입도";#N/A,#N/A,FALSE,"3월입도"}</definedName>
    <definedName name="ㅇ2" hidden="1">{#N/A,#N/A,FALSE,"2월입도";#N/A,#N/A,FALSE,"1월입도";#N/A,#N/A,FALSE,"3월입도"}</definedName>
    <definedName name="ㅇㄱㄺㅅ교" hidden="1">{#N/A,#N/A,TRUE,"매출진척-1";#N/A,#N/A,TRUE,"매출진척-2";#N/A,#N/A,TRUE,"제품실적";#N/A,#N/A,TRUE,"RAC";#N/A,#N/A,TRUE,"PAC ";#N/A,#N/A,TRUE,"재고현황";#N/A,#N/A,TRUE,"공지사항"}</definedName>
    <definedName name="ㅇㄴㄹ" hidden="1">{#N/A,#N/A,FALSE,"2월입도";#N/A,#N/A,FALSE,"1월입도";#N/A,#N/A,FALSE,"3월입도"}</definedName>
    <definedName name="ㅇㄴㄹ2" hidden="1">{#N/A,#N/A,FALSE,"2월입도";#N/A,#N/A,FALSE,"1월입도";#N/A,#N/A,FALSE,"3월입도"}</definedName>
    <definedName name="ㅇ록ㅇ류" hidden="1">{#N/A,#N/A,TRUE,"매출진척-1";#N/A,#N/A,TRUE,"매출진척-2";#N/A,#N/A,TRUE,"제품실적";#N/A,#N/A,TRUE,"RAC";#N/A,#N/A,TRUE,"PAC ";#N/A,#N/A,TRUE,"재고현황";#N/A,#N/A,TRUE,"공지사항"}</definedName>
    <definedName name="ㅇ륭ㄴ류" hidden="1">{#N/A,#N/A,TRUE,"매출진척-1";#N/A,#N/A,TRUE,"매출진척-2";#N/A,#N/A,TRUE,"제품실적";#N/A,#N/A,TRUE,"RAC";#N/A,#N/A,TRUE,"PAC ";#N/A,#N/A,TRUE,"재고현황";#N/A,#N/A,TRUE,"공지사항"}</definedName>
    <definedName name="ㅇ륭뉴" hidden="1">{#N/A,#N/A,FALSE,"2월입도";#N/A,#N/A,FALSE,"1월입도";#N/A,#N/A,FALSE,"3월입도"}</definedName>
    <definedName name="ㅇㅇㅇㅇ" hidden="1">{#N/A,#N/A,TRUE,"매출진척-1";#N/A,#N/A,TRUE,"매출진척-2";#N/A,#N/A,TRUE,"제품실적";#N/A,#N/A,TRUE,"RAC";#N/A,#N/A,TRUE,"PAC ";#N/A,#N/A,TRUE,"재고현황";#N/A,#N/A,TRUE,"공지사항"}</definedName>
    <definedName name="ㅇㅇㅇㅇ2" hidden="1">{#N/A,#N/A,TRUE,"매출진척-1";#N/A,#N/A,TRUE,"매출진척-2";#N/A,#N/A,TRUE,"제품실적";#N/A,#N/A,TRUE,"RAC";#N/A,#N/A,TRUE,"PAC ";#N/A,#N/A,TRUE,"재고현황";#N/A,#N/A,TRUE,"공지사항"}</definedName>
    <definedName name="ㅇㅇㅇㅇㅇ" hidden="1">{#N/A,#N/A,TRUE,"매출진척-1";#N/A,#N/A,TRUE,"매출진척-2";#N/A,#N/A,TRUE,"제품실적";#N/A,#N/A,TRUE,"RAC";#N/A,#N/A,TRUE,"PAC ";#N/A,#N/A,TRUE,"재고현황";#N/A,#N/A,TRUE,"공지사항"}</definedName>
    <definedName name="ㅇㅇㅇㅇㅇㅇㅇㅇㅇㅇㅇㅇ" hidden="1">{#N/A,#N/A,TRUE,"매출진척-1";#N/A,#N/A,TRUE,"매출진척-2";#N/A,#N/A,TRUE,"제품실적";#N/A,#N/A,TRUE,"RAC";#N/A,#N/A,TRUE,"PAC ";#N/A,#N/A,TRUE,"재고현황";#N/A,#N/A,TRUE,"공지사항"}</definedName>
    <definedName name="오" hidden="1">{#N/A,#N/A,FALSE,"2월입도";#N/A,#N/A,FALSE,"1월입도";#N/A,#N/A,FALSE,"3월입도"}</definedName>
    <definedName name="이" hidden="1">{#N/A,#N/A,TRUE,"매출진척-1";#N/A,#N/A,TRUE,"매출진척-2";#N/A,#N/A,TRUE,"제품실적";#N/A,#N/A,TRUE,"RAC";#N/A,#N/A,TRUE,"PAC ";#N/A,#N/A,TRUE,"재고현황";#N/A,#N/A,TRUE,"공지사항"}</definedName>
    <definedName name="ㅈㅈㅈ" hidden="1">{#N/A,#N/A,TRUE,"매출진척-1";#N/A,#N/A,TRUE,"매출진척-2";#N/A,#N/A,TRUE,"제품실적";#N/A,#N/A,TRUE,"RAC";#N/A,#N/A,TRUE,"PAC ";#N/A,#N/A,TRUE,"재고현황";#N/A,#N/A,TRUE,"공지사항"}</definedName>
    <definedName name="장배관" hidden="1">{#N/A,#N/A,TRUE,"매출진척-1";#N/A,#N/A,TRUE,"매출진척-2";#N/A,#N/A,TRUE,"제품실적";#N/A,#N/A,TRUE,"RAC";#N/A,#N/A,TRUE,"PAC ";#N/A,#N/A,TRUE,"재고현황";#N/A,#N/A,TRUE,"공지사항"}</definedName>
    <definedName name="재료비" hidden="1">{#N/A,#N/A,TRUE,"매출진척-1";#N/A,#N/A,TRUE,"매출진척-2";#N/A,#N/A,TRUE,"제품실적";#N/A,#N/A,TRUE,"RAC";#N/A,#N/A,TRUE,"PAC ";#N/A,#N/A,TRUE,"재고현황";#N/A,#N/A,TRUE,"공지사항"}</definedName>
    <definedName name="전">#REF!</definedName>
    <definedName name="제1안" hidden="1">{#N/A,#N/A,TRUE,"매출진척-1";#N/A,#N/A,TRUE,"매출진척-2";#N/A,#N/A,TRUE,"제품실적";#N/A,#N/A,TRUE,"RAC";#N/A,#N/A,TRUE,"PAC ";#N/A,#N/A,TRUE,"재고현황";#N/A,#N/A,TRUE,"공지사항"}</definedName>
    <definedName name="제1안2" hidden="1">{#N/A,#N/A,TRUE,"매출진척-1";#N/A,#N/A,TRUE,"매출진척-2";#N/A,#N/A,TRUE,"제품실적";#N/A,#N/A,TRUE,"RAC";#N/A,#N/A,TRUE,"PAC ";#N/A,#N/A,TRUE,"재고현황";#N/A,#N/A,TRUE,"공지사항"}</definedName>
    <definedName name="제2안" hidden="1">{#N/A,#N/A,TRUE,"매출진척-1";#N/A,#N/A,TRUE,"매출진척-2";#N/A,#N/A,TRUE,"제품실적";#N/A,#N/A,TRUE,"RAC";#N/A,#N/A,TRUE,"PAC ";#N/A,#N/A,TRUE,"재고현황";#N/A,#N/A,TRUE,"공지사항"}</definedName>
    <definedName name="제품" hidden="1">{#N/A,#N/A,TRUE,"매출진척-1";#N/A,#N/A,TRUE,"매출진척-2";#N/A,#N/A,TRUE,"제품실적";#N/A,#N/A,TRUE,"RAC";#N/A,#N/A,TRUE,"PAC ";#N/A,#N/A,TRUE,"재고현황";#N/A,#N/A,TRUE,"공지사항"}</definedName>
    <definedName name="주주주" hidden="1">{#N/A,#N/A,TRUE,"매출진척-1";#N/A,#N/A,TRUE,"매출진척-2";#N/A,#N/A,TRUE,"제품실적";#N/A,#N/A,TRUE,"RAC";#N/A,#N/A,TRUE,"PAC ";#N/A,#N/A,TRUE,"재고현황";#N/A,#N/A,TRUE,"공지사항"}</definedName>
    <definedName name="주택사업본부">#REF!</definedName>
    <definedName name="ㅊ1" hidden="1">{#N/A,#N/A,TRUE,"매출진척-1";#N/A,#N/A,TRUE,"매출진척-2";#N/A,#N/A,TRUE,"제품실적";#N/A,#N/A,TRUE,"RAC";#N/A,#N/A,TRUE,"PAC ";#N/A,#N/A,TRUE,"재고현황";#N/A,#N/A,TRUE,"공지사항"}</definedName>
    <definedName name="창원lg" hidden="1">{#N/A,#N/A,TRUE,"매출진척-1";#N/A,#N/A,TRUE,"매출진척-2";#N/A,#N/A,TRUE,"제품실적";#N/A,#N/A,TRUE,"RAC";#N/A,#N/A,TRUE,"PAC ";#N/A,#N/A,TRUE,"재고현황";#N/A,#N/A,TRUE,"공지사항"}</definedName>
    <definedName name="철구사업본부">#REF!</definedName>
    <definedName name="ㅋㅋㅋ" hidden="1">{#N/A,#N/A,TRUE,"매출진척-1";#N/A,#N/A,TRUE,"매출진척-2";#N/A,#N/A,TRUE,"제품실적";#N/A,#N/A,TRUE,"RAC";#N/A,#N/A,TRUE,"PAC ";#N/A,#N/A,TRUE,"재고현황";#N/A,#N/A,TRUE,"공지사항"}</definedName>
    <definedName name="ㅋㅋㅋ2" hidden="1">{#N/A,#N/A,TRUE,"매출진척-1";#N/A,#N/A,TRUE,"매출진척-2";#N/A,#N/A,TRUE,"제품실적";#N/A,#N/A,TRUE,"RAC";#N/A,#N/A,TRUE,"PAC ";#N/A,#N/A,TRUE,"재고현황";#N/A,#N/A,TRUE,"공지사항"}</definedName>
    <definedName name="팀별" hidden="1">{#N/A,#N/A,TRUE,"매출진척-1";#N/A,#N/A,TRUE,"매출진척-2";#N/A,#N/A,TRUE,"제품실적";#N/A,#N/A,TRUE,"RAC";#N/A,#N/A,TRUE,"PAC ";#N/A,#N/A,TRUE,"재고현황";#N/A,#N/A,TRUE,"공지사항"}</definedName>
    <definedName name="판매규모_" hidden="1">{#N/A,#N/A,TRUE,"매출진척-1";#N/A,#N/A,TRUE,"매출진척-2";#N/A,#N/A,TRUE,"제품실적";#N/A,#N/A,TRUE,"RAC";#N/A,#N/A,TRUE,"PAC ";#N/A,#N/A,TRUE,"재고현황";#N/A,#N/A,TRUE,"공지사항"}</definedName>
    <definedName name="판매규모_2" hidden="1">{#N/A,#N/A,TRUE,"매출진척-1";#N/A,#N/A,TRUE,"매출진척-2";#N/A,#N/A,TRUE,"제품실적";#N/A,#N/A,TRUE,"RAC";#N/A,#N/A,TRUE,"PAC ";#N/A,#N/A,TRUE,"재고현황";#N/A,#N/A,TRUE,"공지사항"}</definedName>
    <definedName name="판촉" hidden="1">{#N/A,#N/A,TRUE,"매출진척-1";#N/A,#N/A,TRUE,"매출진척-2";#N/A,#N/A,TRUE,"제품실적";#N/A,#N/A,TRUE,"RAC";#N/A,#N/A,TRUE,"PAC ";#N/A,#N/A,TRUE,"재고현황";#N/A,#N/A,TRUE,"공지사항"}</definedName>
    <definedName name="판촉지원적립금" hidden="1">{#N/A,#N/A,TRUE,"매출진척-1";#N/A,#N/A,TRUE,"매출진척-2";#N/A,#N/A,TRUE,"제품실적";#N/A,#N/A,TRUE,"RAC";#N/A,#N/A,TRUE,"PAC ";#N/A,#N/A,TRUE,"재고현황";#N/A,#N/A,TRUE,"공지사항"}</definedName>
    <definedName name="판촉지원적립금2" hidden="1">{#N/A,#N/A,TRUE,"매출진척-1";#N/A,#N/A,TRUE,"매출진척-2";#N/A,#N/A,TRUE,"제품실적";#N/A,#N/A,TRUE,"RAC";#N/A,#N/A,TRUE,"PAC ";#N/A,#N/A,TRUE,"재고현황";#N/A,#N/A,TRUE,"공지사항"}</definedName>
    <definedName name="ㅎㅎㅎ" hidden="1">{#N/A,#N/A,TRUE,"매출진척-1";#N/A,#N/A,TRUE,"매출진척-2";#N/A,#N/A,TRUE,"제품실적";#N/A,#N/A,TRUE,"RAC";#N/A,#N/A,TRUE,"PAC ";#N/A,#N/A,TRUE,"재고현황";#N/A,#N/A,TRUE,"공지사항"}</definedName>
    <definedName name="현" hidden="1">{#N/A,#N/A,TRUE,"매출진척-1";#N/A,#N/A,TRUE,"매출진척-2";#N/A,#N/A,TRUE,"제품실적";#N/A,#N/A,TRUE,"RAC";#N/A,#N/A,TRUE,"PAC ";#N/A,#N/A,TRUE,"재고현황";#N/A,#N/A,TRUE,"공지사항"}</definedName>
    <definedName name="활ㄹㄹ" hidden="1">{#N/A,#N/A,TRUE,"매출진척-1";#N/A,#N/A,TRUE,"매출진척-2";#N/A,#N/A,TRUE,"제품실적";#N/A,#N/A,TRUE,"RAC";#N/A,#N/A,TRUE,"PAC ";#N/A,#N/A,TRUE,"재고현황";#N/A,#N/A,TRUE,"공지사항"}</definedName>
    <definedName name="홯" hidden="1">{#N/A,#N/A,TRUE,"매출진척-1";#N/A,#N/A,TRUE,"매출진척-2";#N/A,#N/A,TRUE,"제품실적";#N/A,#N/A,TRUE,"RAC";#N/A,#N/A,TRUE,"PAC ";#N/A,#N/A,TRUE,"재고현황";#N/A,#N/A,TRUE,"공지사항"}</definedName>
    <definedName name="ㅓㅏㅣ" hidden="1">{#N/A,#N/A,TRUE,"매출진척-1";#N/A,#N/A,TRUE,"매출진척-2";#N/A,#N/A,TRUE,"제품실적";#N/A,#N/A,TRUE,"RAC";#N/A,#N/A,TRUE,"PAC ";#N/A,#N/A,TRUE,"재고현황";#N/A,#N/A,TRUE,"공지사항"}</definedName>
    <definedName name="ㅓㅏㅣ2" hidden="1">{#N/A,#N/A,TRUE,"매출진척-1";#N/A,#N/A,TRUE,"매출진척-2";#N/A,#N/A,TRUE,"제품실적";#N/A,#N/A,TRUE,"RAC";#N/A,#N/A,TRUE,"PAC ";#N/A,#N/A,TRUE,"재고현황";#N/A,#N/A,TRUE,"공지사항"}</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45" i="19" l="1"/>
  <c r="J44" i="19"/>
  <c r="J43" i="19"/>
  <c r="K43" i="19" s="1"/>
  <c r="C15" i="19" s="1"/>
  <c r="J42" i="19"/>
  <c r="K42" i="19" s="1"/>
  <c r="J41" i="19"/>
  <c r="J40" i="19"/>
  <c r="J39" i="19"/>
  <c r="J38" i="19"/>
  <c r="J37" i="19"/>
  <c r="J36" i="19"/>
  <c r="J35" i="19"/>
  <c r="K35" i="19" s="1"/>
  <c r="J34" i="19"/>
  <c r="K34" i="19" s="1"/>
  <c r="J33" i="19"/>
  <c r="J32" i="19"/>
  <c r="K32" i="19" s="1"/>
  <c r="C13" i="19" s="1"/>
  <c r="J31" i="19"/>
  <c r="C17" i="19" s="1"/>
  <c r="J30" i="19"/>
  <c r="J29" i="19"/>
  <c r="J28" i="19"/>
  <c r="J27" i="19"/>
  <c r="J26" i="19"/>
  <c r="J25" i="19"/>
  <c r="J24" i="19"/>
  <c r="K24" i="19" s="1"/>
  <c r="J23" i="19"/>
  <c r="K23" i="19" s="1"/>
  <c r="J22" i="19"/>
  <c r="K22" i="19" s="1"/>
  <c r="J21" i="19"/>
  <c r="K21" i="19" s="1"/>
  <c r="J20" i="19"/>
  <c r="K20" i="19" s="1"/>
  <c r="C16" i="19" s="1"/>
  <c r="J19" i="19"/>
  <c r="J18" i="19"/>
  <c r="J17" i="19"/>
  <c r="E12" i="19" s="1"/>
  <c r="J13" i="22" s="1"/>
  <c r="J16" i="19"/>
  <c r="J15" i="19"/>
  <c r="E11" i="19" s="1"/>
  <c r="I13" i="22" s="1"/>
  <c r="J14" i="19"/>
  <c r="K14" i="19" s="1"/>
  <c r="C11" i="19" s="1"/>
  <c r="J13" i="19"/>
  <c r="K13" i="19" s="1"/>
  <c r="J12" i="19"/>
  <c r="K12" i="19" s="1"/>
  <c r="C10" i="19" s="1"/>
  <c r="E13" i="19" s="1"/>
  <c r="F7" i="21" s="1" a="1"/>
  <c r="F7" i="21" s="1"/>
  <c r="F13" i="22"/>
  <c r="G13" i="22"/>
  <c r="H13" i="22"/>
  <c r="L13" i="22"/>
  <c r="M13" i="22"/>
  <c r="N13" i="22"/>
  <c r="O13" i="22"/>
  <c r="P13" i="22"/>
  <c r="D15" i="21"/>
  <c r="C7" i="20"/>
  <c r="K37" i="20" s="1"/>
  <c r="E11" i="20"/>
  <c r="E12" i="20"/>
  <c r="K12" i="20"/>
  <c r="C10" i="20" s="1"/>
  <c r="D6" i="21" s="1"/>
  <c r="K13" i="20"/>
  <c r="K14" i="20"/>
  <c r="C11" i="20" s="1"/>
  <c r="K15" i="20"/>
  <c r="K16" i="20"/>
  <c r="C12" i="20" s="1"/>
  <c r="C17" i="20"/>
  <c r="K17" i="20"/>
  <c r="K18" i="20"/>
  <c r="K27" i="20"/>
  <c r="K28" i="20"/>
  <c r="K29" i="20"/>
  <c r="K30" i="20"/>
  <c r="K31" i="20"/>
  <c r="K32" i="20"/>
  <c r="C13" i="20" s="1"/>
  <c r="E13" i="20" s="1"/>
  <c r="K34" i="20"/>
  <c r="K35" i="20"/>
  <c r="K36" i="20"/>
  <c r="K16" i="19"/>
  <c r="C12" i="19" s="1"/>
  <c r="K18" i="19"/>
  <c r="K19" i="19"/>
  <c r="K25" i="19"/>
  <c r="K26" i="19"/>
  <c r="K27" i="19"/>
  <c r="K28" i="19"/>
  <c r="K29" i="19"/>
  <c r="K30" i="19"/>
  <c r="K36" i="19"/>
  <c r="K37" i="19"/>
  <c r="K38" i="19"/>
  <c r="K39" i="19"/>
  <c r="K40" i="19"/>
  <c r="K36" i="5"/>
  <c r="K392" i="5"/>
  <c r="K37" i="16"/>
  <c r="K37" i="17"/>
  <c r="K37" i="1"/>
  <c r="K36" i="16"/>
  <c r="K36" i="17"/>
  <c r="K36" i="1"/>
  <c r="K393" i="1"/>
  <c r="K393" i="16"/>
  <c r="K393" i="17"/>
  <c r="K17" i="19" l="1"/>
  <c r="D7" i="21" a="1"/>
  <c r="D7" i="21" s="1"/>
  <c r="K15" i="19"/>
  <c r="K31" i="19"/>
  <c r="K26" i="20"/>
  <c r="D13" i="21"/>
  <c r="K20" i="20"/>
  <c r="C16" i="20" s="1"/>
  <c r="K39" i="20"/>
  <c r="K13" i="22"/>
  <c r="K25" i="20"/>
  <c r="K23" i="20"/>
  <c r="K22" i="20"/>
  <c r="K21" i="20"/>
  <c r="K42" i="20"/>
  <c r="K40" i="20"/>
  <c r="K38" i="20"/>
  <c r="K24" i="20"/>
  <c r="K43" i="20"/>
  <c r="C15" i="20" s="1"/>
  <c r="C14" i="20" s="1"/>
  <c r="D10" i="21" s="1" a="1"/>
  <c r="D10" i="21" s="1"/>
  <c r="K19" i="20"/>
  <c r="E16" i="20"/>
  <c r="E14" i="20"/>
  <c r="C14" i="19"/>
  <c r="E14" i="19" s="1"/>
  <c r="K392" i="1"/>
  <c r="K392" i="16"/>
  <c r="K392" i="17"/>
  <c r="AC251" i="16"/>
  <c r="AB251" i="16"/>
  <c r="AA251" i="16"/>
  <c r="Z251" i="16"/>
  <c r="Y251" i="16"/>
  <c r="X251" i="16"/>
  <c r="W251" i="16"/>
  <c r="V251" i="16"/>
  <c r="U251" i="16"/>
  <c r="T251" i="16"/>
  <c r="S251" i="16"/>
  <c r="R251" i="16"/>
  <c r="Q251" i="16"/>
  <c r="P251" i="16"/>
  <c r="O251" i="16"/>
  <c r="AC251" i="17"/>
  <c r="AB251" i="17"/>
  <c r="AA251" i="17"/>
  <c r="Z251" i="17"/>
  <c r="Y251" i="17"/>
  <c r="X251" i="17"/>
  <c r="W251" i="17"/>
  <c r="V251" i="17"/>
  <c r="U251" i="17"/>
  <c r="T251" i="17"/>
  <c r="S251" i="17"/>
  <c r="R251" i="17"/>
  <c r="Q251" i="17"/>
  <c r="P251" i="17"/>
  <c r="O251" i="17"/>
  <c r="AC251" i="1"/>
  <c r="AB251" i="1"/>
  <c r="AA251" i="1"/>
  <c r="Z251" i="1"/>
  <c r="Y251" i="1"/>
  <c r="X251" i="1"/>
  <c r="W251" i="1"/>
  <c r="V251" i="1"/>
  <c r="U251" i="1"/>
  <c r="T251" i="1"/>
  <c r="S251" i="1"/>
  <c r="R251" i="1"/>
  <c r="Q251" i="1"/>
  <c r="P251" i="1"/>
  <c r="O251" i="1"/>
  <c r="N251" i="16"/>
  <c r="N251" i="17"/>
  <c r="N251" i="1"/>
  <c r="E16" i="19" l="1"/>
  <c r="E15" i="20"/>
  <c r="F10" i="21" s="1" a="1"/>
  <c r="F10" i="21" s="1"/>
  <c r="E15" i="19"/>
  <c r="K365" i="1"/>
  <c r="K365" i="16"/>
  <c r="K365" i="17"/>
  <c r="K365" i="5"/>
  <c r="AI83" i="16" l="1"/>
  <c r="AI73" i="16"/>
  <c r="AI80" i="16" s="1"/>
  <c r="AI83" i="1"/>
  <c r="AI73" i="1"/>
  <c r="AI80" i="1" s="1"/>
  <c r="AI83" i="17"/>
  <c r="AI88" i="17" s="1"/>
  <c r="AI73" i="17"/>
  <c r="AJ73" i="17" s="1"/>
  <c r="K405" i="17"/>
  <c r="K387" i="17"/>
  <c r="J383" i="17"/>
  <c r="J382" i="17"/>
  <c r="K380" i="17"/>
  <c r="N368" i="17"/>
  <c r="L368" i="17"/>
  <c r="L367" i="17"/>
  <c r="N364" i="17"/>
  <c r="Y354" i="17"/>
  <c r="S354" i="17"/>
  <c r="U352" i="17"/>
  <c r="Q347" i="17"/>
  <c r="P347" i="17"/>
  <c r="P348" i="17" s="1"/>
  <c r="P345" i="17"/>
  <c r="P344" i="17"/>
  <c r="P343" i="17"/>
  <c r="P342" i="17"/>
  <c r="P341" i="17"/>
  <c r="P340" i="17"/>
  <c r="P339" i="17"/>
  <c r="P338" i="17"/>
  <c r="P337" i="17"/>
  <c r="P336" i="17"/>
  <c r="P335" i="17"/>
  <c r="P334" i="17"/>
  <c r="N321" i="17"/>
  <c r="O320" i="17"/>
  <c r="AC302" i="17"/>
  <c r="AB302" i="17"/>
  <c r="AA302" i="17"/>
  <c r="Z302" i="17"/>
  <c r="Y302" i="17"/>
  <c r="X302" i="17"/>
  <c r="W302" i="17"/>
  <c r="V302" i="17"/>
  <c r="U302" i="17"/>
  <c r="T302" i="17"/>
  <c r="S302" i="17"/>
  <c r="R302" i="17"/>
  <c r="Q302" i="17"/>
  <c r="P302" i="17"/>
  <c r="O302" i="17"/>
  <c r="N302" i="17"/>
  <c r="N303" i="17" s="1"/>
  <c r="O301" i="17" s="1"/>
  <c r="AC298" i="17"/>
  <c r="AB298" i="17"/>
  <c r="AA298" i="17"/>
  <c r="Z298" i="17"/>
  <c r="Y298" i="17"/>
  <c r="X298" i="17"/>
  <c r="W298" i="17"/>
  <c r="V298" i="17"/>
  <c r="U298" i="17"/>
  <c r="T298" i="17"/>
  <c r="S298" i="17"/>
  <c r="R298" i="17"/>
  <c r="Q298" i="17"/>
  <c r="P298" i="17"/>
  <c r="O298" i="17"/>
  <c r="N298" i="17"/>
  <c r="N267" i="17"/>
  <c r="N266" i="17"/>
  <c r="AC247" i="17"/>
  <c r="AC236" i="17"/>
  <c r="AB236" i="17"/>
  <c r="AA236" i="17"/>
  <c r="Z236" i="17"/>
  <c r="Y236" i="17"/>
  <c r="X236" i="17"/>
  <c r="W236" i="17"/>
  <c r="V236" i="17"/>
  <c r="U236" i="17"/>
  <c r="T236" i="17"/>
  <c r="S236" i="17"/>
  <c r="R236" i="17"/>
  <c r="Q236" i="17"/>
  <c r="P236" i="17"/>
  <c r="O236" i="17"/>
  <c r="N236" i="17"/>
  <c r="AC231" i="17"/>
  <c r="AB231" i="17"/>
  <c r="AA231" i="17"/>
  <c r="Z231" i="17"/>
  <c r="Y231" i="17"/>
  <c r="X231" i="17"/>
  <c r="W231" i="17"/>
  <c r="V231" i="17"/>
  <c r="U231" i="17"/>
  <c r="T231" i="17"/>
  <c r="S231" i="17"/>
  <c r="R231" i="17"/>
  <c r="Q231" i="17"/>
  <c r="P231" i="17"/>
  <c r="O231" i="17"/>
  <c r="N231" i="17"/>
  <c r="N211" i="17"/>
  <c r="N286" i="17" s="1"/>
  <c r="N204" i="17"/>
  <c r="N283" i="17" s="1"/>
  <c r="N203" i="17"/>
  <c r="N282" i="17" s="1"/>
  <c r="N202" i="17"/>
  <c r="N281" i="17" s="1"/>
  <c r="N201" i="17"/>
  <c r="N42" i="17" s="1"/>
  <c r="N398" i="17" s="1"/>
  <c r="AC194" i="17"/>
  <c r="AC193" i="17"/>
  <c r="AC192" i="17"/>
  <c r="K191" i="17"/>
  <c r="K195" i="17" s="1"/>
  <c r="AC190" i="17"/>
  <c r="AC189" i="17"/>
  <c r="AC188" i="17"/>
  <c r="AC187" i="17"/>
  <c r="AC186" i="17"/>
  <c r="AC185" i="17"/>
  <c r="AC184" i="17"/>
  <c r="AC183" i="17"/>
  <c r="AC181" i="17"/>
  <c r="AC180" i="17"/>
  <c r="AC179" i="17"/>
  <c r="AC178" i="17"/>
  <c r="AC177" i="17"/>
  <c r="AC176" i="17"/>
  <c r="AC167" i="17"/>
  <c r="AC31" i="17" s="1"/>
  <c r="AC387" i="17" s="1"/>
  <c r="AB167" i="17"/>
  <c r="AB31" i="17" s="1"/>
  <c r="AB387" i="17" s="1"/>
  <c r="AA167" i="17"/>
  <c r="Z167" i="17"/>
  <c r="Y167" i="17"/>
  <c r="Y31" i="17" s="1"/>
  <c r="Y387" i="17" s="1"/>
  <c r="X167" i="17"/>
  <c r="X31" i="17" s="1"/>
  <c r="X387" i="17" s="1"/>
  <c r="W167" i="17"/>
  <c r="W31" i="17" s="1"/>
  <c r="W387" i="17" s="1"/>
  <c r="V167" i="17"/>
  <c r="U167" i="17"/>
  <c r="U31" i="17" s="1"/>
  <c r="U387" i="17" s="1"/>
  <c r="T167" i="17"/>
  <c r="T31" i="17" s="1"/>
  <c r="T387" i="17" s="1"/>
  <c r="S167" i="17"/>
  <c r="R167" i="17"/>
  <c r="Q167" i="17"/>
  <c r="Q31" i="17" s="1"/>
  <c r="Q387" i="17" s="1"/>
  <c r="P167" i="17"/>
  <c r="O167" i="17"/>
  <c r="O31" i="17" s="1"/>
  <c r="O387" i="17" s="1"/>
  <c r="N167" i="17"/>
  <c r="N31" i="17" s="1"/>
  <c r="K161" i="17"/>
  <c r="K158" i="17"/>
  <c r="K157" i="17"/>
  <c r="K156" i="17"/>
  <c r="K152" i="17"/>
  <c r="K151" i="17"/>
  <c r="K150" i="17"/>
  <c r="K149" i="17"/>
  <c r="K148" i="17"/>
  <c r="AC142" i="17"/>
  <c r="AC160" i="17" s="1"/>
  <c r="AB142" i="17"/>
  <c r="AB160" i="17" s="1"/>
  <c r="AA142" i="17"/>
  <c r="AA160" i="17" s="1"/>
  <c r="Z142" i="17"/>
  <c r="Z160" i="17" s="1"/>
  <c r="Y142" i="17"/>
  <c r="X142" i="17"/>
  <c r="X160" i="17" s="1"/>
  <c r="W142" i="17"/>
  <c r="W160" i="17" s="1"/>
  <c r="V142" i="17"/>
  <c r="V160" i="17" s="1"/>
  <c r="U142" i="17"/>
  <c r="U160" i="17" s="1"/>
  <c r="T142" i="17"/>
  <c r="T160" i="17" s="1"/>
  <c r="S142" i="17"/>
  <c r="S160" i="17" s="1"/>
  <c r="R142" i="17"/>
  <c r="R73" i="17" s="1"/>
  <c r="R25" i="17" s="1"/>
  <c r="R381" i="17" s="1"/>
  <c r="Q142" i="17"/>
  <c r="P142" i="17"/>
  <c r="P160" i="17" s="1"/>
  <c r="O142" i="17"/>
  <c r="O160" i="17" s="1"/>
  <c r="N142" i="17"/>
  <c r="N160" i="17" s="1"/>
  <c r="K141" i="17"/>
  <c r="K140" i="17"/>
  <c r="K139" i="17"/>
  <c r="K137" i="17"/>
  <c r="K136" i="17"/>
  <c r="K135" i="17"/>
  <c r="K134" i="17"/>
  <c r="K132" i="17"/>
  <c r="K131" i="17"/>
  <c r="N74" i="17" s="1"/>
  <c r="K130" i="17"/>
  <c r="K129" i="17"/>
  <c r="K128" i="17"/>
  <c r="K127" i="17"/>
  <c r="K126" i="17"/>
  <c r="AC124" i="17"/>
  <c r="K123" i="17"/>
  <c r="K122" i="17"/>
  <c r="K121" i="17"/>
  <c r="K120" i="17"/>
  <c r="K119" i="17"/>
  <c r="AB118" i="17"/>
  <c r="AB189" i="17" s="1"/>
  <c r="AA118" i="17"/>
  <c r="AA16" i="17" s="1"/>
  <c r="AA372" i="17" s="1"/>
  <c r="AA434" i="17" s="1"/>
  <c r="Z118" i="17"/>
  <c r="Z124" i="17" s="1"/>
  <c r="Y118" i="17"/>
  <c r="Y186" i="17" s="1"/>
  <c r="X118" i="17"/>
  <c r="X185" i="17" s="1"/>
  <c r="W118" i="17"/>
  <c r="W176" i="17" s="1"/>
  <c r="V118" i="17"/>
  <c r="V184" i="17" s="1"/>
  <c r="U118" i="17"/>
  <c r="U124" i="17" s="1"/>
  <c r="T118" i="17"/>
  <c r="T190" i="17" s="1"/>
  <c r="S118" i="17"/>
  <c r="S16" i="17" s="1"/>
  <c r="S372" i="17" s="1"/>
  <c r="S434" i="17" s="1"/>
  <c r="R118" i="17"/>
  <c r="R183" i="17" s="1"/>
  <c r="Q118" i="17"/>
  <c r="Q179" i="17" s="1"/>
  <c r="P118" i="17"/>
  <c r="P188" i="17" s="1"/>
  <c r="O118" i="17"/>
  <c r="O181" i="17" s="1"/>
  <c r="N118" i="17"/>
  <c r="N294" i="17" s="1"/>
  <c r="K115" i="17"/>
  <c r="L101" i="17"/>
  <c r="O100" i="17"/>
  <c r="P100" i="17" s="1"/>
  <c r="Q97" i="17"/>
  <c r="O95" i="17"/>
  <c r="P95" i="17" s="1"/>
  <c r="Q95" i="17" s="1"/>
  <c r="R95" i="17" s="1"/>
  <c r="O94" i="17"/>
  <c r="P94" i="17" s="1"/>
  <c r="O89" i="17"/>
  <c r="AK88" i="17"/>
  <c r="O88" i="17"/>
  <c r="P88" i="17" s="1"/>
  <c r="AL87" i="17"/>
  <c r="AJ87" i="17"/>
  <c r="AL86" i="17"/>
  <c r="AJ86" i="17"/>
  <c r="AO86" i="17" s="1"/>
  <c r="AE86" i="17"/>
  <c r="AL85" i="17"/>
  <c r="AJ85" i="17"/>
  <c r="AE85" i="17"/>
  <c r="O85" i="17"/>
  <c r="AL84" i="17"/>
  <c r="AJ84" i="17"/>
  <c r="AE84" i="17"/>
  <c r="O84" i="17"/>
  <c r="AL83" i="17"/>
  <c r="AE83" i="17"/>
  <c r="O83" i="17"/>
  <c r="AN82" i="17"/>
  <c r="AN83" i="17" s="1"/>
  <c r="AN84" i="17" s="1"/>
  <c r="AN85" i="17" s="1"/>
  <c r="AN86" i="17" s="1"/>
  <c r="AN87" i="17" s="1"/>
  <c r="AL82" i="17"/>
  <c r="AJ82" i="17"/>
  <c r="AE82" i="17"/>
  <c r="O82" i="17"/>
  <c r="J82" i="17"/>
  <c r="O81" i="17"/>
  <c r="AK80" i="17"/>
  <c r="AI80" i="17"/>
  <c r="AL79" i="17"/>
  <c r="AJ79" i="17"/>
  <c r="O79" i="17"/>
  <c r="AL78" i="17"/>
  <c r="AJ78" i="17"/>
  <c r="Q78" i="17"/>
  <c r="R78" i="17" s="1"/>
  <c r="O78" i="17"/>
  <c r="AL77" i="17"/>
  <c r="AJ77" i="17"/>
  <c r="AL76" i="17"/>
  <c r="AJ76" i="17"/>
  <c r="AL75" i="17"/>
  <c r="AJ75" i="17"/>
  <c r="L75" i="17"/>
  <c r="J27" i="17" s="1"/>
  <c r="AL74" i="17"/>
  <c r="AJ74" i="17"/>
  <c r="AN73" i="17"/>
  <c r="AN74" i="17" s="1"/>
  <c r="AN75" i="17" s="1"/>
  <c r="AN76" i="17" s="1"/>
  <c r="AN77" i="17" s="1"/>
  <c r="AN78" i="17" s="1"/>
  <c r="AN79" i="17" s="1"/>
  <c r="AL73" i="17"/>
  <c r="V73" i="17"/>
  <c r="V25" i="17" s="1"/>
  <c r="V381" i="17" s="1"/>
  <c r="N73" i="17"/>
  <c r="AN72" i="17"/>
  <c r="AR72" i="17" s="1"/>
  <c r="AR73" i="17" s="1"/>
  <c r="AL72" i="17"/>
  <c r="AJ72" i="17"/>
  <c r="L72" i="17"/>
  <c r="L71" i="17"/>
  <c r="AC70" i="17"/>
  <c r="AB70" i="17"/>
  <c r="AA70" i="17"/>
  <c r="AA292" i="17" s="1"/>
  <c r="Z70" i="17"/>
  <c r="Z292" i="17" s="1"/>
  <c r="Y70" i="17"/>
  <c r="Y292" i="17" s="1"/>
  <c r="X70" i="17"/>
  <c r="X292" i="17" s="1"/>
  <c r="W70" i="17"/>
  <c r="W292" i="17" s="1"/>
  <c r="V70" i="17"/>
  <c r="V292" i="17" s="1"/>
  <c r="U70" i="17"/>
  <c r="T70" i="17"/>
  <c r="T292" i="17" s="1"/>
  <c r="S70" i="17"/>
  <c r="S292" i="17" s="1"/>
  <c r="R70" i="17"/>
  <c r="R24" i="17" s="1"/>
  <c r="R380" i="17" s="1"/>
  <c r="Q70" i="17"/>
  <c r="Q292" i="17" s="1"/>
  <c r="P70" i="17"/>
  <c r="P292" i="17" s="1"/>
  <c r="O70" i="17"/>
  <c r="O292" i="17" s="1"/>
  <c r="N70" i="17"/>
  <c r="N292" i="17" s="1"/>
  <c r="N293" i="17" s="1"/>
  <c r="AC63" i="17"/>
  <c r="AB63" i="17"/>
  <c r="AA63" i="17"/>
  <c r="Z63" i="17"/>
  <c r="Y63" i="17"/>
  <c r="X63" i="17"/>
  <c r="W63" i="17"/>
  <c r="V63" i="17"/>
  <c r="U63" i="17"/>
  <c r="T63" i="17"/>
  <c r="S63" i="17"/>
  <c r="R63" i="17"/>
  <c r="Q63" i="17"/>
  <c r="P63" i="17"/>
  <c r="O63" i="17"/>
  <c r="N63" i="17"/>
  <c r="N44" i="17"/>
  <c r="N400" i="17" s="1"/>
  <c r="AA31" i="17"/>
  <c r="AA387" i="17" s="1"/>
  <c r="Z31" i="17"/>
  <c r="Z387" i="17" s="1"/>
  <c r="V31" i="17"/>
  <c r="V387" i="17" s="1"/>
  <c r="S31" i="17"/>
  <c r="S387" i="17" s="1"/>
  <c r="R31" i="17"/>
  <c r="R387" i="17" s="1"/>
  <c r="P31" i="17"/>
  <c r="P387" i="17" s="1"/>
  <c r="K31" i="17"/>
  <c r="AC30" i="17"/>
  <c r="AC386" i="17" s="1"/>
  <c r="AB30" i="17"/>
  <c r="AB386" i="17" s="1"/>
  <c r="AA30" i="17"/>
  <c r="AA386" i="17" s="1"/>
  <c r="Z30" i="17"/>
  <c r="Z386" i="17" s="1"/>
  <c r="Y30" i="17"/>
  <c r="Y386" i="17" s="1"/>
  <c r="X30" i="17"/>
  <c r="X386" i="17" s="1"/>
  <c r="W30" i="17"/>
  <c r="W386" i="17" s="1"/>
  <c r="V30" i="17"/>
  <c r="V386" i="17" s="1"/>
  <c r="U30" i="17"/>
  <c r="U386" i="17" s="1"/>
  <c r="T30" i="17"/>
  <c r="T386" i="17" s="1"/>
  <c r="S30" i="17"/>
  <c r="S386" i="17" s="1"/>
  <c r="R30" i="17"/>
  <c r="R386" i="17" s="1"/>
  <c r="Q30" i="17"/>
  <c r="Q386" i="17" s="1"/>
  <c r="P30" i="17"/>
  <c r="P386" i="17" s="1"/>
  <c r="O30" i="17"/>
  <c r="O386" i="17" s="1"/>
  <c r="N30" i="17"/>
  <c r="N386" i="17" s="1"/>
  <c r="AB24" i="17"/>
  <c r="AB380" i="17" s="1"/>
  <c r="AC16" i="17"/>
  <c r="AC372" i="17" s="1"/>
  <c r="AC434" i="17" s="1"/>
  <c r="AB16" i="17"/>
  <c r="AB372" i="17" s="1"/>
  <c r="AB434" i="17" s="1"/>
  <c r="Z16" i="17"/>
  <c r="Z372" i="17" s="1"/>
  <c r="Z434" i="17" s="1"/>
  <c r="T16" i="17"/>
  <c r="T372" i="17" s="1"/>
  <c r="T434" i="17" s="1"/>
  <c r="O12" i="17"/>
  <c r="N11" i="17"/>
  <c r="N91" i="17" s="1"/>
  <c r="J11" i="17"/>
  <c r="O352" i="17" s="1"/>
  <c r="L10" i="17"/>
  <c r="K405" i="16"/>
  <c r="K387" i="16"/>
  <c r="J383" i="16"/>
  <c r="J382" i="16"/>
  <c r="K380" i="16"/>
  <c r="N368" i="16"/>
  <c r="L368" i="16"/>
  <c r="L367" i="16"/>
  <c r="N364" i="16"/>
  <c r="Y354" i="16"/>
  <c r="S354" i="16"/>
  <c r="U352" i="16"/>
  <c r="Q347" i="16"/>
  <c r="P347" i="16"/>
  <c r="P345" i="16"/>
  <c r="P344" i="16"/>
  <c r="P343" i="16"/>
  <c r="P342" i="16"/>
  <c r="P341" i="16"/>
  <c r="P340" i="16"/>
  <c r="P339" i="16"/>
  <c r="P338" i="16"/>
  <c r="P337" i="16"/>
  <c r="P336" i="16"/>
  <c r="P335" i="16"/>
  <c r="P334" i="16"/>
  <c r="N321" i="16"/>
  <c r="O320" i="16"/>
  <c r="O321" i="16" s="1"/>
  <c r="AC302" i="16"/>
  <c r="AB302" i="16"/>
  <c r="AA302" i="16"/>
  <c r="Z302" i="16"/>
  <c r="Y302" i="16"/>
  <c r="X302" i="16"/>
  <c r="W302" i="16"/>
  <c r="V302" i="16"/>
  <c r="U302" i="16"/>
  <c r="T302" i="16"/>
  <c r="S302" i="16"/>
  <c r="R302" i="16"/>
  <c r="Q302" i="16"/>
  <c r="P302" i="16"/>
  <c r="O302" i="16"/>
  <c r="N302" i="16"/>
  <c r="N303" i="16" s="1"/>
  <c r="O301" i="16" s="1"/>
  <c r="AC298" i="16"/>
  <c r="AB298" i="16"/>
  <c r="AA298" i="16"/>
  <c r="Z298" i="16"/>
  <c r="Y298" i="16"/>
  <c r="X298" i="16"/>
  <c r="W298" i="16"/>
  <c r="V298" i="16"/>
  <c r="U298" i="16"/>
  <c r="T298" i="16"/>
  <c r="S298" i="16"/>
  <c r="R298" i="16"/>
  <c r="Q298" i="16"/>
  <c r="P298" i="16"/>
  <c r="O298" i="16"/>
  <c r="N298" i="16"/>
  <c r="N267" i="16"/>
  <c r="N266" i="16"/>
  <c r="AC247" i="16"/>
  <c r="AC236" i="16"/>
  <c r="AB236" i="16"/>
  <c r="AA236" i="16"/>
  <c r="Z236" i="16"/>
  <c r="Y236" i="16"/>
  <c r="X236" i="16"/>
  <c r="W236" i="16"/>
  <c r="V236" i="16"/>
  <c r="U236" i="16"/>
  <c r="T236" i="16"/>
  <c r="S236" i="16"/>
  <c r="R236" i="16"/>
  <c r="Q236" i="16"/>
  <c r="P236" i="16"/>
  <c r="O236" i="16"/>
  <c r="N236" i="16"/>
  <c r="AC231" i="16"/>
  <c r="AB231" i="16"/>
  <c r="AA231" i="16"/>
  <c r="Z231" i="16"/>
  <c r="Y231" i="16"/>
  <c r="X231" i="16"/>
  <c r="W231" i="16"/>
  <c r="V231" i="16"/>
  <c r="U231" i="16"/>
  <c r="T231" i="16"/>
  <c r="S231" i="16"/>
  <c r="R231" i="16"/>
  <c r="Q231" i="16"/>
  <c r="P231" i="16"/>
  <c r="O231" i="16"/>
  <c r="N231" i="16"/>
  <c r="N211" i="16"/>
  <c r="N286" i="16" s="1"/>
  <c r="N204" i="16"/>
  <c r="N283" i="16" s="1"/>
  <c r="N203" i="16"/>
  <c r="N282" i="16" s="1"/>
  <c r="N202" i="16"/>
  <c r="N281" i="16" s="1"/>
  <c r="N201" i="16"/>
  <c r="N280" i="16" s="1"/>
  <c r="AC194" i="16"/>
  <c r="AC193" i="16"/>
  <c r="AC192" i="16"/>
  <c r="K191" i="16"/>
  <c r="K195" i="16" s="1"/>
  <c r="AC190" i="16"/>
  <c r="AC189" i="16"/>
  <c r="AC188" i="16"/>
  <c r="AC187" i="16"/>
  <c r="AC186" i="16"/>
  <c r="AC185" i="16"/>
  <c r="AC184" i="16"/>
  <c r="AC183" i="16"/>
  <c r="AC181" i="16"/>
  <c r="AC180" i="16"/>
  <c r="AC179" i="16"/>
  <c r="AC178" i="16"/>
  <c r="AC177" i="16"/>
  <c r="AC176" i="16"/>
  <c r="AC167" i="16"/>
  <c r="AC31" i="16" s="1"/>
  <c r="AC387" i="16" s="1"/>
  <c r="AB167" i="16"/>
  <c r="AA167" i="16"/>
  <c r="Z167" i="16"/>
  <c r="Y167" i="16"/>
  <c r="Y31" i="16" s="1"/>
  <c r="Y387" i="16" s="1"/>
  <c r="X167" i="16"/>
  <c r="X31" i="16" s="1"/>
  <c r="X387" i="16" s="1"/>
  <c r="W167" i="16"/>
  <c r="W31" i="16" s="1"/>
  <c r="W387" i="16" s="1"/>
  <c r="V167" i="16"/>
  <c r="V31" i="16" s="1"/>
  <c r="V387" i="16" s="1"/>
  <c r="U167" i="16"/>
  <c r="U31" i="16" s="1"/>
  <c r="U387" i="16" s="1"/>
  <c r="T167" i="16"/>
  <c r="S167" i="16"/>
  <c r="R167" i="16"/>
  <c r="R31" i="16" s="1"/>
  <c r="R387" i="16" s="1"/>
  <c r="Q167" i="16"/>
  <c r="P167" i="16"/>
  <c r="O167" i="16"/>
  <c r="O31" i="16" s="1"/>
  <c r="N167" i="16"/>
  <c r="N31" i="16" s="1"/>
  <c r="N387" i="16" s="1"/>
  <c r="K161" i="16"/>
  <c r="K158" i="16"/>
  <c r="K157" i="16"/>
  <c r="K156" i="16"/>
  <c r="K152" i="16"/>
  <c r="K151" i="16"/>
  <c r="K150" i="16"/>
  <c r="K149" i="16"/>
  <c r="K148" i="16"/>
  <c r="AC142" i="16"/>
  <c r="AC160" i="16" s="1"/>
  <c r="AB142" i="16"/>
  <c r="AB160" i="16" s="1"/>
  <c r="AA142" i="16"/>
  <c r="AA160" i="16" s="1"/>
  <c r="Z142" i="16"/>
  <c r="Z160" i="16" s="1"/>
  <c r="Y142" i="16"/>
  <c r="Y160" i="16" s="1"/>
  <c r="X142" i="16"/>
  <c r="X160" i="16" s="1"/>
  <c r="W142" i="16"/>
  <c r="W160" i="16" s="1"/>
  <c r="V142" i="16"/>
  <c r="V160" i="16" s="1"/>
  <c r="U142" i="16"/>
  <c r="U160" i="16" s="1"/>
  <c r="T142" i="16"/>
  <c r="T160" i="16" s="1"/>
  <c r="S142" i="16"/>
  <c r="S160" i="16" s="1"/>
  <c r="R142" i="16"/>
  <c r="R160" i="16" s="1"/>
  <c r="Q142" i="16"/>
  <c r="Q160" i="16" s="1"/>
  <c r="P142" i="16"/>
  <c r="P73" i="16" s="1"/>
  <c r="P25" i="16" s="1"/>
  <c r="P381" i="16" s="1"/>
  <c r="O142" i="16"/>
  <c r="O160" i="16" s="1"/>
  <c r="N142" i="16"/>
  <c r="N160" i="16" s="1"/>
  <c r="K141" i="16"/>
  <c r="K140" i="16"/>
  <c r="K139" i="16"/>
  <c r="K137" i="16"/>
  <c r="K136" i="16"/>
  <c r="K135" i="16"/>
  <c r="K134" i="16"/>
  <c r="K132" i="16"/>
  <c r="K131" i="16"/>
  <c r="K130" i="16"/>
  <c r="K129" i="16"/>
  <c r="K128" i="16"/>
  <c r="K127" i="16"/>
  <c r="K126" i="16"/>
  <c r="AC124" i="16"/>
  <c r="AC133" i="16" s="1"/>
  <c r="K123" i="16"/>
  <c r="K122" i="16"/>
  <c r="K121" i="16"/>
  <c r="K120" i="16"/>
  <c r="K119" i="16"/>
  <c r="AB118" i="16"/>
  <c r="AB16" i="16" s="1"/>
  <c r="AB372" i="16" s="1"/>
  <c r="AB434" i="16" s="1"/>
  <c r="AA118" i="16"/>
  <c r="AA180" i="16" s="1"/>
  <c r="Z118" i="16"/>
  <c r="Z178" i="16" s="1"/>
  <c r="Y118" i="16"/>
  <c r="Y184" i="16" s="1"/>
  <c r="X118" i="16"/>
  <c r="X180" i="16" s="1"/>
  <c r="W118" i="16"/>
  <c r="W187" i="16" s="1"/>
  <c r="V118" i="16"/>
  <c r="V194" i="16" s="1"/>
  <c r="U118" i="16"/>
  <c r="U194" i="16" s="1"/>
  <c r="T118" i="16"/>
  <c r="T193" i="16" s="1"/>
  <c r="S118" i="16"/>
  <c r="S180" i="16" s="1"/>
  <c r="R118" i="16"/>
  <c r="R192" i="16" s="1"/>
  <c r="Q118" i="16"/>
  <c r="Q192" i="16" s="1"/>
  <c r="P118" i="16"/>
  <c r="P193" i="16" s="1"/>
  <c r="O118" i="16"/>
  <c r="O194" i="16" s="1"/>
  <c r="N118" i="16"/>
  <c r="O294" i="16" s="1"/>
  <c r="K115" i="16"/>
  <c r="L101" i="16"/>
  <c r="O100" i="16"/>
  <c r="Q97" i="16"/>
  <c r="P95" i="16"/>
  <c r="Q95" i="16" s="1"/>
  <c r="R95" i="16" s="1"/>
  <c r="S95" i="16" s="1"/>
  <c r="T95" i="16" s="1"/>
  <c r="U95" i="16" s="1"/>
  <c r="V95" i="16" s="1"/>
  <c r="W95" i="16" s="1"/>
  <c r="X95" i="16" s="1"/>
  <c r="Y95" i="16" s="1"/>
  <c r="Z95" i="16" s="1"/>
  <c r="AA95" i="16" s="1"/>
  <c r="AB95" i="16" s="1"/>
  <c r="AC95" i="16" s="1"/>
  <c r="O95" i="16"/>
  <c r="O94" i="16"/>
  <c r="O89" i="16"/>
  <c r="O212" i="16" s="1"/>
  <c r="O287" i="16" s="1"/>
  <c r="AK88" i="16"/>
  <c r="AI88" i="16"/>
  <c r="O88" i="16"/>
  <c r="P88" i="16" s="1"/>
  <c r="P211" i="16" s="1"/>
  <c r="P286" i="16" s="1"/>
  <c r="AL87" i="16"/>
  <c r="AJ87" i="16"/>
  <c r="AL86" i="16"/>
  <c r="AJ86" i="16"/>
  <c r="AO86" i="16" s="1"/>
  <c r="AE86" i="16"/>
  <c r="AL85" i="16"/>
  <c r="AJ85" i="16"/>
  <c r="AE85" i="16"/>
  <c r="O85" i="16"/>
  <c r="P85" i="16" s="1"/>
  <c r="AL84" i="16"/>
  <c r="AJ84" i="16"/>
  <c r="AE84" i="16"/>
  <c r="O84" i="16"/>
  <c r="P84" i="16" s="1"/>
  <c r="AL83" i="16"/>
  <c r="AJ83" i="16"/>
  <c r="AE83" i="16"/>
  <c r="O83" i="16"/>
  <c r="P83" i="16" s="1"/>
  <c r="AN82" i="16"/>
  <c r="AN83" i="16" s="1"/>
  <c r="AN84" i="16" s="1"/>
  <c r="AN85" i="16" s="1"/>
  <c r="AN86" i="16" s="1"/>
  <c r="AN87" i="16" s="1"/>
  <c r="AL82" i="16"/>
  <c r="AJ82" i="16"/>
  <c r="AO82" i="16" s="1"/>
  <c r="AE82" i="16"/>
  <c r="O82" i="16"/>
  <c r="J82" i="16"/>
  <c r="O81" i="16"/>
  <c r="P81" i="16" s="1"/>
  <c r="P201" i="16" s="1"/>
  <c r="P280" i="16" s="1"/>
  <c r="AK80" i="16"/>
  <c r="AL79" i="16"/>
  <c r="AJ79" i="16"/>
  <c r="O79" i="16"/>
  <c r="P79" i="16" s="1"/>
  <c r="Q79" i="16" s="1"/>
  <c r="R79" i="16" s="1"/>
  <c r="S79" i="16" s="1"/>
  <c r="T79" i="16" s="1"/>
  <c r="U79" i="16" s="1"/>
  <c r="V79" i="16" s="1"/>
  <c r="W79" i="16" s="1"/>
  <c r="X79" i="16" s="1"/>
  <c r="Y79" i="16" s="1"/>
  <c r="Z79" i="16" s="1"/>
  <c r="AA79" i="16" s="1"/>
  <c r="AB79" i="16" s="1"/>
  <c r="AC79" i="16" s="1"/>
  <c r="AL78" i="16"/>
  <c r="AJ78" i="16"/>
  <c r="Q78" i="16"/>
  <c r="O78" i="16"/>
  <c r="AL77" i="16"/>
  <c r="AJ77" i="16"/>
  <c r="AL76" i="16"/>
  <c r="AJ76" i="16"/>
  <c r="AL75" i="16"/>
  <c r="AJ75" i="16"/>
  <c r="L75" i="16"/>
  <c r="AL74" i="16"/>
  <c r="AJ74" i="16"/>
  <c r="N74" i="16"/>
  <c r="AL73" i="16"/>
  <c r="AJ73" i="16"/>
  <c r="Y73" i="16"/>
  <c r="Y25" i="16" s="1"/>
  <c r="Y381" i="16" s="1"/>
  <c r="S73" i="16"/>
  <c r="S25" i="16" s="1"/>
  <c r="S381" i="16" s="1"/>
  <c r="Q73" i="16"/>
  <c r="Q25" i="16" s="1"/>
  <c r="Q381" i="16" s="1"/>
  <c r="AN72" i="16"/>
  <c r="AL72" i="16"/>
  <c r="AJ72" i="16"/>
  <c r="L72" i="16"/>
  <c r="L71" i="16"/>
  <c r="AC70" i="16"/>
  <c r="AC292" i="16" s="1"/>
  <c r="AB70" i="16"/>
  <c r="AA70" i="16"/>
  <c r="AA292" i="16" s="1"/>
  <c r="Z70" i="16"/>
  <c r="Z24" i="16" s="1"/>
  <c r="Z380" i="16" s="1"/>
  <c r="Y70" i="16"/>
  <c r="Y292" i="16" s="1"/>
  <c r="X70" i="16"/>
  <c r="W70" i="16"/>
  <c r="W292" i="16" s="1"/>
  <c r="V70" i="16"/>
  <c r="V292" i="16" s="1"/>
  <c r="U70" i="16"/>
  <c r="U292" i="16" s="1"/>
  <c r="T70" i="16"/>
  <c r="S70" i="16"/>
  <c r="S292" i="16" s="1"/>
  <c r="R70" i="16"/>
  <c r="Q70" i="16"/>
  <c r="Q292" i="16" s="1"/>
  <c r="P70" i="16"/>
  <c r="O70" i="16"/>
  <c r="O292" i="16" s="1"/>
  <c r="N70" i="16"/>
  <c r="N292" i="16" s="1"/>
  <c r="N293" i="16" s="1"/>
  <c r="AC63" i="16"/>
  <c r="AB63" i="16"/>
  <c r="AA63" i="16"/>
  <c r="Z63" i="16"/>
  <c r="Y63" i="16"/>
  <c r="X63" i="16"/>
  <c r="W63" i="16"/>
  <c r="V63" i="16"/>
  <c r="U63" i="16"/>
  <c r="T63" i="16"/>
  <c r="S63" i="16"/>
  <c r="R63" i="16"/>
  <c r="Q63" i="16"/>
  <c r="P63" i="16"/>
  <c r="O63" i="16"/>
  <c r="N63" i="16"/>
  <c r="P46" i="16"/>
  <c r="N45" i="16"/>
  <c r="N401" i="16" s="1"/>
  <c r="AB31" i="16"/>
  <c r="AB387" i="16" s="1"/>
  <c r="AA31" i="16"/>
  <c r="AA387" i="16" s="1"/>
  <c r="Z31" i="16"/>
  <c r="Z387" i="16" s="1"/>
  <c r="T31" i="16"/>
  <c r="T387" i="16" s="1"/>
  <c r="S31" i="16"/>
  <c r="S387" i="16" s="1"/>
  <c r="Q31" i="16"/>
  <c r="Q387" i="16" s="1"/>
  <c r="K31" i="16"/>
  <c r="AC30" i="16"/>
  <c r="AC386" i="16" s="1"/>
  <c r="AB30" i="16"/>
  <c r="AB386" i="16" s="1"/>
  <c r="AA30" i="16"/>
  <c r="AA386" i="16" s="1"/>
  <c r="Z30" i="16"/>
  <c r="Z386" i="16" s="1"/>
  <c r="Y30" i="16"/>
  <c r="Y386" i="16" s="1"/>
  <c r="X30" i="16"/>
  <c r="X386" i="16" s="1"/>
  <c r="W30" i="16"/>
  <c r="W386" i="16" s="1"/>
  <c r="V30" i="16"/>
  <c r="V386" i="16" s="1"/>
  <c r="U30" i="16"/>
  <c r="U386" i="16" s="1"/>
  <c r="T30" i="16"/>
  <c r="T386" i="16" s="1"/>
  <c r="S30" i="16"/>
  <c r="S386" i="16" s="1"/>
  <c r="R30" i="16"/>
  <c r="R386" i="16" s="1"/>
  <c r="Q30" i="16"/>
  <c r="Q386" i="16" s="1"/>
  <c r="P30" i="16"/>
  <c r="P386" i="16" s="1"/>
  <c r="O30" i="16"/>
  <c r="O386" i="16" s="1"/>
  <c r="N30" i="16"/>
  <c r="N386" i="16" s="1"/>
  <c r="J27" i="16"/>
  <c r="J26" i="16"/>
  <c r="W24" i="16"/>
  <c r="W380" i="16" s="1"/>
  <c r="O24" i="16"/>
  <c r="AC16" i="16"/>
  <c r="AC372" i="16" s="1"/>
  <c r="AC434" i="16" s="1"/>
  <c r="X16" i="16"/>
  <c r="X372" i="16" s="1"/>
  <c r="X434" i="16" s="1"/>
  <c r="W16" i="16"/>
  <c r="W372" i="16" s="1"/>
  <c r="W434" i="16" s="1"/>
  <c r="T16" i="16"/>
  <c r="T372" i="16" s="1"/>
  <c r="T434" i="16" s="1"/>
  <c r="S16" i="16"/>
  <c r="S372" i="16" s="1"/>
  <c r="S434" i="16" s="1"/>
  <c r="R16" i="16"/>
  <c r="R372" i="16" s="1"/>
  <c r="R434" i="16" s="1"/>
  <c r="P16" i="16"/>
  <c r="P372" i="16" s="1"/>
  <c r="P434" i="16" s="1"/>
  <c r="O16" i="16"/>
  <c r="O372" i="16" s="1"/>
  <c r="O434" i="16" s="1"/>
  <c r="O12" i="16"/>
  <c r="O368" i="16" s="1"/>
  <c r="N11" i="16"/>
  <c r="N67" i="16" s="1"/>
  <c r="J11" i="16"/>
  <c r="O352" i="16" s="1"/>
  <c r="L10" i="16"/>
  <c r="U352" i="5"/>
  <c r="U352" i="1"/>
  <c r="J11" i="1"/>
  <c r="J11" i="5"/>
  <c r="X16" i="17" l="1"/>
  <c r="X372" i="17" s="1"/>
  <c r="X434" i="17" s="1"/>
  <c r="AO74" i="17"/>
  <c r="X176" i="17"/>
  <c r="AJ83" i="17"/>
  <c r="U73" i="17"/>
  <c r="U25" i="17" s="1"/>
  <c r="U381" i="17" s="1"/>
  <c r="AO75" i="16"/>
  <c r="AO78" i="16"/>
  <c r="W185" i="16"/>
  <c r="Z73" i="16"/>
  <c r="Z25" i="16" s="1"/>
  <c r="Z381" i="16" s="1"/>
  <c r="N46" i="17"/>
  <c r="X183" i="17"/>
  <c r="V24" i="16"/>
  <c r="V380" i="16" s="1"/>
  <c r="R73" i="16"/>
  <c r="R25" i="16" s="1"/>
  <c r="R381" i="16" s="1"/>
  <c r="O202" i="16"/>
  <c r="O281" i="16" s="1"/>
  <c r="N268" i="16"/>
  <c r="P348" i="16"/>
  <c r="Q348" i="16" s="1"/>
  <c r="AA24" i="17"/>
  <c r="AA380" i="17" s="1"/>
  <c r="N91" i="16"/>
  <c r="O73" i="17"/>
  <c r="O25" i="17" s="1"/>
  <c r="O381" i="17" s="1"/>
  <c r="P181" i="17"/>
  <c r="O294" i="17"/>
  <c r="V69" i="17"/>
  <c r="V230" i="17" s="1"/>
  <c r="P73" i="17"/>
  <c r="P25" i="17" s="1"/>
  <c r="P381" i="17" s="1"/>
  <c r="P294" i="17"/>
  <c r="P164" i="17" s="1"/>
  <c r="P226" i="17" s="1"/>
  <c r="R16" i="17"/>
  <c r="R372" i="17" s="1"/>
  <c r="R434" i="17" s="1"/>
  <c r="O24" i="17"/>
  <c r="O380" i="17" s="1"/>
  <c r="W73" i="17"/>
  <c r="W25" i="17" s="1"/>
  <c r="W381" i="17" s="1"/>
  <c r="O201" i="17"/>
  <c r="N213" i="17"/>
  <c r="N309" i="17" s="1"/>
  <c r="O203" i="17"/>
  <c r="O109" i="17" s="1"/>
  <c r="W24" i="17"/>
  <c r="W380" i="17" s="1"/>
  <c r="X73" i="17"/>
  <c r="X25" i="17" s="1"/>
  <c r="X381" i="17" s="1"/>
  <c r="Y24" i="17"/>
  <c r="Y380" i="17" s="1"/>
  <c r="Z73" i="17"/>
  <c r="Z25" i="17" s="1"/>
  <c r="Z381" i="17" s="1"/>
  <c r="X294" i="17"/>
  <c r="N45" i="17"/>
  <c r="N401" i="17" s="1"/>
  <c r="O204" i="17"/>
  <c r="AA177" i="16"/>
  <c r="N294" i="16"/>
  <c r="R190" i="16"/>
  <c r="S69" i="16"/>
  <c r="S230" i="16" s="1"/>
  <c r="Z16" i="16"/>
  <c r="Z372" i="16" s="1"/>
  <c r="Z434" i="16" s="1"/>
  <c r="AA16" i="16"/>
  <c r="AA372" i="16" s="1"/>
  <c r="AA434" i="16" s="1"/>
  <c r="AA24" i="16"/>
  <c r="AA380" i="16" s="1"/>
  <c r="AO73" i="16"/>
  <c r="P294" i="16"/>
  <c r="S24" i="16"/>
  <c r="S380" i="16" s="1"/>
  <c r="AC294" i="16"/>
  <c r="AC164" i="16" s="1"/>
  <c r="AC226" i="16" s="1"/>
  <c r="N44" i="16"/>
  <c r="N400" i="16" s="1"/>
  <c r="AO77" i="16"/>
  <c r="AO79" i="16"/>
  <c r="S181" i="16"/>
  <c r="O303" i="16"/>
  <c r="O213" i="16" s="1"/>
  <c r="O309" i="16" s="1"/>
  <c r="L74" i="17"/>
  <c r="N69" i="17"/>
  <c r="N230" i="17" s="1"/>
  <c r="AL88" i="17"/>
  <c r="Q294" i="17"/>
  <c r="Y294" i="17"/>
  <c r="Y164" i="17" s="1"/>
  <c r="Y226" i="17" s="1"/>
  <c r="AO87" i="17"/>
  <c r="K142" i="17"/>
  <c r="K160" i="17" s="1"/>
  <c r="R294" i="17"/>
  <c r="R164" i="17" s="1"/>
  <c r="R226" i="17" s="1"/>
  <c r="Z294" i="17"/>
  <c r="Z164" i="17" s="1"/>
  <c r="Z226" i="17" s="1"/>
  <c r="AA294" i="17"/>
  <c r="W16" i="17"/>
  <c r="W372" i="17" s="1"/>
  <c r="W434" i="17" s="1"/>
  <c r="Q24" i="17"/>
  <c r="Q380" i="17" s="1"/>
  <c r="AC73" i="17"/>
  <c r="AC25" i="17" s="1"/>
  <c r="AC381" i="17" s="1"/>
  <c r="P81" i="17"/>
  <c r="P201" i="17" s="1"/>
  <c r="P280" i="17" s="1"/>
  <c r="Q124" i="17"/>
  <c r="Q133" i="17" s="1"/>
  <c r="Q153" i="17" s="1"/>
  <c r="Q18" i="17" s="1"/>
  <c r="Q374" i="17" s="1"/>
  <c r="R160" i="17"/>
  <c r="Z179" i="17"/>
  <c r="T294" i="17"/>
  <c r="AB294" i="17"/>
  <c r="AB164" i="17" s="1"/>
  <c r="AB226" i="17" s="1"/>
  <c r="S294" i="17"/>
  <c r="AO75" i="17"/>
  <c r="AO83" i="17"/>
  <c r="N268" i="17"/>
  <c r="U294" i="17"/>
  <c r="U164" i="17" s="1"/>
  <c r="U226" i="17" s="1"/>
  <c r="AC294" i="17"/>
  <c r="AC164" i="17" s="1"/>
  <c r="AC226" i="17" s="1"/>
  <c r="Y16" i="17"/>
  <c r="Y372" i="17" s="1"/>
  <c r="Y434" i="17" s="1"/>
  <c r="N43" i="17"/>
  <c r="N399" i="17" s="1"/>
  <c r="S73" i="17"/>
  <c r="S25" i="17" s="1"/>
  <c r="S381" i="17" s="1"/>
  <c r="V294" i="17"/>
  <c r="V164" i="17" s="1"/>
  <c r="V226" i="17" s="1"/>
  <c r="O164" i="17"/>
  <c r="O226" i="17" s="1"/>
  <c r="W294" i="17"/>
  <c r="W164" i="17" s="1"/>
  <c r="W226" i="17" s="1"/>
  <c r="L231" i="17"/>
  <c r="Y24" i="16"/>
  <c r="Y380" i="16" s="1"/>
  <c r="N43" i="16"/>
  <c r="W73" i="16"/>
  <c r="W69" i="16" s="1"/>
  <c r="W230" i="16" s="1"/>
  <c r="P186" i="16"/>
  <c r="P320" i="16"/>
  <c r="X294" i="16"/>
  <c r="X164" i="16" s="1"/>
  <c r="X226" i="16" s="1"/>
  <c r="W294" i="16"/>
  <c r="W164" i="16" s="1"/>
  <c r="W226" i="16" s="1"/>
  <c r="O43" i="16"/>
  <c r="O399" i="16" s="1"/>
  <c r="T178" i="16"/>
  <c r="X183" i="16"/>
  <c r="X192" i="16"/>
  <c r="Q294" i="16"/>
  <c r="Y294" i="16"/>
  <c r="N24" i="16"/>
  <c r="N380" i="16" s="1"/>
  <c r="Z294" i="16"/>
  <c r="Z164" i="16" s="1"/>
  <c r="Z226" i="16" s="1"/>
  <c r="Y16" i="16"/>
  <c r="Y372" i="16" s="1"/>
  <c r="Y434" i="16" s="1"/>
  <c r="AA73" i="16"/>
  <c r="AA25" i="16" s="1"/>
  <c r="AA381" i="16" s="1"/>
  <c r="R124" i="16"/>
  <c r="R179" i="16"/>
  <c r="O184" i="16"/>
  <c r="R188" i="16"/>
  <c r="S294" i="16"/>
  <c r="S164" i="16" s="1"/>
  <c r="S226" i="16" s="1"/>
  <c r="AA294" i="16"/>
  <c r="AA164" i="16" s="1"/>
  <c r="AA226" i="16" s="1"/>
  <c r="N42" i="16"/>
  <c r="N398" i="16" s="1"/>
  <c r="R294" i="16"/>
  <c r="Q24" i="16"/>
  <c r="Q380" i="16" s="1"/>
  <c r="O73" i="16"/>
  <c r="O25" i="16" s="1"/>
  <c r="O381" i="16" s="1"/>
  <c r="Y124" i="16"/>
  <c r="Y133" i="16" s="1"/>
  <c r="Y153" i="16" s="1"/>
  <c r="Y18" i="16" s="1"/>
  <c r="Y374" i="16" s="1"/>
  <c r="Z179" i="16"/>
  <c r="Z184" i="16"/>
  <c r="P194" i="16"/>
  <c r="T294" i="16"/>
  <c r="T164" i="16" s="1"/>
  <c r="T226" i="16" s="1"/>
  <c r="AB294" i="16"/>
  <c r="AB164" i="16" s="1"/>
  <c r="AB226" i="16" s="1"/>
  <c r="V294" i="16"/>
  <c r="Q16" i="16"/>
  <c r="Q372" i="16" s="1"/>
  <c r="Q434" i="16" s="1"/>
  <c r="Z124" i="16"/>
  <c r="Z125" i="16" s="1"/>
  <c r="Z17" i="16" s="1"/>
  <c r="Z373" i="16" s="1"/>
  <c r="U294" i="16"/>
  <c r="O280" i="17"/>
  <c r="O42" i="17"/>
  <c r="O398" i="17" s="1"/>
  <c r="P211" i="17"/>
  <c r="Q88" i="17"/>
  <c r="R88" i="17" s="1"/>
  <c r="S88" i="17" s="1"/>
  <c r="T88" i="17" s="1"/>
  <c r="U88" i="17" s="1"/>
  <c r="V88" i="17" s="1"/>
  <c r="W88" i="17" s="1"/>
  <c r="X88" i="17" s="1"/>
  <c r="Y88" i="17" s="1"/>
  <c r="Z88" i="17" s="1"/>
  <c r="AA88" i="17" s="1"/>
  <c r="AB88" i="17" s="1"/>
  <c r="AC88" i="17" s="1"/>
  <c r="O178" i="17"/>
  <c r="X188" i="17"/>
  <c r="O194" i="17"/>
  <c r="AB292" i="17"/>
  <c r="P24" i="17"/>
  <c r="P380" i="17" s="1"/>
  <c r="Z24" i="17"/>
  <c r="Z380" i="17" s="1"/>
  <c r="L63" i="17"/>
  <c r="S69" i="17"/>
  <c r="S230" i="17" s="1"/>
  <c r="S232" i="17" s="1"/>
  <c r="AL80" i="17"/>
  <c r="T73" i="17"/>
  <c r="P84" i="17"/>
  <c r="P204" i="17" s="1"/>
  <c r="T124" i="17"/>
  <c r="Z176" i="17"/>
  <c r="P178" i="17"/>
  <c r="W181" i="17"/>
  <c r="O186" i="17"/>
  <c r="Q192" i="17"/>
  <c r="T194" i="17"/>
  <c r="O303" i="17"/>
  <c r="O304" i="17" s="1"/>
  <c r="AO78" i="17"/>
  <c r="AO82" i="17"/>
  <c r="K118" i="17"/>
  <c r="L136" i="17" s="1"/>
  <c r="V124" i="17"/>
  <c r="V133" i="17" s="1"/>
  <c r="V153" i="17" s="1"/>
  <c r="W178" i="17"/>
  <c r="O180" i="17"/>
  <c r="P184" i="17"/>
  <c r="W186" i="17"/>
  <c r="O189" i="17"/>
  <c r="W192" i="17"/>
  <c r="W194" i="17"/>
  <c r="W124" i="17"/>
  <c r="W182" i="17" s="1"/>
  <c r="K167" i="17"/>
  <c r="L167" i="17" s="1"/>
  <c r="O177" i="17"/>
  <c r="P180" i="17"/>
  <c r="W184" i="17"/>
  <c r="P189" i="17"/>
  <c r="P83" i="17"/>
  <c r="P203" i="17" s="1"/>
  <c r="AO84" i="17"/>
  <c r="X124" i="17"/>
  <c r="X133" i="17" s="1"/>
  <c r="P177" i="17"/>
  <c r="O179" i="17"/>
  <c r="W180" i="17"/>
  <c r="O187" i="17"/>
  <c r="O193" i="17"/>
  <c r="O247" i="17"/>
  <c r="Q348" i="17"/>
  <c r="J26" i="17"/>
  <c r="AJ80" i="17"/>
  <c r="W177" i="17"/>
  <c r="O183" i="17"/>
  <c r="O185" i="17"/>
  <c r="W187" i="17"/>
  <c r="W193" i="17"/>
  <c r="L236" i="17"/>
  <c r="AO76" i="17"/>
  <c r="O16" i="17"/>
  <c r="O372" i="17" s="1"/>
  <c r="O434" i="17" s="1"/>
  <c r="Y124" i="17"/>
  <c r="Y125" i="17" s="1"/>
  <c r="Y17" i="17" s="1"/>
  <c r="Y373" i="17" s="1"/>
  <c r="P179" i="17"/>
  <c r="P16" i="17"/>
  <c r="P372" i="17" s="1"/>
  <c r="P434" i="17" s="1"/>
  <c r="AO77" i="17"/>
  <c r="O212" i="17"/>
  <c r="O287" i="17" s="1"/>
  <c r="O124" i="17"/>
  <c r="O182" i="17" s="1"/>
  <c r="O176" i="17"/>
  <c r="X177" i="17"/>
  <c r="W179" i="17"/>
  <c r="P183" i="17"/>
  <c r="W185" i="17"/>
  <c r="W190" i="17"/>
  <c r="X193" i="17"/>
  <c r="S24" i="17"/>
  <c r="S380" i="17" s="1"/>
  <c r="T24" i="17"/>
  <c r="T380" i="17" s="1"/>
  <c r="O205" i="17"/>
  <c r="X180" i="17"/>
  <c r="Q16" i="17"/>
  <c r="Q372" i="17" s="1"/>
  <c r="Q434" i="17" s="1"/>
  <c r="N24" i="17"/>
  <c r="N380" i="17" s="1"/>
  <c r="X24" i="17"/>
  <c r="X380" i="17" s="1"/>
  <c r="L386" i="17"/>
  <c r="AB73" i="17"/>
  <c r="AB25" i="17" s="1"/>
  <c r="AB381" i="17" s="1"/>
  <c r="AO79" i="17"/>
  <c r="AO85" i="17"/>
  <c r="P89" i="17"/>
  <c r="P212" i="17" s="1"/>
  <c r="P124" i="17"/>
  <c r="X179" i="17"/>
  <c r="N304" i="16"/>
  <c r="N168" i="16" s="1"/>
  <c r="AC73" i="16"/>
  <c r="AC25" i="16" s="1"/>
  <c r="AC381" i="16" s="1"/>
  <c r="AL88" i="16"/>
  <c r="K118" i="16"/>
  <c r="L121" i="16" s="1"/>
  <c r="W124" i="16"/>
  <c r="W133" i="16" s="1"/>
  <c r="R176" i="16"/>
  <c r="U179" i="16"/>
  <c r="P181" i="16"/>
  <c r="AA183" i="16"/>
  <c r="S186" i="16"/>
  <c r="W188" i="16"/>
  <c r="Z190" i="16"/>
  <c r="Z192" i="16"/>
  <c r="AA194" i="16"/>
  <c r="N213" i="16"/>
  <c r="N309" i="16" s="1"/>
  <c r="N46" i="16"/>
  <c r="N402" i="16" s="1"/>
  <c r="AO76" i="16"/>
  <c r="AO83" i="16"/>
  <c r="AO87" i="16"/>
  <c r="X124" i="16"/>
  <c r="X133" i="16" s="1"/>
  <c r="X153" i="16" s="1"/>
  <c r="K167" i="16"/>
  <c r="S176" i="16"/>
  <c r="P178" i="16"/>
  <c r="X179" i="16"/>
  <c r="R181" i="16"/>
  <c r="V185" i="16"/>
  <c r="X186" i="16"/>
  <c r="Z188" i="16"/>
  <c r="P247" i="16"/>
  <c r="P160" i="16"/>
  <c r="O193" i="16"/>
  <c r="P177" i="16"/>
  <c r="X178" i="16"/>
  <c r="X181" i="16"/>
  <c r="P184" i="16"/>
  <c r="X185" i="16"/>
  <c r="O187" i="16"/>
  <c r="Q189" i="16"/>
  <c r="O192" i="16"/>
  <c r="W193" i="16"/>
  <c r="U16" i="16"/>
  <c r="U372" i="16" s="1"/>
  <c r="U434" i="16" s="1"/>
  <c r="P42" i="16"/>
  <c r="P398" i="16" s="1"/>
  <c r="Q69" i="16"/>
  <c r="Q230" i="16" s="1"/>
  <c r="Q232" i="16" s="1"/>
  <c r="X73" i="16"/>
  <c r="X25" i="16" s="1"/>
  <c r="X381" i="16" s="1"/>
  <c r="AO74" i="16"/>
  <c r="Q88" i="16"/>
  <c r="R88" i="16" s="1"/>
  <c r="S88" i="16" s="1"/>
  <c r="T88" i="16" s="1"/>
  <c r="U88" i="16" s="1"/>
  <c r="V88" i="16" s="1"/>
  <c r="W88" i="16" s="1"/>
  <c r="X88" i="16" s="1"/>
  <c r="Y88" i="16" s="1"/>
  <c r="Z88" i="16" s="1"/>
  <c r="AA88" i="16" s="1"/>
  <c r="AB88" i="16" s="1"/>
  <c r="AC88" i="16" s="1"/>
  <c r="R177" i="16"/>
  <c r="R180" i="16"/>
  <c r="Q184" i="16"/>
  <c r="Y185" i="16"/>
  <c r="P187" i="16"/>
  <c r="S189" i="16"/>
  <c r="P192" i="16"/>
  <c r="X193" i="16"/>
  <c r="AC69" i="16"/>
  <c r="AC230" i="16" s="1"/>
  <c r="AC323" i="16" s="1"/>
  <c r="Y69" i="16"/>
  <c r="Y230" i="16" s="1"/>
  <c r="Y323" i="16" s="1"/>
  <c r="O124" i="16"/>
  <c r="S177" i="16"/>
  <c r="AA178" i="16"/>
  <c r="P183" i="16"/>
  <c r="W184" i="16"/>
  <c r="X187" i="16"/>
  <c r="Y193" i="16"/>
  <c r="U73" i="16"/>
  <c r="U25" i="16" s="1"/>
  <c r="U381" i="16" s="1"/>
  <c r="P124" i="16"/>
  <c r="P133" i="16" s="1"/>
  <c r="X177" i="16"/>
  <c r="R183" i="16"/>
  <c r="O186" i="16"/>
  <c r="P190" i="16"/>
  <c r="L231" i="16"/>
  <c r="Q94" i="17"/>
  <c r="R94" i="17" s="1"/>
  <c r="S94" i="17" s="1"/>
  <c r="T94" i="17" s="1"/>
  <c r="U94" i="17" s="1"/>
  <c r="V94" i="17" s="1"/>
  <c r="W94" i="17" s="1"/>
  <c r="X94" i="17" s="1"/>
  <c r="Y94" i="17" s="1"/>
  <c r="Z94" i="17" s="1"/>
  <c r="AA94" i="17" s="1"/>
  <c r="AB94" i="17" s="1"/>
  <c r="AC94" i="17" s="1"/>
  <c r="Q19" i="17"/>
  <c r="L30" i="17"/>
  <c r="U133" i="17"/>
  <c r="U125" i="17"/>
  <c r="U17" i="17" s="1"/>
  <c r="U373" i="17" s="1"/>
  <c r="L148" i="17"/>
  <c r="K116" i="17"/>
  <c r="AR74" i="17"/>
  <c r="O368" i="17"/>
  <c r="P12" i="17"/>
  <c r="N307" i="17"/>
  <c r="N367" i="17"/>
  <c r="N277" i="17"/>
  <c r="N433" i="17"/>
  <c r="N243" i="17"/>
  <c r="N197" i="17"/>
  <c r="N173" i="17"/>
  <c r="N258" i="17"/>
  <c r="N223" i="17"/>
  <c r="N67" i="17"/>
  <c r="O11" i="17"/>
  <c r="O91" i="17" s="1"/>
  <c r="N51" i="17"/>
  <c r="N113" i="17"/>
  <c r="N402" i="17"/>
  <c r="N449" i="17"/>
  <c r="T125" i="17"/>
  <c r="T17" i="17" s="1"/>
  <c r="T373" i="17" s="1"/>
  <c r="T133" i="17"/>
  <c r="U16" i="17"/>
  <c r="U372" i="17" s="1"/>
  <c r="U434" i="17" s="1"/>
  <c r="V24" i="17"/>
  <c r="V380" i="17" s="1"/>
  <c r="N25" i="17"/>
  <c r="N387" i="17"/>
  <c r="L387" i="17" s="1"/>
  <c r="L31" i="17"/>
  <c r="O69" i="17"/>
  <c r="O230" i="17" s="1"/>
  <c r="R292" i="17"/>
  <c r="R69" i="17"/>
  <c r="R230" i="17" s="1"/>
  <c r="Q211" i="17"/>
  <c r="P82" i="17"/>
  <c r="O283" i="17"/>
  <c r="O45" i="17"/>
  <c r="Q100" i="17"/>
  <c r="R247" i="17"/>
  <c r="R192" i="17"/>
  <c r="R184" i="17"/>
  <c r="R189" i="17"/>
  <c r="R190" i="17"/>
  <c r="R193" i="17"/>
  <c r="R185" i="17"/>
  <c r="R194" i="17"/>
  <c r="R186" i="17"/>
  <c r="R178" i="17"/>
  <c r="R187" i="17"/>
  <c r="R180" i="17"/>
  <c r="R177" i="17"/>
  <c r="R181" i="17"/>
  <c r="R124" i="17"/>
  <c r="R182" i="17" s="1"/>
  <c r="R179" i="17"/>
  <c r="R176" i="17"/>
  <c r="R188" i="17"/>
  <c r="Z247" i="17"/>
  <c r="Z192" i="17"/>
  <c r="Z184" i="17"/>
  <c r="Z188" i="17"/>
  <c r="Z189" i="17"/>
  <c r="Z193" i="17"/>
  <c r="Z185" i="17"/>
  <c r="Z177" i="17"/>
  <c r="Z190" i="17"/>
  <c r="Z183" i="17"/>
  <c r="Z180" i="17"/>
  <c r="Z187" i="17"/>
  <c r="Z181" i="17"/>
  <c r="Z178" i="17"/>
  <c r="Z194" i="17"/>
  <c r="Z186" i="17"/>
  <c r="Z182" i="17"/>
  <c r="Y133" i="17"/>
  <c r="N280" i="17"/>
  <c r="N109" i="17"/>
  <c r="W297" i="17"/>
  <c r="W299" i="17" s="1"/>
  <c r="W207" i="17" s="1"/>
  <c r="W49" i="17" s="1"/>
  <c r="O297" i="17"/>
  <c r="O299" i="17" s="1"/>
  <c r="O207" i="17" s="1"/>
  <c r="O49" i="17" s="1"/>
  <c r="AB297" i="17"/>
  <c r="AB299" i="17" s="1"/>
  <c r="AB207" i="17" s="1"/>
  <c r="AB49" i="17" s="1"/>
  <c r="T297" i="17"/>
  <c r="T299" i="17" s="1"/>
  <c r="T207" i="17" s="1"/>
  <c r="T49" i="17" s="1"/>
  <c r="Y297" i="17"/>
  <c r="Y299" i="17" s="1"/>
  <c r="Y207" i="17" s="1"/>
  <c r="Y49" i="17" s="1"/>
  <c r="Q297" i="17"/>
  <c r="Q299" i="17" s="1"/>
  <c r="Q207" i="17" s="1"/>
  <c r="Q49" i="17" s="1"/>
  <c r="S297" i="17"/>
  <c r="S299" i="17" s="1"/>
  <c r="S207" i="17" s="1"/>
  <c r="S49" i="17" s="1"/>
  <c r="R297" i="17"/>
  <c r="R299" i="17" s="1"/>
  <c r="R207" i="17" s="1"/>
  <c r="R49" i="17" s="1"/>
  <c r="AA297" i="17"/>
  <c r="AA299" i="17" s="1"/>
  <c r="AA207" i="17" s="1"/>
  <c r="AA49" i="17" s="1"/>
  <c r="N297" i="17"/>
  <c r="Z297" i="17"/>
  <c r="Z299" i="17" s="1"/>
  <c r="Z207" i="17" s="1"/>
  <c r="Z49" i="17" s="1"/>
  <c r="V297" i="17"/>
  <c r="V299" i="17" s="1"/>
  <c r="V207" i="17" s="1"/>
  <c r="V49" i="17" s="1"/>
  <c r="AC297" i="17"/>
  <c r="AC299" i="17" s="1"/>
  <c r="AC207" i="17" s="1"/>
  <c r="AC49" i="17" s="1"/>
  <c r="P297" i="17"/>
  <c r="P299" i="17" s="1"/>
  <c r="P207" i="17" s="1"/>
  <c r="P49" i="17" s="1"/>
  <c r="U297" i="17"/>
  <c r="U299" i="17" s="1"/>
  <c r="U207" i="17" s="1"/>
  <c r="U49" i="17" s="1"/>
  <c r="X297" i="17"/>
  <c r="X299" i="17" s="1"/>
  <c r="X207" i="17" s="1"/>
  <c r="X49" i="17" s="1"/>
  <c r="S78" i="17"/>
  <c r="P79" i="17"/>
  <c r="Q79" i="17" s="1"/>
  <c r="R79" i="17" s="1"/>
  <c r="S79" i="17" s="1"/>
  <c r="T79" i="17" s="1"/>
  <c r="U79" i="17" s="1"/>
  <c r="V79" i="17" s="1"/>
  <c r="W79" i="17" s="1"/>
  <c r="X79" i="17" s="1"/>
  <c r="Y79" i="17" s="1"/>
  <c r="Z79" i="17" s="1"/>
  <c r="AA79" i="17" s="1"/>
  <c r="AB79" i="17" s="1"/>
  <c r="AC79" i="17" s="1"/>
  <c r="O200" i="17"/>
  <c r="S164" i="17"/>
  <c r="S226" i="17" s="1"/>
  <c r="S183" i="17"/>
  <c r="S190" i="17"/>
  <c r="S192" i="17"/>
  <c r="S247" i="17"/>
  <c r="S194" i="17"/>
  <c r="S186" i="17"/>
  <c r="S179" i="17"/>
  <c r="S124" i="17"/>
  <c r="S182" i="17" s="1"/>
  <c r="S193" i="17"/>
  <c r="S181" i="17"/>
  <c r="S184" i="17"/>
  <c r="S178" i="17"/>
  <c r="S189" i="17"/>
  <c r="S176" i="17"/>
  <c r="S188" i="17"/>
  <c r="S185" i="17"/>
  <c r="AA164" i="17"/>
  <c r="AA226" i="17" s="1"/>
  <c r="AA247" i="17"/>
  <c r="AA183" i="17"/>
  <c r="AA189" i="17"/>
  <c r="AA190" i="17"/>
  <c r="AA193" i="17"/>
  <c r="AA185" i="17"/>
  <c r="AA194" i="17"/>
  <c r="AA186" i="17"/>
  <c r="AA178" i="17"/>
  <c r="AA124" i="17"/>
  <c r="AA188" i="17"/>
  <c r="AA180" i="17"/>
  <c r="AA177" i="17"/>
  <c r="AA187" i="17"/>
  <c r="AA181" i="17"/>
  <c r="AA192" i="17"/>
  <c r="AA184" i="17"/>
  <c r="AA182" i="17"/>
  <c r="AA179" i="17"/>
  <c r="AA176" i="17"/>
  <c r="L127" i="17"/>
  <c r="L184" i="17" s="1"/>
  <c r="S177" i="17"/>
  <c r="S180" i="17"/>
  <c r="AO73" i="17"/>
  <c r="S95" i="17"/>
  <c r="T95" i="17" s="1"/>
  <c r="U95" i="17" s="1"/>
  <c r="V95" i="17" s="1"/>
  <c r="W95" i="17" s="1"/>
  <c r="X95" i="17" s="1"/>
  <c r="Y95" i="17" s="1"/>
  <c r="Z95" i="17" s="1"/>
  <c r="AA95" i="17" s="1"/>
  <c r="AB95" i="17" s="1"/>
  <c r="AC95" i="17" s="1"/>
  <c r="L70" i="17"/>
  <c r="U292" i="17"/>
  <c r="U69" i="17"/>
  <c r="U230" i="17" s="1"/>
  <c r="U24" i="17"/>
  <c r="U380" i="17" s="1"/>
  <c r="AC292" i="17"/>
  <c r="AC24" i="17"/>
  <c r="AC380" i="17" s="1"/>
  <c r="P85" i="17"/>
  <c r="Q85" i="17" s="1"/>
  <c r="R85" i="17" s="1"/>
  <c r="S85" i="17" s="1"/>
  <c r="T85" i="17" s="1"/>
  <c r="U85" i="17" s="1"/>
  <c r="V85" i="17" s="1"/>
  <c r="W85" i="17" s="1"/>
  <c r="U190" i="17"/>
  <c r="U181" i="17"/>
  <c r="U180" i="17"/>
  <c r="U179" i="17"/>
  <c r="U178" i="17"/>
  <c r="U177" i="17"/>
  <c r="U176" i="17"/>
  <c r="U193" i="17"/>
  <c r="U247" i="17"/>
  <c r="U194" i="17"/>
  <c r="U187" i="17"/>
  <c r="U188" i="17"/>
  <c r="U184" i="17"/>
  <c r="U189" i="17"/>
  <c r="U186" i="17"/>
  <c r="U182" i="17"/>
  <c r="U185" i="17"/>
  <c r="U183" i="17"/>
  <c r="U192" i="17"/>
  <c r="N295" i="17"/>
  <c r="O291" i="17"/>
  <c r="O293" i="17" s="1"/>
  <c r="N164" i="17"/>
  <c r="N200" i="17"/>
  <c r="N189" i="17"/>
  <c r="N193" i="17"/>
  <c r="N212" i="17"/>
  <c r="N287" i="17" s="1"/>
  <c r="N247" i="17"/>
  <c r="N183" i="17"/>
  <c r="N192" i="17"/>
  <c r="N188" i="17"/>
  <c r="N185" i="17"/>
  <c r="N176" i="17"/>
  <c r="N179" i="17"/>
  <c r="N194" i="17"/>
  <c r="I118" i="17"/>
  <c r="N187" i="17"/>
  <c r="N177" i="17"/>
  <c r="N180" i="17"/>
  <c r="N190" i="17"/>
  <c r="N186" i="17"/>
  <c r="N184" i="17"/>
  <c r="N205" i="17"/>
  <c r="N181" i="17"/>
  <c r="N178" i="17"/>
  <c r="N124" i="17"/>
  <c r="N16" i="17"/>
  <c r="V247" i="17"/>
  <c r="V189" i="17"/>
  <c r="V192" i="17"/>
  <c r="V190" i="17"/>
  <c r="V194" i="17"/>
  <c r="V188" i="17"/>
  <c r="V181" i="17"/>
  <c r="V186" i="17"/>
  <c r="V178" i="17"/>
  <c r="V176" i="17"/>
  <c r="V185" i="17"/>
  <c r="V179" i="17"/>
  <c r="V183" i="17"/>
  <c r="V177" i="17"/>
  <c r="V187" i="17"/>
  <c r="V180" i="17"/>
  <c r="V16" i="17"/>
  <c r="V372" i="17" s="1"/>
  <c r="V434" i="17" s="1"/>
  <c r="L119" i="17"/>
  <c r="L149" i="17"/>
  <c r="V323" i="17"/>
  <c r="V232" i="17"/>
  <c r="P286" i="17"/>
  <c r="P46" i="17"/>
  <c r="P133" i="17"/>
  <c r="P125" i="17"/>
  <c r="P17" i="17" s="1"/>
  <c r="P373" i="17" s="1"/>
  <c r="Z125" i="17"/>
  <c r="Z17" i="17" s="1"/>
  <c r="Z373" i="17" s="1"/>
  <c r="Z133" i="17"/>
  <c r="S187" i="17"/>
  <c r="W69" i="17"/>
  <c r="W230" i="17" s="1"/>
  <c r="AO72" i="17"/>
  <c r="Q83" i="17"/>
  <c r="R83" i="17" s="1"/>
  <c r="S83" i="17" s="1"/>
  <c r="T83" i="17" s="1"/>
  <c r="U83" i="17" s="1"/>
  <c r="V83" i="17" s="1"/>
  <c r="W83" i="17" s="1"/>
  <c r="X83" i="17" s="1"/>
  <c r="Y83" i="17" s="1"/>
  <c r="Z83" i="17" s="1"/>
  <c r="AA83" i="17" s="1"/>
  <c r="AB83" i="17" s="1"/>
  <c r="AC83" i="17" s="1"/>
  <c r="AC125" i="17"/>
  <c r="AC17" i="17" s="1"/>
  <c r="AC373" i="17" s="1"/>
  <c r="AC133" i="17"/>
  <c r="AC182" i="17"/>
  <c r="AC191" i="17" s="1"/>
  <c r="AC195" i="17" s="1"/>
  <c r="V193" i="17"/>
  <c r="AA73" i="17"/>
  <c r="AJ88" i="17"/>
  <c r="O282" i="17"/>
  <c r="O44" i="17"/>
  <c r="P247" i="17"/>
  <c r="P194" i="17"/>
  <c r="P187" i="17"/>
  <c r="P186" i="17"/>
  <c r="P192" i="17"/>
  <c r="P190" i="17"/>
  <c r="P200" i="17"/>
  <c r="P193" i="17"/>
  <c r="P185" i="17"/>
  <c r="P176" i="17"/>
  <c r="X247" i="17"/>
  <c r="X194" i="17"/>
  <c r="X187" i="17"/>
  <c r="X186" i="17"/>
  <c r="X164" i="17"/>
  <c r="X226" i="17" s="1"/>
  <c r="X189" i="17"/>
  <c r="X192" i="17"/>
  <c r="X190" i="17"/>
  <c r="X184" i="17"/>
  <c r="X125" i="17"/>
  <c r="X17" i="17" s="1"/>
  <c r="X373" i="17" s="1"/>
  <c r="Q160" i="17"/>
  <c r="Q73" i="17"/>
  <c r="Q25" i="17" s="1"/>
  <c r="Q381" i="17" s="1"/>
  <c r="Y160" i="17"/>
  <c r="Y73" i="17"/>
  <c r="Y25" i="17" s="1"/>
  <c r="Y381" i="17" s="1"/>
  <c r="L158" i="17"/>
  <c r="Q176" i="17"/>
  <c r="T177" i="17"/>
  <c r="X178" i="17"/>
  <c r="X181" i="17"/>
  <c r="P182" i="17"/>
  <c r="T183" i="17"/>
  <c r="Q164" i="17"/>
  <c r="Q226" i="17" s="1"/>
  <c r="Q247" i="17"/>
  <c r="Q193" i="17"/>
  <c r="Q185" i="17"/>
  <c r="Q188" i="17"/>
  <c r="Q200" i="17"/>
  <c r="Q177" i="17"/>
  <c r="Y193" i="17"/>
  <c r="Y185" i="17"/>
  <c r="Y194" i="17"/>
  <c r="Y247" i="17"/>
  <c r="Y187" i="17"/>
  <c r="Y192" i="17"/>
  <c r="Y190" i="17"/>
  <c r="Y176" i="17"/>
  <c r="L141" i="17"/>
  <c r="AB176" i="17"/>
  <c r="Y178" i="17"/>
  <c r="Y181" i="17"/>
  <c r="Y184" i="17"/>
  <c r="T185" i="17"/>
  <c r="T179" i="17"/>
  <c r="T188" i="17"/>
  <c r="Q189" i="17"/>
  <c r="Q190" i="17"/>
  <c r="AB193" i="17"/>
  <c r="T176" i="17"/>
  <c r="Q178" i="17"/>
  <c r="AB178" i="17"/>
  <c r="Y180" i="17"/>
  <c r="Q181" i="17"/>
  <c r="Q184" i="17"/>
  <c r="AB184" i="17"/>
  <c r="Q186" i="17"/>
  <c r="T247" i="17"/>
  <c r="T182" i="17"/>
  <c r="T192" i="17"/>
  <c r="T193" i="17"/>
  <c r="T164" i="17"/>
  <c r="T226" i="17" s="1"/>
  <c r="T187" i="17"/>
  <c r="T180" i="17"/>
  <c r="AB247" i="17"/>
  <c r="AB190" i="17"/>
  <c r="AB192" i="17"/>
  <c r="AB194" i="17"/>
  <c r="AB186" i="17"/>
  <c r="AB179" i="17"/>
  <c r="AB124" i="17"/>
  <c r="L150" i="17"/>
  <c r="Y177" i="17"/>
  <c r="AB181" i="17"/>
  <c r="Y183" i="17"/>
  <c r="T186" i="17"/>
  <c r="AB187" i="17"/>
  <c r="Y188" i="17"/>
  <c r="T189" i="17"/>
  <c r="T178" i="17"/>
  <c r="Q180" i="17"/>
  <c r="T184" i="17"/>
  <c r="Q187" i="17"/>
  <c r="AB177" i="17"/>
  <c r="Y179" i="17"/>
  <c r="AB180" i="17"/>
  <c r="T181" i="17"/>
  <c r="X182" i="17"/>
  <c r="Q183" i="17"/>
  <c r="AB183" i="17"/>
  <c r="AB185" i="17"/>
  <c r="AB188" i="17"/>
  <c r="Y189" i="17"/>
  <c r="Q194" i="17"/>
  <c r="O211" i="17"/>
  <c r="O202" i="17"/>
  <c r="O188" i="17"/>
  <c r="W247" i="17"/>
  <c r="W188" i="17"/>
  <c r="W183" i="17"/>
  <c r="O184" i="17"/>
  <c r="W189" i="17"/>
  <c r="O190" i="17"/>
  <c r="O192" i="17"/>
  <c r="O321" i="17"/>
  <c r="P320" i="17"/>
  <c r="N304" i="17"/>
  <c r="L298" i="17"/>
  <c r="O380" i="16"/>
  <c r="R292" i="16"/>
  <c r="R69" i="16"/>
  <c r="R230" i="16" s="1"/>
  <c r="Z292" i="16"/>
  <c r="Z69" i="16"/>
  <c r="Z230" i="16" s="1"/>
  <c r="AR72" i="16"/>
  <c r="AN73" i="16"/>
  <c r="AN74" i="16" s="1"/>
  <c r="AN75" i="16" s="1"/>
  <c r="AN76" i="16" s="1"/>
  <c r="AN77" i="16" s="1"/>
  <c r="AN78" i="16" s="1"/>
  <c r="AN79" i="16" s="1"/>
  <c r="L79" i="16"/>
  <c r="Q85" i="16"/>
  <c r="R85" i="16" s="1"/>
  <c r="S85" i="16" s="1"/>
  <c r="T85" i="16" s="1"/>
  <c r="U85" i="16" s="1"/>
  <c r="V85" i="16" s="1"/>
  <c r="W85" i="16" s="1"/>
  <c r="P205" i="16"/>
  <c r="L30" i="16"/>
  <c r="L63" i="16"/>
  <c r="Y154" i="16"/>
  <c r="Y159" i="16"/>
  <c r="T292" i="16"/>
  <c r="T24" i="16"/>
  <c r="T380" i="16" s="1"/>
  <c r="AB292" i="16"/>
  <c r="AB24" i="16"/>
  <c r="AB380" i="16" s="1"/>
  <c r="V297" i="16"/>
  <c r="V299" i="16" s="1"/>
  <c r="V207" i="16" s="1"/>
  <c r="V49" i="16" s="1"/>
  <c r="N297" i="16"/>
  <c r="X297" i="16"/>
  <c r="X299" i="16" s="1"/>
  <c r="X207" i="16" s="1"/>
  <c r="X49" i="16" s="1"/>
  <c r="P297" i="16"/>
  <c r="P299" i="16" s="1"/>
  <c r="P207" i="16" s="1"/>
  <c r="P49" i="16" s="1"/>
  <c r="Y297" i="16"/>
  <c r="Y299" i="16" s="1"/>
  <c r="Y207" i="16" s="1"/>
  <c r="Y49" i="16" s="1"/>
  <c r="W297" i="16"/>
  <c r="W299" i="16" s="1"/>
  <c r="W207" i="16" s="1"/>
  <c r="W49" i="16" s="1"/>
  <c r="AA297" i="16"/>
  <c r="AA299" i="16" s="1"/>
  <c r="AA207" i="16" s="1"/>
  <c r="AA49" i="16" s="1"/>
  <c r="Q297" i="16"/>
  <c r="Q299" i="16" s="1"/>
  <c r="Q207" i="16" s="1"/>
  <c r="Q49" i="16" s="1"/>
  <c r="R297" i="16"/>
  <c r="R299" i="16" s="1"/>
  <c r="R207" i="16" s="1"/>
  <c r="R49" i="16" s="1"/>
  <c r="O297" i="16"/>
  <c r="O299" i="16" s="1"/>
  <c r="O207" i="16" s="1"/>
  <c r="O49" i="16" s="1"/>
  <c r="AC297" i="16"/>
  <c r="AC299" i="16" s="1"/>
  <c r="AC207" i="16" s="1"/>
  <c r="AC49" i="16" s="1"/>
  <c r="Z297" i="16"/>
  <c r="Z299" i="16" s="1"/>
  <c r="Z207" i="16" s="1"/>
  <c r="Z49" i="16" s="1"/>
  <c r="U297" i="16"/>
  <c r="U299" i="16" s="1"/>
  <c r="U207" i="16" s="1"/>
  <c r="U49" i="16" s="1"/>
  <c r="T297" i="16"/>
  <c r="T299" i="16" s="1"/>
  <c r="T207" i="16" s="1"/>
  <c r="T49" i="16" s="1"/>
  <c r="AB297" i="16"/>
  <c r="AB299" i="16" s="1"/>
  <c r="AB207" i="16" s="1"/>
  <c r="AB49" i="16" s="1"/>
  <c r="S297" i="16"/>
  <c r="S299" i="16" s="1"/>
  <c r="S207" i="16" s="1"/>
  <c r="S49" i="16" s="1"/>
  <c r="L74" i="16"/>
  <c r="P204" i="16"/>
  <c r="L84" i="16"/>
  <c r="Q84" i="16"/>
  <c r="R84" i="16" s="1"/>
  <c r="S84" i="16" s="1"/>
  <c r="T84" i="16" s="1"/>
  <c r="U84" i="16" s="1"/>
  <c r="V84" i="16" s="1"/>
  <c r="W84" i="16" s="1"/>
  <c r="X84" i="16" s="1"/>
  <c r="Y84" i="16" s="1"/>
  <c r="Z84" i="16" s="1"/>
  <c r="AA84" i="16" s="1"/>
  <c r="AB84" i="16" s="1"/>
  <c r="AC84" i="16" s="1"/>
  <c r="Q323" i="16"/>
  <c r="P94" i="16"/>
  <c r="Q94" i="16" s="1"/>
  <c r="R94" i="16" s="1"/>
  <c r="S94" i="16" s="1"/>
  <c r="T94" i="16" s="1"/>
  <c r="U94" i="16" s="1"/>
  <c r="V94" i="16" s="1"/>
  <c r="W94" i="16" s="1"/>
  <c r="X94" i="16" s="1"/>
  <c r="Y94" i="16" s="1"/>
  <c r="Z94" i="16" s="1"/>
  <c r="AA94" i="16" s="1"/>
  <c r="AB94" i="16" s="1"/>
  <c r="AC94" i="16" s="1"/>
  <c r="O387" i="16"/>
  <c r="N433" i="16"/>
  <c r="N367" i="16"/>
  <c r="N223" i="16"/>
  <c r="N258" i="16"/>
  <c r="N277" i="16"/>
  <c r="N307" i="16"/>
  <c r="N197" i="16"/>
  <c r="N173" i="16"/>
  <c r="N243" i="16"/>
  <c r="O11" i="16"/>
  <c r="O91" i="16" s="1"/>
  <c r="N113" i="16"/>
  <c r="N51" i="16"/>
  <c r="R24" i="16"/>
  <c r="R380" i="16" s="1"/>
  <c r="S232" i="16"/>
  <c r="S323" i="16"/>
  <c r="P82" i="16"/>
  <c r="P292" i="16"/>
  <c r="P69" i="16"/>
  <c r="P230" i="16" s="1"/>
  <c r="L70" i="16"/>
  <c r="P24" i="16"/>
  <c r="P380" i="16" s="1"/>
  <c r="X292" i="16"/>
  <c r="X24" i="16"/>
  <c r="X380" i="16" s="1"/>
  <c r="AJ80" i="16"/>
  <c r="AO72" i="16"/>
  <c r="L95" i="16"/>
  <c r="R125" i="16"/>
  <c r="R17" i="16" s="1"/>
  <c r="R373" i="16" s="1"/>
  <c r="R133" i="16"/>
  <c r="AC153" i="16"/>
  <c r="AC138" i="16"/>
  <c r="AC143" i="16" s="1"/>
  <c r="Q83" i="16"/>
  <c r="R83" i="16" s="1"/>
  <c r="S83" i="16" s="1"/>
  <c r="T83" i="16" s="1"/>
  <c r="U83" i="16" s="1"/>
  <c r="V83" i="16" s="1"/>
  <c r="W83" i="16" s="1"/>
  <c r="X83" i="16" s="1"/>
  <c r="Y83" i="16" s="1"/>
  <c r="Z83" i="16" s="1"/>
  <c r="AA83" i="16" s="1"/>
  <c r="AB83" i="16" s="1"/>
  <c r="AC83" i="16" s="1"/>
  <c r="L83" i="16" s="1"/>
  <c r="P203" i="16"/>
  <c r="N399" i="16"/>
  <c r="K124" i="16"/>
  <c r="L135" i="16"/>
  <c r="L127" i="16"/>
  <c r="L184" i="16" s="1"/>
  <c r="L122" i="16"/>
  <c r="K116" i="16"/>
  <c r="L151" i="16"/>
  <c r="P31" i="16"/>
  <c r="P387" i="16" s="1"/>
  <c r="AL80" i="16"/>
  <c r="N73" i="16"/>
  <c r="V73" i="16"/>
  <c r="S193" i="16"/>
  <c r="S185" i="16"/>
  <c r="S192" i="16"/>
  <c r="S184" i="16"/>
  <c r="S247" i="16"/>
  <c r="S188" i="16"/>
  <c r="S178" i="16"/>
  <c r="S190" i="16"/>
  <c r="S187" i="16"/>
  <c r="S124" i="16"/>
  <c r="S179" i="16"/>
  <c r="AA193" i="16"/>
  <c r="AA185" i="16"/>
  <c r="AA247" i="16"/>
  <c r="AA192" i="16"/>
  <c r="AA184" i="16"/>
  <c r="AA188" i="16"/>
  <c r="AA179" i="16"/>
  <c r="AA124" i="16"/>
  <c r="AA182" i="16" s="1"/>
  <c r="AA186" i="16"/>
  <c r="U124" i="16"/>
  <c r="U182" i="16" s="1"/>
  <c r="X138" i="16"/>
  <c r="X143" i="16" s="1"/>
  <c r="S183" i="16"/>
  <c r="U186" i="16"/>
  <c r="AA187" i="16"/>
  <c r="S194" i="16"/>
  <c r="AO85" i="16"/>
  <c r="I118" i="16"/>
  <c r="T247" i="16"/>
  <c r="T205" i="16"/>
  <c r="T192" i="16"/>
  <c r="T184" i="16"/>
  <c r="T183" i="16"/>
  <c r="T194" i="16"/>
  <c r="T187" i="16"/>
  <c r="T186" i="16"/>
  <c r="T190" i="16"/>
  <c r="T124" i="16"/>
  <c r="T181" i="16"/>
  <c r="T177" i="16"/>
  <c r="T188" i="16"/>
  <c r="T185" i="16"/>
  <c r="AB247" i="16"/>
  <c r="AB192" i="16"/>
  <c r="AB184" i="16"/>
  <c r="AB183" i="16"/>
  <c r="AB194" i="16"/>
  <c r="AB187" i="16"/>
  <c r="AB186" i="16"/>
  <c r="AB179" i="16"/>
  <c r="AB124" i="16"/>
  <c r="AB182" i="16" s="1"/>
  <c r="AB188" i="16"/>
  <c r="AB185" i="16"/>
  <c r="AB189" i="16"/>
  <c r="AB180" i="16"/>
  <c r="AB176" i="16"/>
  <c r="L131" i="16"/>
  <c r="L189" i="16" s="1"/>
  <c r="Y138" i="16"/>
  <c r="Y143" i="16" s="1"/>
  <c r="V183" i="16"/>
  <c r="Q81" i="16"/>
  <c r="R81" i="16" s="1"/>
  <c r="S81" i="16" s="1"/>
  <c r="T81" i="16" s="1"/>
  <c r="U81" i="16" s="1"/>
  <c r="V81" i="16" s="1"/>
  <c r="W81" i="16" s="1"/>
  <c r="X81" i="16" s="1"/>
  <c r="Y81" i="16" s="1"/>
  <c r="Z81" i="16" s="1"/>
  <c r="AA81" i="16" s="1"/>
  <c r="AB81" i="16" s="1"/>
  <c r="AC81" i="16" s="1"/>
  <c r="AO84" i="16"/>
  <c r="U183" i="16"/>
  <c r="U164" i="16"/>
  <c r="U226" i="16" s="1"/>
  <c r="U193" i="16"/>
  <c r="U185" i="16"/>
  <c r="U187" i="16"/>
  <c r="U184" i="16"/>
  <c r="U181" i="16"/>
  <c r="U177" i="16"/>
  <c r="U192" i="16"/>
  <c r="U247" i="16"/>
  <c r="U178" i="16"/>
  <c r="K142" i="16"/>
  <c r="O203" i="16"/>
  <c r="O204" i="16"/>
  <c r="O211" i="16"/>
  <c r="N164" i="16"/>
  <c r="N247" i="16"/>
  <c r="N212" i="16"/>
  <c r="N190" i="16"/>
  <c r="N181" i="16"/>
  <c r="N180" i="16"/>
  <c r="N179" i="16"/>
  <c r="N178" i="16"/>
  <c r="N177" i="16"/>
  <c r="N176" i="16"/>
  <c r="N192" i="16"/>
  <c r="N184" i="16"/>
  <c r="N183" i="16"/>
  <c r="N205" i="16"/>
  <c r="N200" i="16"/>
  <c r="N188" i="16"/>
  <c r="N189" i="16"/>
  <c r="N186" i="16"/>
  <c r="N124" i="16"/>
  <c r="V190" i="16"/>
  <c r="V181" i="16"/>
  <c r="V180" i="16"/>
  <c r="V179" i="16"/>
  <c r="V178" i="16"/>
  <c r="V177" i="16"/>
  <c r="V176" i="16"/>
  <c r="V192" i="16"/>
  <c r="V184" i="16"/>
  <c r="V189" i="16"/>
  <c r="V186" i="16"/>
  <c r="V247" i="16"/>
  <c r="V164" i="16"/>
  <c r="V226" i="16" s="1"/>
  <c r="V193" i="16"/>
  <c r="V124" i="16"/>
  <c r="V182" i="16" s="1"/>
  <c r="L158" i="16"/>
  <c r="T176" i="16"/>
  <c r="AB178" i="16"/>
  <c r="Y182" i="16"/>
  <c r="N187" i="16"/>
  <c r="U190" i="16"/>
  <c r="X154" i="16"/>
  <c r="U176" i="16"/>
  <c r="AB177" i="16"/>
  <c r="Z182" i="16"/>
  <c r="U188" i="16"/>
  <c r="T189" i="16"/>
  <c r="AB193" i="16"/>
  <c r="O201" i="16"/>
  <c r="L386" i="16"/>
  <c r="Q204" i="16"/>
  <c r="AJ88" i="16"/>
  <c r="N295" i="16"/>
  <c r="O291" i="16"/>
  <c r="O293" i="16" s="1"/>
  <c r="R78" i="16"/>
  <c r="R200" i="16" s="1"/>
  <c r="P100" i="16"/>
  <c r="AC182" i="16"/>
  <c r="AC191" i="16" s="1"/>
  <c r="AC195" i="16" s="1"/>
  <c r="AC125" i="16"/>
  <c r="AC17" i="16" s="1"/>
  <c r="AC373" i="16" s="1"/>
  <c r="X125" i="16"/>
  <c r="X17" i="16" s="1"/>
  <c r="X373" i="16" s="1"/>
  <c r="L129" i="16"/>
  <c r="L186" i="16" s="1"/>
  <c r="Z133" i="16"/>
  <c r="AA176" i="16"/>
  <c r="T180" i="16"/>
  <c r="AA181" i="16"/>
  <c r="N185" i="16"/>
  <c r="V188" i="16"/>
  <c r="U189" i="16"/>
  <c r="AA190" i="16"/>
  <c r="P12" i="16"/>
  <c r="N16" i="16"/>
  <c r="V16" i="16"/>
  <c r="V372" i="16" s="1"/>
  <c r="V434" i="16" s="1"/>
  <c r="U24" i="16"/>
  <c r="U380" i="16" s="1"/>
  <c r="AC24" i="16"/>
  <c r="AC380" i="16" s="1"/>
  <c r="P402" i="16"/>
  <c r="P449" i="16"/>
  <c r="T73" i="16"/>
  <c r="T25" i="16" s="1"/>
  <c r="T381" i="16" s="1"/>
  <c r="AB73" i="16"/>
  <c r="P89" i="16"/>
  <c r="N109" i="16"/>
  <c r="Q247" i="16"/>
  <c r="Q200" i="16"/>
  <c r="Q164" i="16"/>
  <c r="Q226" i="16" s="1"/>
  <c r="Q188" i="16"/>
  <c r="Q194" i="16"/>
  <c r="Q187" i="16"/>
  <c r="Q186" i="16"/>
  <c r="Q190" i="16"/>
  <c r="Q181" i="16"/>
  <c r="Q180" i="16"/>
  <c r="Q179" i="16"/>
  <c r="Q178" i="16"/>
  <c r="Q177" i="16"/>
  <c r="Q176" i="16"/>
  <c r="Q193" i="16"/>
  <c r="Q183" i="16"/>
  <c r="Y164" i="16"/>
  <c r="Y226" i="16" s="1"/>
  <c r="Y247" i="16"/>
  <c r="Y188" i="16"/>
  <c r="Y194" i="16"/>
  <c r="Y187" i="16"/>
  <c r="Y186" i="16"/>
  <c r="Y190" i="16"/>
  <c r="Y181" i="16"/>
  <c r="Y180" i="16"/>
  <c r="Y179" i="16"/>
  <c r="Y178" i="16"/>
  <c r="Y177" i="16"/>
  <c r="Y176" i="16"/>
  <c r="Y189" i="16"/>
  <c r="Y183" i="16"/>
  <c r="Y192" i="16"/>
  <c r="Q124" i="16"/>
  <c r="Q182" i="16" s="1"/>
  <c r="Y125" i="16"/>
  <c r="Y17" i="16" s="1"/>
  <c r="Y373" i="16" s="1"/>
  <c r="T179" i="16"/>
  <c r="U180" i="16"/>
  <c r="AB181" i="16"/>
  <c r="Q185" i="16"/>
  <c r="V187" i="16"/>
  <c r="AA189" i="16"/>
  <c r="AB190" i="16"/>
  <c r="N193" i="16"/>
  <c r="N194" i="16"/>
  <c r="R164" i="16"/>
  <c r="R226" i="16" s="1"/>
  <c r="R247" i="16"/>
  <c r="R194" i="16"/>
  <c r="R187" i="16"/>
  <c r="R186" i="16"/>
  <c r="R193" i="16"/>
  <c r="R185" i="16"/>
  <c r="R189" i="16"/>
  <c r="Z247" i="16"/>
  <c r="Z194" i="16"/>
  <c r="Z187" i="16"/>
  <c r="Z186" i="16"/>
  <c r="Z193" i="16"/>
  <c r="Z185" i="16"/>
  <c r="Z189" i="16"/>
  <c r="P176" i="16"/>
  <c r="Z177" i="16"/>
  <c r="P180" i="16"/>
  <c r="Z181" i="16"/>
  <c r="X184" i="16"/>
  <c r="X190" i="16"/>
  <c r="L236" i="16"/>
  <c r="L298" i="16"/>
  <c r="P301" i="16"/>
  <c r="P303" i="16" s="1"/>
  <c r="O164" i="16"/>
  <c r="O226" i="16" s="1"/>
  <c r="O247" i="16"/>
  <c r="O190" i="16"/>
  <c r="O181" i="16"/>
  <c r="O180" i="16"/>
  <c r="O179" i="16"/>
  <c r="O178" i="16"/>
  <c r="O177" i="16"/>
  <c r="O176" i="16"/>
  <c r="O189" i="16"/>
  <c r="O200" i="16"/>
  <c r="O183" i="16"/>
  <c r="W190" i="16"/>
  <c r="W181" i="16"/>
  <c r="W180" i="16"/>
  <c r="W179" i="16"/>
  <c r="W178" i="16"/>
  <c r="W177" i="16"/>
  <c r="W176" i="16"/>
  <c r="W189" i="16"/>
  <c r="W183" i="16"/>
  <c r="L156" i="16"/>
  <c r="X176" i="16"/>
  <c r="R178" i="16"/>
  <c r="R184" i="16"/>
  <c r="O185" i="16"/>
  <c r="W194" i="16"/>
  <c r="W247" i="16"/>
  <c r="P164" i="16"/>
  <c r="P226" i="16" s="1"/>
  <c r="P189" i="16"/>
  <c r="P188" i="16"/>
  <c r="X189" i="16"/>
  <c r="X188" i="16"/>
  <c r="X182" i="16"/>
  <c r="L157" i="16"/>
  <c r="Z176" i="16"/>
  <c r="P179" i="16"/>
  <c r="Z180" i="16"/>
  <c r="R182" i="16"/>
  <c r="Z183" i="16"/>
  <c r="P185" i="16"/>
  <c r="W186" i="16"/>
  <c r="O188" i="16"/>
  <c r="W192" i="16"/>
  <c r="X194" i="16"/>
  <c r="P200" i="16"/>
  <c r="O205" i="16"/>
  <c r="X247" i="16"/>
  <c r="P321" i="16"/>
  <c r="Q320" i="16"/>
  <c r="Y182" i="17" l="1"/>
  <c r="N41" i="17"/>
  <c r="R211" i="17"/>
  <c r="P69" i="17"/>
  <c r="P230" i="17" s="1"/>
  <c r="L88" i="17"/>
  <c r="S323" i="17"/>
  <c r="W125" i="16"/>
  <c r="W17" i="16" s="1"/>
  <c r="W373" i="16" s="1"/>
  <c r="O69" i="16"/>
  <c r="O230" i="16" s="1"/>
  <c r="W25" i="16"/>
  <c r="W381" i="16" s="1"/>
  <c r="X69" i="17"/>
  <c r="X230" i="17" s="1"/>
  <c r="W182" i="16"/>
  <c r="X191" i="17"/>
  <c r="X195" i="17" s="1"/>
  <c r="AC69" i="17"/>
  <c r="AC230" i="17" s="1"/>
  <c r="AC232" i="17" s="1"/>
  <c r="Z69" i="17"/>
  <c r="Z230" i="17" s="1"/>
  <c r="Q375" i="17"/>
  <c r="L160" i="17"/>
  <c r="V138" i="17"/>
  <c r="V143" i="17" s="1"/>
  <c r="V144" i="17" s="1"/>
  <c r="Y232" i="16"/>
  <c r="N449" i="16"/>
  <c r="Y19" i="16"/>
  <c r="AC232" i="16"/>
  <c r="L167" i="16"/>
  <c r="Y375" i="16"/>
  <c r="O304" i="16"/>
  <c r="O168" i="16" s="1"/>
  <c r="R205" i="16"/>
  <c r="R284" i="16" s="1"/>
  <c r="L380" i="16"/>
  <c r="V356" i="16" s="1"/>
  <c r="N41" i="16"/>
  <c r="U205" i="16"/>
  <c r="P42" i="17"/>
  <c r="P398" i="17" s="1"/>
  <c r="Q125" i="17"/>
  <c r="Q17" i="17" s="1"/>
  <c r="Q373" i="17" s="1"/>
  <c r="V182" i="17"/>
  <c r="Q138" i="17"/>
  <c r="Q143" i="17" s="1"/>
  <c r="N214" i="17"/>
  <c r="Q159" i="17"/>
  <c r="Q154" i="17"/>
  <c r="Q182" i="17"/>
  <c r="V125" i="17"/>
  <c r="V17" i="17" s="1"/>
  <c r="V373" i="17" s="1"/>
  <c r="Q81" i="17"/>
  <c r="R81" i="17" s="1"/>
  <c r="L128" i="16"/>
  <c r="L185" i="16" s="1"/>
  <c r="L119" i="16"/>
  <c r="L126" i="16"/>
  <c r="L183" i="16" s="1"/>
  <c r="U69" i="16"/>
  <c r="U230" i="16" s="1"/>
  <c r="U232" i="16" s="1"/>
  <c r="L94" i="16"/>
  <c r="L137" i="16"/>
  <c r="L194" i="16" s="1"/>
  <c r="L148" i="16"/>
  <c r="L141" i="16"/>
  <c r="L130" i="16"/>
  <c r="L188" i="16" s="1"/>
  <c r="Q201" i="16"/>
  <c r="L123" i="16"/>
  <c r="L152" i="16"/>
  <c r="L140" i="16"/>
  <c r="L132" i="16"/>
  <c r="L190" i="16" s="1"/>
  <c r="L88" i="16"/>
  <c r="AA69" i="16"/>
  <c r="AA230" i="16" s="1"/>
  <c r="L139" i="16"/>
  <c r="L149" i="16"/>
  <c r="Q191" i="16"/>
  <c r="Q195" i="16" s="1"/>
  <c r="Q211" i="16"/>
  <c r="Q286" i="16" s="1"/>
  <c r="P125" i="16"/>
  <c r="P17" i="16" s="1"/>
  <c r="P373" i="16" s="1"/>
  <c r="L81" i="16"/>
  <c r="L161" i="16"/>
  <c r="L120" i="16"/>
  <c r="P182" i="16"/>
  <c r="L134" i="16"/>
  <c r="L192" i="16" s="1"/>
  <c r="L176" i="16"/>
  <c r="L136" i="16"/>
  <c r="P287" i="17"/>
  <c r="P282" i="17"/>
  <c r="P44" i="17"/>
  <c r="P400" i="17" s="1"/>
  <c r="O191" i="17"/>
  <c r="O195" i="17" s="1"/>
  <c r="L123" i="17"/>
  <c r="Q84" i="17"/>
  <c r="Q204" i="17" s="1"/>
  <c r="L95" i="17"/>
  <c r="K124" i="17"/>
  <c r="K133" i="17" s="1"/>
  <c r="I133" i="17" s="1"/>
  <c r="L156" i="17"/>
  <c r="O284" i="17"/>
  <c r="O48" i="17"/>
  <c r="W191" i="17"/>
  <c r="W195" i="17" s="1"/>
  <c r="L131" i="17"/>
  <c r="L189" i="17" s="1"/>
  <c r="L161" i="17"/>
  <c r="L132" i="17"/>
  <c r="L190" i="17" s="1"/>
  <c r="L151" i="17"/>
  <c r="R191" i="17"/>
  <c r="R195" i="17" s="1"/>
  <c r="L152" i="17"/>
  <c r="P109" i="17"/>
  <c r="L128" i="17"/>
  <c r="L185" i="17" s="1"/>
  <c r="L176" i="17"/>
  <c r="P301" i="17"/>
  <c r="O213" i="17"/>
  <c r="O309" i="17" s="1"/>
  <c r="AB69" i="17"/>
  <c r="AB230" i="17" s="1"/>
  <c r="L120" i="17"/>
  <c r="L126" i="17"/>
  <c r="L183" i="17" s="1"/>
  <c r="L135" i="17"/>
  <c r="O125" i="17"/>
  <c r="O17" i="17" s="1"/>
  <c r="O373" i="17" s="1"/>
  <c r="O133" i="17"/>
  <c r="T25" i="17"/>
  <c r="T381" i="17" s="1"/>
  <c r="T69" i="17"/>
  <c r="T230" i="17" s="1"/>
  <c r="L142" i="17"/>
  <c r="L122" i="17"/>
  <c r="Q89" i="17"/>
  <c r="Q212" i="17" s="1"/>
  <c r="L121" i="17"/>
  <c r="L157" i="17"/>
  <c r="L129" i="17"/>
  <c r="L186" i="17" s="1"/>
  <c r="V205" i="17"/>
  <c r="V284" i="17" s="1"/>
  <c r="L137" i="17"/>
  <c r="L194" i="17" s="1"/>
  <c r="L130" i="17"/>
  <c r="L188" i="17" s="1"/>
  <c r="L140" i="17"/>
  <c r="X153" i="17"/>
  <c r="X138" i="17"/>
  <c r="X143" i="17" s="1"/>
  <c r="L134" i="17"/>
  <c r="L139" i="17"/>
  <c r="W133" i="17"/>
  <c r="W125" i="17"/>
  <c r="W17" i="17" s="1"/>
  <c r="W373" i="17" s="1"/>
  <c r="AB191" i="16"/>
  <c r="AB195" i="16" s="1"/>
  <c r="X69" i="16"/>
  <c r="X230" i="16" s="1"/>
  <c r="L31" i="16"/>
  <c r="P153" i="16"/>
  <c r="P138" i="16"/>
  <c r="P143" i="16" s="1"/>
  <c r="L387" i="16"/>
  <c r="O182" i="16"/>
  <c r="O191" i="16" s="1"/>
  <c r="O195" i="16" s="1"/>
  <c r="O133" i="16"/>
  <c r="O125" i="16"/>
  <c r="O17" i="16" s="1"/>
  <c r="O373" i="16" s="1"/>
  <c r="W153" i="16"/>
  <c r="W138" i="16"/>
  <c r="W143" i="16" s="1"/>
  <c r="X159" i="16"/>
  <c r="X18" i="16"/>
  <c r="L150" i="16"/>
  <c r="Z138" i="17"/>
  <c r="Z143" i="17" s="1"/>
  <c r="Z153" i="17"/>
  <c r="N133" i="17"/>
  <c r="N125" i="17"/>
  <c r="N17" i="17" s="1"/>
  <c r="N373" i="17" s="1"/>
  <c r="W205" i="17"/>
  <c r="X85" i="17"/>
  <c r="S205" i="17"/>
  <c r="V405" i="17"/>
  <c r="V452" i="17"/>
  <c r="T405" i="17"/>
  <c r="T452" i="17"/>
  <c r="Y153" i="17"/>
  <c r="Y138" i="17"/>
  <c r="Y143" i="17" s="1"/>
  <c r="P202" i="17"/>
  <c r="Q82" i="17"/>
  <c r="R323" i="17"/>
  <c r="R232" i="17"/>
  <c r="U138" i="17"/>
  <c r="U143" i="17" s="1"/>
  <c r="U153" i="17"/>
  <c r="P205" i="17"/>
  <c r="O168" i="17"/>
  <c r="N226" i="17"/>
  <c r="L226" i="17" s="1"/>
  <c r="K164" i="17"/>
  <c r="L164" i="17" s="1"/>
  <c r="L83" i="17"/>
  <c r="AA191" i="17"/>
  <c r="AA195" i="17" s="1"/>
  <c r="AA133" i="17"/>
  <c r="AA125" i="17"/>
  <c r="AA17" i="17" s="1"/>
  <c r="AA373" i="17" s="1"/>
  <c r="S191" i="17"/>
  <c r="S195" i="17" s="1"/>
  <c r="R286" i="17"/>
  <c r="R46" i="17"/>
  <c r="Z405" i="17"/>
  <c r="Z452" i="17"/>
  <c r="AB405" i="17"/>
  <c r="AB452" i="17"/>
  <c r="AB133" i="17"/>
  <c r="AB125" i="17"/>
  <c r="AB17" i="17" s="1"/>
  <c r="AB373" i="17" s="1"/>
  <c r="AB182" i="17"/>
  <c r="AB191" i="17" s="1"/>
  <c r="AB195" i="17" s="1"/>
  <c r="P279" i="17"/>
  <c r="P108" i="17"/>
  <c r="P40" i="17"/>
  <c r="V441" i="17"/>
  <c r="V263" i="17"/>
  <c r="V54" i="17"/>
  <c r="I161" i="17"/>
  <c r="I140" i="17"/>
  <c r="I134" i="17"/>
  <c r="I139" i="17"/>
  <c r="I114" i="17"/>
  <c r="I137" i="17"/>
  <c r="I130" i="17"/>
  <c r="I119" i="17"/>
  <c r="I142" i="17"/>
  <c r="I160" i="17"/>
  <c r="O295" i="17"/>
  <c r="P291" i="17"/>
  <c r="P293" i="17" s="1"/>
  <c r="S441" i="17"/>
  <c r="S263" i="17"/>
  <c r="S54" i="17"/>
  <c r="R203" i="17"/>
  <c r="N299" i="17"/>
  <c r="N207" i="17" s="1"/>
  <c r="N49" i="17" s="1"/>
  <c r="L297" i="17"/>
  <c r="K298" i="17" s="1"/>
  <c r="K297" i="17" s="1"/>
  <c r="K49" i="17" s="1"/>
  <c r="O405" i="17"/>
  <c r="O452" i="17"/>
  <c r="R205" i="17"/>
  <c r="Q203" i="17"/>
  <c r="Y69" i="17"/>
  <c r="Y230" i="17" s="1"/>
  <c r="L193" i="17"/>
  <c r="N168" i="17"/>
  <c r="T191" i="17"/>
  <c r="T195" i="17" s="1"/>
  <c r="Q205" i="17"/>
  <c r="O400" i="17"/>
  <c r="AP82" i="17"/>
  <c r="AP72" i="17"/>
  <c r="AP74" i="17"/>
  <c r="AP78" i="17"/>
  <c r="AP75" i="17"/>
  <c r="AP73" i="17"/>
  <c r="AP76" i="17"/>
  <c r="AP83" i="17"/>
  <c r="AP77" i="17"/>
  <c r="AP85" i="17"/>
  <c r="AP79" i="17"/>
  <c r="AO80" i="17" s="1"/>
  <c r="AP80" i="17" s="1"/>
  <c r="AP87" i="17"/>
  <c r="AO88" i="17" s="1"/>
  <c r="AP88" i="17" s="1"/>
  <c r="AP86" i="17"/>
  <c r="AP84" i="17"/>
  <c r="N208" i="17"/>
  <c r="N60" i="17"/>
  <c r="AS72" i="17"/>
  <c r="AS73" i="17" s="1"/>
  <c r="AS74" i="17" s="1"/>
  <c r="P283" i="17"/>
  <c r="P45" i="17"/>
  <c r="P401" i="17" s="1"/>
  <c r="AA452" i="17"/>
  <c r="AA405" i="17"/>
  <c r="W405" i="17"/>
  <c r="W452" i="17"/>
  <c r="Z191" i="17"/>
  <c r="Z195" i="17" s="1"/>
  <c r="R125" i="17"/>
  <c r="R17" i="17" s="1"/>
  <c r="R373" i="17" s="1"/>
  <c r="R133" i="17"/>
  <c r="Q286" i="17"/>
  <c r="Q46" i="17"/>
  <c r="O323" i="17"/>
  <c r="O232" i="17"/>
  <c r="T138" i="17"/>
  <c r="T143" i="17" s="1"/>
  <c r="T153" i="17"/>
  <c r="O367" i="17"/>
  <c r="O433" i="17"/>
  <c r="O223" i="17"/>
  <c r="O307" i="17"/>
  <c r="O258" i="17"/>
  <c r="O197" i="17"/>
  <c r="O243" i="17"/>
  <c r="O277" i="17"/>
  <c r="O173" i="17"/>
  <c r="O113" i="17"/>
  <c r="O51" i="17"/>
  <c r="O67" i="17"/>
  <c r="P11" i="17"/>
  <c r="P91" i="17" s="1"/>
  <c r="P368" i="17"/>
  <c r="Q12" i="17"/>
  <c r="P153" i="17"/>
  <c r="P138" i="17"/>
  <c r="P143" i="17" s="1"/>
  <c r="N284" i="17"/>
  <c r="N48" i="17"/>
  <c r="L247" i="17"/>
  <c r="Q320" i="17"/>
  <c r="P321" i="17"/>
  <c r="AC138" i="17"/>
  <c r="AC143" i="17" s="1"/>
  <c r="AC153" i="17"/>
  <c r="W323" i="17"/>
  <c r="W232" i="17"/>
  <c r="U191" i="17"/>
  <c r="U195" i="17" s="1"/>
  <c r="O279" i="17"/>
  <c r="O108" i="17"/>
  <c r="O40" i="17"/>
  <c r="X452" i="17"/>
  <c r="X405" i="17"/>
  <c r="R405" i="17"/>
  <c r="R452" i="17"/>
  <c r="AR75" i="17"/>
  <c r="K125" i="17"/>
  <c r="L17" i="17" s="1"/>
  <c r="L94" i="17"/>
  <c r="U205" i="17"/>
  <c r="U452" i="17"/>
  <c r="U405" i="17"/>
  <c r="S452" i="17"/>
  <c r="S405" i="17"/>
  <c r="R200" i="17"/>
  <c r="R100" i="17"/>
  <c r="L79" i="17"/>
  <c r="P191" i="17"/>
  <c r="P195" i="17" s="1"/>
  <c r="AA69" i="17"/>
  <c r="AA230" i="17" s="1"/>
  <c r="AA25" i="17"/>
  <c r="AA381" i="17" s="1"/>
  <c r="P402" i="17"/>
  <c r="P449" i="17"/>
  <c r="Q69" i="17"/>
  <c r="Q230" i="17" s="1"/>
  <c r="S211" i="17"/>
  <c r="S203" i="17"/>
  <c r="T78" i="17"/>
  <c r="P452" i="17"/>
  <c r="P405" i="17"/>
  <c r="Q405" i="17"/>
  <c r="Q452" i="17"/>
  <c r="O401" i="17"/>
  <c r="N323" i="17"/>
  <c r="N232" i="17"/>
  <c r="L73" i="17"/>
  <c r="L24" i="17"/>
  <c r="P356" i="17" s="1"/>
  <c r="O281" i="17"/>
  <c r="O43" i="17"/>
  <c r="T205" i="17"/>
  <c r="Q191" i="17"/>
  <c r="Q195" i="17" s="1"/>
  <c r="Q279" i="17"/>
  <c r="Q40" i="17"/>
  <c r="Q108" i="17"/>
  <c r="V191" i="17"/>
  <c r="V195" i="17" s="1"/>
  <c r="N182" i="17"/>
  <c r="N191" i="17" s="1"/>
  <c r="N195" i="17" s="1"/>
  <c r="N397" i="17"/>
  <c r="N448" i="17"/>
  <c r="O214" i="17"/>
  <c r="O286" i="17"/>
  <c r="O46" i="17"/>
  <c r="S352" i="17"/>
  <c r="P354" i="17"/>
  <c r="L315" i="17"/>
  <c r="N372" i="17"/>
  <c r="Y352" i="17"/>
  <c r="K16" i="17"/>
  <c r="L16" i="17"/>
  <c r="P353" i="17" s="1"/>
  <c r="N279" i="17"/>
  <c r="N108" i="17"/>
  <c r="N40" i="17"/>
  <c r="Y191" i="17"/>
  <c r="Y195" i="17" s="1"/>
  <c r="U232" i="17"/>
  <c r="U323" i="17"/>
  <c r="S133" i="17"/>
  <c r="S125" i="17"/>
  <c r="S17" i="17" s="1"/>
  <c r="S373" i="17" s="1"/>
  <c r="S200" i="17"/>
  <c r="AC452" i="17"/>
  <c r="AC405" i="17"/>
  <c r="Y405" i="17"/>
  <c r="Y452" i="17"/>
  <c r="N381" i="17"/>
  <c r="V154" i="17"/>
  <c r="V159" i="17"/>
  <c r="V18" i="17"/>
  <c r="L380" i="17"/>
  <c r="V356" i="17" s="1"/>
  <c r="O279" i="16"/>
  <c r="O108" i="16"/>
  <c r="O40" i="16"/>
  <c r="Q279" i="16"/>
  <c r="Q108" i="16"/>
  <c r="Q40" i="16"/>
  <c r="Q283" i="16"/>
  <c r="Q45" i="16"/>
  <c r="Q401" i="16" s="1"/>
  <c r="V191" i="16"/>
  <c r="V195" i="16" s="1"/>
  <c r="O286" i="16"/>
  <c r="O214" i="16"/>
  <c r="O46" i="16"/>
  <c r="X162" i="16"/>
  <c r="X144" i="16"/>
  <c r="L193" i="16"/>
  <c r="AC18" i="16"/>
  <c r="AC159" i="16"/>
  <c r="AC154" i="16"/>
  <c r="P202" i="16"/>
  <c r="Q82" i="16"/>
  <c r="O277" i="16"/>
  <c r="O367" i="16"/>
  <c r="O307" i="16"/>
  <c r="O433" i="16"/>
  <c r="O197" i="16"/>
  <c r="O173" i="16"/>
  <c r="O258" i="16"/>
  <c r="O223" i="16"/>
  <c r="O243" i="16"/>
  <c r="O113" i="16"/>
  <c r="P11" i="16"/>
  <c r="P91" i="16" s="1"/>
  <c r="O67" i="16"/>
  <c r="O51" i="16"/>
  <c r="O452" i="16"/>
  <c r="O405" i="16"/>
  <c r="N299" i="16"/>
  <c r="N207" i="16" s="1"/>
  <c r="N49" i="16" s="1"/>
  <c r="L297" i="16"/>
  <c r="K298" i="16" s="1"/>
  <c r="K297" i="16" s="1"/>
  <c r="K49" i="16" s="1"/>
  <c r="R323" i="16"/>
  <c r="R232" i="16"/>
  <c r="P191" i="16"/>
  <c r="P195" i="16" s="1"/>
  <c r="Q205" i="16"/>
  <c r="Z153" i="16"/>
  <c r="Z138" i="16"/>
  <c r="Z143" i="16" s="1"/>
  <c r="R211" i="16"/>
  <c r="R204" i="16"/>
  <c r="R203" i="16"/>
  <c r="R201" i="16"/>
  <c r="R109" i="16" s="1"/>
  <c r="S78" i="16"/>
  <c r="Q46" i="16"/>
  <c r="Z191" i="16"/>
  <c r="Z195" i="16" s="1"/>
  <c r="V133" i="16"/>
  <c r="V125" i="16"/>
  <c r="V17" i="16" s="1"/>
  <c r="V373" i="16" s="1"/>
  <c r="V205" i="16"/>
  <c r="O283" i="16"/>
  <c r="O45" i="16"/>
  <c r="K125" i="16"/>
  <c r="L17" i="16" s="1"/>
  <c r="K133" i="16"/>
  <c r="I133" i="16" s="1"/>
  <c r="L124" i="16"/>
  <c r="L182" i="16" s="1"/>
  <c r="R153" i="16"/>
  <c r="R138" i="16"/>
  <c r="R143" i="16" s="1"/>
  <c r="X323" i="16"/>
  <c r="X232" i="16"/>
  <c r="P283" i="16"/>
  <c r="P45" i="16"/>
  <c r="P401" i="16" s="1"/>
  <c r="R452" i="16"/>
  <c r="R405" i="16"/>
  <c r="V405" i="16"/>
  <c r="V452" i="16"/>
  <c r="P284" i="16"/>
  <c r="Y191" i="16"/>
  <c r="Y195" i="16" s="1"/>
  <c r="N133" i="16"/>
  <c r="N125" i="16"/>
  <c r="N17" i="16" s="1"/>
  <c r="N373" i="16" s="1"/>
  <c r="N287" i="16"/>
  <c r="N214" i="16"/>
  <c r="O282" i="16"/>
  <c r="O44" i="16"/>
  <c r="U191" i="16"/>
  <c r="U195" i="16" s="1"/>
  <c r="Y162" i="16"/>
  <c r="Y144" i="16"/>
  <c r="U125" i="16"/>
  <c r="U17" i="16" s="1"/>
  <c r="U373" i="16" s="1"/>
  <c r="U133" i="16"/>
  <c r="U323" i="16"/>
  <c r="S405" i="16"/>
  <c r="S452" i="16"/>
  <c r="Q452" i="16"/>
  <c r="Q405" i="16"/>
  <c r="W205" i="16"/>
  <c r="X85" i="16"/>
  <c r="U284" i="16"/>
  <c r="V69" i="16"/>
  <c r="V230" i="16" s="1"/>
  <c r="V25" i="16"/>
  <c r="V381" i="16" s="1"/>
  <c r="S441" i="16"/>
  <c r="S263" i="16"/>
  <c r="S54" i="16"/>
  <c r="Y353" i="16"/>
  <c r="S353" i="16"/>
  <c r="K24" i="16"/>
  <c r="J164" i="16"/>
  <c r="AB405" i="16"/>
  <c r="AB452" i="16"/>
  <c r="AA405" i="16"/>
  <c r="AA452" i="16"/>
  <c r="W232" i="16"/>
  <c r="W323" i="16"/>
  <c r="L24" i="16"/>
  <c r="P356" i="16" s="1"/>
  <c r="X191" i="16"/>
  <c r="X195" i="16" s="1"/>
  <c r="W191" i="16"/>
  <c r="W195" i="16" s="1"/>
  <c r="AB133" i="16"/>
  <c r="AB125" i="16"/>
  <c r="AB17" i="16" s="1"/>
  <c r="AB373" i="16" s="1"/>
  <c r="T125" i="16"/>
  <c r="T17" i="16" s="1"/>
  <c r="T373" i="16" s="1"/>
  <c r="T133" i="16"/>
  <c r="AA125" i="16"/>
  <c r="AA17" i="16" s="1"/>
  <c r="AA373" i="16" s="1"/>
  <c r="AA133" i="16"/>
  <c r="N69" i="16"/>
  <c r="N25" i="16"/>
  <c r="L73" i="16"/>
  <c r="P44" i="16"/>
  <c r="P400" i="16" s="1"/>
  <c r="P282" i="16"/>
  <c r="P109" i="16"/>
  <c r="N448" i="16"/>
  <c r="N397" i="16"/>
  <c r="Q441" i="16"/>
  <c r="Q263" i="16"/>
  <c r="Q54" i="16"/>
  <c r="O323" i="16"/>
  <c r="O232" i="16"/>
  <c r="T405" i="16"/>
  <c r="T452" i="16"/>
  <c r="W452" i="16"/>
  <c r="W405" i="16"/>
  <c r="Q89" i="16"/>
  <c r="P212" i="16"/>
  <c r="P48" i="16" s="1"/>
  <c r="Q301" i="16"/>
  <c r="Q303" i="16" s="1"/>
  <c r="P213" i="16"/>
  <c r="P309" i="16" s="1"/>
  <c r="AC441" i="16"/>
  <c r="AC263" i="16"/>
  <c r="AC54" i="16"/>
  <c r="U452" i="16"/>
  <c r="U405" i="16"/>
  <c r="Y452" i="16"/>
  <c r="Y405" i="16"/>
  <c r="AR73" i="16"/>
  <c r="AS72" i="16"/>
  <c r="Y441" i="16"/>
  <c r="Y263" i="16"/>
  <c r="Y54" i="16"/>
  <c r="N208" i="16"/>
  <c r="N60" i="16"/>
  <c r="AB25" i="16"/>
  <c r="AB381" i="16" s="1"/>
  <c r="AB69" i="16"/>
  <c r="AB230" i="16" s="1"/>
  <c r="O280" i="16"/>
  <c r="O42" i="16"/>
  <c r="T284" i="16"/>
  <c r="P323" i="16"/>
  <c r="P232" i="16"/>
  <c r="O284" i="16"/>
  <c r="O48" i="16"/>
  <c r="R191" i="16"/>
  <c r="R195" i="16" s="1"/>
  <c r="Q133" i="16"/>
  <c r="Q125" i="16"/>
  <c r="Q17" i="16" s="1"/>
  <c r="Q373" i="16" s="1"/>
  <c r="S352" i="16"/>
  <c r="Y352" i="16"/>
  <c r="N372" i="16"/>
  <c r="L315" i="16"/>
  <c r="P354" i="16"/>
  <c r="L16" i="16"/>
  <c r="P353" i="16" s="1"/>
  <c r="K16" i="16"/>
  <c r="P304" i="16"/>
  <c r="Q100" i="16"/>
  <c r="N279" i="16"/>
  <c r="N40" i="16"/>
  <c r="N108" i="16"/>
  <c r="N226" i="16"/>
  <c r="L226" i="16" s="1"/>
  <c r="K164" i="16"/>
  <c r="L164" i="16" s="1"/>
  <c r="S205" i="16"/>
  <c r="AP83" i="16"/>
  <c r="AP87" i="16"/>
  <c r="AO88" i="16" s="1"/>
  <c r="AP88" i="16" s="1"/>
  <c r="AP86" i="16"/>
  <c r="AP79" i="16"/>
  <c r="AP74" i="16"/>
  <c r="AP84" i="16"/>
  <c r="AP78" i="16"/>
  <c r="AP73" i="16"/>
  <c r="AP85" i="16"/>
  <c r="AP82" i="16"/>
  <c r="AP76" i="16"/>
  <c r="AP75" i="16"/>
  <c r="AP77" i="16"/>
  <c r="AP72" i="16"/>
  <c r="Z405" i="16"/>
  <c r="Z452" i="16"/>
  <c r="P452" i="16"/>
  <c r="P405" i="16"/>
  <c r="Z323" i="16"/>
  <c r="Z232" i="16"/>
  <c r="P291" i="16"/>
  <c r="P293" i="16" s="1"/>
  <c r="O295" i="16"/>
  <c r="R320" i="16"/>
  <c r="Q321" i="16"/>
  <c r="L247" i="16"/>
  <c r="AA191" i="16"/>
  <c r="AA195" i="16" s="1"/>
  <c r="N182" i="16"/>
  <c r="N191" i="16" s="1"/>
  <c r="N195" i="16" s="1"/>
  <c r="Q280" i="16"/>
  <c r="Q42" i="16"/>
  <c r="K160" i="16"/>
  <c r="L160" i="16" s="1"/>
  <c r="L142" i="16"/>
  <c r="P279" i="16"/>
  <c r="P108" i="16"/>
  <c r="P40" i="16"/>
  <c r="R279" i="16"/>
  <c r="R40" i="16"/>
  <c r="R108" i="16"/>
  <c r="P368" i="16"/>
  <c r="Q12" i="16"/>
  <c r="Q203" i="16"/>
  <c r="N48" i="16"/>
  <c r="N284" i="16"/>
  <c r="O109" i="16"/>
  <c r="T182" i="16"/>
  <c r="T191" i="16" s="1"/>
  <c r="T195" i="16" s="1"/>
  <c r="I160" i="16"/>
  <c r="I161" i="16"/>
  <c r="I142" i="16"/>
  <c r="I139" i="16"/>
  <c r="I140" i="16"/>
  <c r="I137" i="16"/>
  <c r="I130" i="16"/>
  <c r="I114" i="16"/>
  <c r="I119" i="16"/>
  <c r="I134" i="16"/>
  <c r="S125" i="16"/>
  <c r="S17" i="16" s="1"/>
  <c r="S373" i="16" s="1"/>
  <c r="S133" i="16"/>
  <c r="S182" i="16"/>
  <c r="S191" i="16" s="1"/>
  <c r="S195" i="16" s="1"/>
  <c r="AC162" i="16"/>
  <c r="AC144" i="16"/>
  <c r="AO80" i="16"/>
  <c r="AP80" i="16" s="1"/>
  <c r="T69" i="16"/>
  <c r="T230" i="16" s="1"/>
  <c r="AC452" i="16"/>
  <c r="AC405" i="16"/>
  <c r="X405" i="16"/>
  <c r="X452" i="16"/>
  <c r="P232" i="17" l="1"/>
  <c r="P323" i="17"/>
  <c r="AT72" i="16"/>
  <c r="X232" i="17"/>
  <c r="X323" i="17"/>
  <c r="Q201" i="17"/>
  <c r="Q280" i="17" s="1"/>
  <c r="V162" i="17"/>
  <c r="AC323" i="17"/>
  <c r="R84" i="17"/>
  <c r="Z323" i="17"/>
  <c r="Z232" i="17"/>
  <c r="L191" i="16"/>
  <c r="Q162" i="17"/>
  <c r="Q144" i="17"/>
  <c r="S81" i="17"/>
  <c r="R201" i="17"/>
  <c r="L124" i="17"/>
  <c r="L182" i="17" s="1"/>
  <c r="L191" i="17" s="1"/>
  <c r="O86" i="17"/>
  <c r="O206" i="17" s="1"/>
  <c r="O285" i="17" s="1"/>
  <c r="O288" i="17" s="1"/>
  <c r="AA323" i="16"/>
  <c r="AA232" i="16"/>
  <c r="Q287" i="17"/>
  <c r="W138" i="17"/>
  <c r="W143" i="17" s="1"/>
  <c r="W153" i="17"/>
  <c r="P303" i="17"/>
  <c r="P304" i="17" s="1"/>
  <c r="P168" i="17" s="1"/>
  <c r="L25" i="17"/>
  <c r="P357" i="17" s="1"/>
  <c r="L230" i="17"/>
  <c r="L232" i="17" s="1"/>
  <c r="L381" i="17"/>
  <c r="V357" i="17" s="1"/>
  <c r="R89" i="17"/>
  <c r="R212" i="17" s="1"/>
  <c r="R48" i="17" s="1"/>
  <c r="L192" i="17"/>
  <c r="O153" i="17"/>
  <c r="O138" i="17"/>
  <c r="O143" i="17" s="1"/>
  <c r="X162" i="17"/>
  <c r="X144" i="17"/>
  <c r="O451" i="17"/>
  <c r="O404" i="17"/>
  <c r="X159" i="17"/>
  <c r="X18" i="17"/>
  <c r="X154" i="17"/>
  <c r="AB323" i="17"/>
  <c r="AB232" i="17"/>
  <c r="AT74" i="17"/>
  <c r="T323" i="17"/>
  <c r="T232" i="17"/>
  <c r="O86" i="16"/>
  <c r="O206" i="16" s="1"/>
  <c r="O285" i="16" s="1"/>
  <c r="O288" i="16" s="1"/>
  <c r="X374" i="16"/>
  <c r="X375" i="16" s="1"/>
  <c r="X19" i="16"/>
  <c r="P144" i="16"/>
  <c r="P162" i="16"/>
  <c r="P159" i="16"/>
  <c r="P154" i="16"/>
  <c r="P18" i="16"/>
  <c r="W162" i="16"/>
  <c r="W144" i="16"/>
  <c r="I164" i="16"/>
  <c r="L195" i="16"/>
  <c r="W18" i="16"/>
  <c r="W154" i="16"/>
  <c r="W159" i="16"/>
  <c r="O153" i="16"/>
  <c r="O138" i="16"/>
  <c r="O143" i="16" s="1"/>
  <c r="T211" i="17"/>
  <c r="T203" i="17"/>
  <c r="U78" i="17"/>
  <c r="T200" i="17"/>
  <c r="R138" i="17"/>
  <c r="R143" i="17" s="1"/>
  <c r="R153" i="17"/>
  <c r="T284" i="17"/>
  <c r="S100" i="17"/>
  <c r="U284" i="17"/>
  <c r="U441" i="17"/>
  <c r="U263" i="17"/>
  <c r="U54" i="17"/>
  <c r="L372" i="17"/>
  <c r="V353" i="17" s="1"/>
  <c r="K372" i="17"/>
  <c r="V354" i="17"/>
  <c r="N434" i="17"/>
  <c r="L69" i="17"/>
  <c r="R279" i="17"/>
  <c r="R40" i="17"/>
  <c r="R108" i="17"/>
  <c r="O110" i="17"/>
  <c r="O111" i="17" s="1"/>
  <c r="W441" i="17"/>
  <c r="W263" i="17"/>
  <c r="W54" i="17"/>
  <c r="P367" i="17"/>
  <c r="P433" i="17"/>
  <c r="P307" i="17"/>
  <c r="P258" i="17"/>
  <c r="P277" i="17"/>
  <c r="P243" i="17"/>
  <c r="P223" i="17"/>
  <c r="P197" i="17"/>
  <c r="P173" i="17"/>
  <c r="P51" i="17"/>
  <c r="P67" i="17"/>
  <c r="P86" i="17" s="1"/>
  <c r="P206" i="17" s="1"/>
  <c r="P113" i="17"/>
  <c r="Q11" i="17"/>
  <c r="Q91" i="17" s="1"/>
  <c r="P284" i="17"/>
  <c r="P48" i="17"/>
  <c r="AC441" i="17"/>
  <c r="AC263" i="17"/>
  <c r="AC54" i="17"/>
  <c r="S138" i="17"/>
  <c r="S143" i="17" s="1"/>
  <c r="S153" i="17"/>
  <c r="T159" i="17"/>
  <c r="T154" i="17"/>
  <c r="T18" i="17"/>
  <c r="Q283" i="17"/>
  <c r="Q45" i="17"/>
  <c r="K153" i="17"/>
  <c r="L133" i="17"/>
  <c r="K138" i="17"/>
  <c r="R320" i="17"/>
  <c r="Q321" i="17"/>
  <c r="T144" i="17"/>
  <c r="T162" i="17"/>
  <c r="O399" i="17"/>
  <c r="O41" i="17"/>
  <c r="S282" i="17"/>
  <c r="S44" i="17"/>
  <c r="S400" i="17" s="1"/>
  <c r="AA323" i="17"/>
  <c r="AA232" i="17"/>
  <c r="O447" i="17"/>
  <c r="O396" i="17"/>
  <c r="O441" i="17"/>
  <c r="O263" i="17"/>
  <c r="O54" i="17"/>
  <c r="P248" i="17"/>
  <c r="N153" i="17"/>
  <c r="N138" i="17"/>
  <c r="N143" i="17" s="1"/>
  <c r="V374" i="17"/>
  <c r="V375" i="17" s="1"/>
  <c r="V19" i="17"/>
  <c r="N396" i="17"/>
  <c r="N447" i="17"/>
  <c r="N441" i="17"/>
  <c r="N263" i="17"/>
  <c r="N54" i="17"/>
  <c r="S286" i="17"/>
  <c r="S46" i="17"/>
  <c r="AR76" i="17"/>
  <c r="AS75" i="17"/>
  <c r="AT75" i="17" s="1"/>
  <c r="O248" i="17"/>
  <c r="N404" i="17"/>
  <c r="N451" i="17"/>
  <c r="Q402" i="17"/>
  <c r="Q449" i="17"/>
  <c r="AT72" i="17"/>
  <c r="O262" i="17" s="1"/>
  <c r="AA153" i="17"/>
  <c r="AA138" i="17"/>
  <c r="AA143" i="17" s="1"/>
  <c r="R441" i="17"/>
  <c r="R263" i="17"/>
  <c r="R54" i="17"/>
  <c r="AC154" i="17"/>
  <c r="AC159" i="17"/>
  <c r="AC18" i="17"/>
  <c r="N405" i="17"/>
  <c r="L405" i="17" s="1"/>
  <c r="N452" i="17"/>
  <c r="L49" i="17"/>
  <c r="U154" i="17"/>
  <c r="U159" i="17"/>
  <c r="U18" i="17"/>
  <c r="Q323" i="17"/>
  <c r="Q232" i="17"/>
  <c r="S279" i="17"/>
  <c r="S40" i="17"/>
  <c r="S108" i="17"/>
  <c r="N248" i="17"/>
  <c r="O449" i="17"/>
  <c r="O402" i="17"/>
  <c r="Q396" i="17"/>
  <c r="Q447" i="17"/>
  <c r="S353" i="17"/>
  <c r="Y353" i="17"/>
  <c r="J164" i="17"/>
  <c r="K24" i="17"/>
  <c r="AC162" i="17"/>
  <c r="AC144" i="17"/>
  <c r="P144" i="17"/>
  <c r="P162" i="17"/>
  <c r="R282" i="17"/>
  <c r="R44" i="17"/>
  <c r="R400" i="17" s="1"/>
  <c r="R109" i="17"/>
  <c r="Q291" i="17"/>
  <c r="Q293" i="17" s="1"/>
  <c r="P295" i="17"/>
  <c r="U144" i="17"/>
  <c r="U162" i="17"/>
  <c r="R82" i="17"/>
  <c r="Q202" i="17"/>
  <c r="S284" i="17"/>
  <c r="Z154" i="17"/>
  <c r="Z159" i="17"/>
  <c r="Z18" i="17"/>
  <c r="N110" i="17"/>
  <c r="N111" i="17" s="1"/>
  <c r="Q248" i="17"/>
  <c r="S355" i="17"/>
  <c r="Y355" i="17"/>
  <c r="L373" i="17"/>
  <c r="P159" i="17"/>
  <c r="P154" i="17"/>
  <c r="P18" i="17"/>
  <c r="Y323" i="17"/>
  <c r="Y232" i="17"/>
  <c r="O208" i="17"/>
  <c r="O60" i="17"/>
  <c r="R449" i="17"/>
  <c r="R402" i="17"/>
  <c r="S89" i="17"/>
  <c r="P281" i="17"/>
  <c r="P43" i="17"/>
  <c r="Y85" i="17"/>
  <c r="X205" i="17"/>
  <c r="Z144" i="17"/>
  <c r="Z162" i="17"/>
  <c r="P396" i="17"/>
  <c r="P447" i="17"/>
  <c r="Y144" i="17"/>
  <c r="Y162" i="17"/>
  <c r="W284" i="17"/>
  <c r="V163" i="17"/>
  <c r="V165" i="17"/>
  <c r="V20" i="17"/>
  <c r="Q282" i="17"/>
  <c r="Q44" i="17"/>
  <c r="Q109" i="17"/>
  <c r="Q110" i="17" s="1"/>
  <c r="Q111" i="17" s="1"/>
  <c r="Q368" i="17"/>
  <c r="R12" i="17"/>
  <c r="R284" i="17"/>
  <c r="P110" i="17"/>
  <c r="P111" i="17" s="1"/>
  <c r="AB153" i="17"/>
  <c r="AB138" i="17"/>
  <c r="AB143" i="17" s="1"/>
  <c r="Y159" i="17"/>
  <c r="Y154" i="17"/>
  <c r="Y18" i="17"/>
  <c r="AT73" i="17"/>
  <c r="Q284" i="17"/>
  <c r="Q48" i="17"/>
  <c r="S84" i="17"/>
  <c r="R204" i="17"/>
  <c r="Q213" i="16"/>
  <c r="Q309" i="16" s="1"/>
  <c r="R301" i="16"/>
  <c r="R303" i="16" s="1"/>
  <c r="P110" i="16"/>
  <c r="P111" i="16" s="1"/>
  <c r="Q153" i="16"/>
  <c r="Q138" i="16"/>
  <c r="Q143" i="16" s="1"/>
  <c r="Q212" i="16"/>
  <c r="R89" i="16"/>
  <c r="N230" i="16"/>
  <c r="L69" i="16"/>
  <c r="Q396" i="16"/>
  <c r="Q447" i="16"/>
  <c r="P248" i="16"/>
  <c r="Z441" i="16"/>
  <c r="Z263" i="16"/>
  <c r="Z54" i="16"/>
  <c r="O441" i="16"/>
  <c r="O263" i="16"/>
  <c r="O54" i="16"/>
  <c r="AA138" i="16"/>
  <c r="AA143" i="16" s="1"/>
  <c r="AA153" i="16"/>
  <c r="W284" i="16"/>
  <c r="R159" i="16"/>
  <c r="R154" i="16"/>
  <c r="R18" i="16"/>
  <c r="R286" i="16"/>
  <c r="R46" i="16"/>
  <c r="P367" i="16"/>
  <c r="P433" i="16"/>
  <c r="P307" i="16"/>
  <c r="P223" i="16"/>
  <c r="P277" i="16"/>
  <c r="P197" i="16"/>
  <c r="P173" i="16"/>
  <c r="P258" i="16"/>
  <c r="P243" i="16"/>
  <c r="P113" i="16"/>
  <c r="P67" i="16"/>
  <c r="P51" i="16"/>
  <c r="Q11" i="16"/>
  <c r="Q91" i="16" s="1"/>
  <c r="W441" i="16"/>
  <c r="W263" i="16"/>
  <c r="W54" i="16"/>
  <c r="R248" i="16"/>
  <c r="S320" i="16"/>
  <c r="R321" i="16"/>
  <c r="Q368" i="16"/>
  <c r="R12" i="16"/>
  <c r="Y85" i="16"/>
  <c r="X205" i="16"/>
  <c r="U138" i="16"/>
  <c r="U143" i="16" s="1"/>
  <c r="U153" i="16"/>
  <c r="R162" i="16"/>
  <c r="R144" i="16"/>
  <c r="Q449" i="16"/>
  <c r="Q402" i="16"/>
  <c r="R283" i="16"/>
  <c r="R45" i="16"/>
  <c r="R401" i="16" s="1"/>
  <c r="R441" i="16"/>
  <c r="R263" i="16"/>
  <c r="R54" i="16"/>
  <c r="AC374" i="16"/>
  <c r="AC375" i="16" s="1"/>
  <c r="AC19" i="16"/>
  <c r="O449" i="16"/>
  <c r="O402" i="16"/>
  <c r="AC165" i="16"/>
  <c r="AC163" i="16"/>
  <c r="AC20" i="16"/>
  <c r="O451" i="16"/>
  <c r="O404" i="16"/>
  <c r="AS73" i="16"/>
  <c r="AT73" i="16" s="1"/>
  <c r="AR74" i="16"/>
  <c r="O401" i="16"/>
  <c r="Z162" i="16"/>
  <c r="Z144" i="16"/>
  <c r="Q248" i="16"/>
  <c r="Z154" i="16"/>
  <c r="Z159" i="16"/>
  <c r="Z18" i="16"/>
  <c r="N405" i="16"/>
  <c r="L405" i="16" s="1"/>
  <c r="N452" i="16"/>
  <c r="L49" i="16"/>
  <c r="R447" i="16"/>
  <c r="R396" i="16"/>
  <c r="Q398" i="16"/>
  <c r="N396" i="16"/>
  <c r="N447" i="16"/>
  <c r="N434" i="16"/>
  <c r="V354" i="16"/>
  <c r="L372" i="16"/>
  <c r="V353" i="16" s="1"/>
  <c r="K372" i="16"/>
  <c r="P441" i="16"/>
  <c r="P263" i="16"/>
  <c r="P54" i="16"/>
  <c r="O398" i="16"/>
  <c r="O41" i="16"/>
  <c r="V284" i="16"/>
  <c r="S211" i="16"/>
  <c r="S203" i="16"/>
  <c r="S201" i="16"/>
  <c r="S204" i="16"/>
  <c r="T78" i="16"/>
  <c r="S200" i="16"/>
  <c r="Q284" i="16"/>
  <c r="R82" i="16"/>
  <c r="Q202" i="16"/>
  <c r="R110" i="16"/>
  <c r="R111" i="16" s="1"/>
  <c r="Y20" i="16"/>
  <c r="Y165" i="16"/>
  <c r="Y163" i="16"/>
  <c r="O262" i="16"/>
  <c r="O208" i="16"/>
  <c r="O60" i="16"/>
  <c r="S284" i="16"/>
  <c r="Q304" i="16"/>
  <c r="R100" i="16"/>
  <c r="N110" i="16"/>
  <c r="N111" i="16" s="1"/>
  <c r="T138" i="16"/>
  <c r="T143" i="16" s="1"/>
  <c r="T153" i="16"/>
  <c r="V232" i="16"/>
  <c r="V323" i="16"/>
  <c r="N138" i="16"/>
  <c r="N143" i="16" s="1"/>
  <c r="N153" i="16"/>
  <c r="S138" i="16"/>
  <c r="S143" i="16" s="1"/>
  <c r="S153" i="16"/>
  <c r="N404" i="16"/>
  <c r="N451" i="16"/>
  <c r="N248" i="16"/>
  <c r="P404" i="16"/>
  <c r="P451" i="16"/>
  <c r="R280" i="16"/>
  <c r="R42" i="16"/>
  <c r="P281" i="16"/>
  <c r="P43" i="16"/>
  <c r="O447" i="16"/>
  <c r="O396" i="16"/>
  <c r="T323" i="16"/>
  <c r="T232" i="16"/>
  <c r="AB323" i="16"/>
  <c r="AB232" i="16"/>
  <c r="AB138" i="16"/>
  <c r="AB143" i="16" s="1"/>
  <c r="AB153" i="16"/>
  <c r="U441" i="16"/>
  <c r="U263" i="16"/>
  <c r="U54" i="16"/>
  <c r="O400" i="16"/>
  <c r="X441" i="16"/>
  <c r="X263" i="16"/>
  <c r="X54" i="16"/>
  <c r="K138" i="16"/>
  <c r="L133" i="16"/>
  <c r="K153" i="16"/>
  <c r="V138" i="16"/>
  <c r="V143" i="16" s="1"/>
  <c r="V153" i="16"/>
  <c r="X165" i="16"/>
  <c r="X163" i="16"/>
  <c r="X20" i="16"/>
  <c r="O110" i="16"/>
  <c r="O111" i="16" s="1"/>
  <c r="Q282" i="16"/>
  <c r="Q44" i="16"/>
  <c r="Q400" i="16" s="1"/>
  <c r="Q109" i="16"/>
  <c r="Q110" i="16" s="1"/>
  <c r="P396" i="16"/>
  <c r="P447" i="16"/>
  <c r="P295" i="16"/>
  <c r="Q291" i="16"/>
  <c r="Q293" i="16" s="1"/>
  <c r="P168" i="16"/>
  <c r="P287" i="16"/>
  <c r="P214" i="16"/>
  <c r="N381" i="16"/>
  <c r="L381" i="16" s="1"/>
  <c r="V357" i="16" s="1"/>
  <c r="L25" i="16"/>
  <c r="P357" i="16" s="1"/>
  <c r="Y355" i="16"/>
  <c r="L373" i="16"/>
  <c r="S355" i="16"/>
  <c r="R282" i="16"/>
  <c r="R44" i="16"/>
  <c r="R400" i="16" s="1"/>
  <c r="O248" i="16"/>
  <c r="Q42" i="17" l="1"/>
  <c r="Q398" i="17" s="1"/>
  <c r="P441" i="17"/>
  <c r="P263" i="17"/>
  <c r="P54" i="17"/>
  <c r="S109" i="16"/>
  <c r="X441" i="17"/>
  <c r="X263" i="17"/>
  <c r="X54" i="17"/>
  <c r="Z54" i="17"/>
  <c r="Z441" i="17"/>
  <c r="Z263" i="17"/>
  <c r="L195" i="17"/>
  <c r="O47" i="17"/>
  <c r="O38" i="17" s="1"/>
  <c r="R280" i="17"/>
  <c r="R42" i="17"/>
  <c r="R398" i="17" s="1"/>
  <c r="T81" i="17"/>
  <c r="S201" i="17"/>
  <c r="L323" i="17"/>
  <c r="Q163" i="17"/>
  <c r="Q165" i="17"/>
  <c r="Q166" i="17" s="1"/>
  <c r="Q22" i="17" s="1"/>
  <c r="Q378" i="17" s="1"/>
  <c r="Q437" i="17" s="1"/>
  <c r="Q20" i="17"/>
  <c r="O47" i="16"/>
  <c r="O38" i="16" s="1"/>
  <c r="AA54" i="16"/>
  <c r="AA263" i="16"/>
  <c r="AA441" i="16"/>
  <c r="O305" i="16"/>
  <c r="AB441" i="17"/>
  <c r="AB54" i="17"/>
  <c r="AB263" i="17"/>
  <c r="X165" i="17"/>
  <c r="X166" i="17" s="1"/>
  <c r="X22" i="17" s="1"/>
  <c r="X378" i="17" s="1"/>
  <c r="X437" i="17" s="1"/>
  <c r="X163" i="17"/>
  <c r="X20" i="17"/>
  <c r="O162" i="17"/>
  <c r="O144" i="17"/>
  <c r="P213" i="17"/>
  <c r="Q301" i="17"/>
  <c r="O18" i="17"/>
  <c r="O154" i="17"/>
  <c r="O159" i="17"/>
  <c r="W159" i="17"/>
  <c r="W154" i="17"/>
  <c r="W18" i="17"/>
  <c r="W162" i="17"/>
  <c r="W144" i="17"/>
  <c r="O305" i="17"/>
  <c r="X374" i="17"/>
  <c r="X375" i="17" s="1"/>
  <c r="X19" i="17"/>
  <c r="T263" i="17"/>
  <c r="T54" i="17"/>
  <c r="T441" i="17"/>
  <c r="O159" i="16"/>
  <c r="O154" i="16"/>
  <c r="O18" i="16"/>
  <c r="Q111" i="16"/>
  <c r="W374" i="16"/>
  <c r="W375" i="16" s="1"/>
  <c r="W19" i="16"/>
  <c r="P165" i="16"/>
  <c r="P166" i="16" s="1"/>
  <c r="P22" i="16" s="1"/>
  <c r="P378" i="16" s="1"/>
  <c r="P437" i="16" s="1"/>
  <c r="P163" i="16"/>
  <c r="P20" i="16"/>
  <c r="P374" i="16"/>
  <c r="P375" i="16" s="1"/>
  <c r="P19" i="16"/>
  <c r="O162" i="16"/>
  <c r="O144" i="16"/>
  <c r="W163" i="16"/>
  <c r="W165" i="16"/>
  <c r="W166" i="16" s="1"/>
  <c r="W22" i="16" s="1"/>
  <c r="W378" i="16" s="1"/>
  <c r="W437" i="16" s="1"/>
  <c r="W20" i="16"/>
  <c r="R451" i="17"/>
  <c r="R404" i="17"/>
  <c r="AB159" i="17"/>
  <c r="AB154" i="17"/>
  <c r="AB18" i="17"/>
  <c r="Q400" i="17"/>
  <c r="R266" i="17"/>
  <c r="Q249" i="17"/>
  <c r="O59" i="17"/>
  <c r="N159" i="17"/>
  <c r="N154" i="17"/>
  <c r="N18" i="17"/>
  <c r="R321" i="17"/>
  <c r="S320" i="17"/>
  <c r="S162" i="17"/>
  <c r="S144" i="17"/>
  <c r="O249" i="17"/>
  <c r="P266" i="17"/>
  <c r="R110" i="17"/>
  <c r="R111" i="17" s="1"/>
  <c r="Y374" i="17"/>
  <c r="Y375" i="17" s="1"/>
  <c r="Y19" i="17"/>
  <c r="X284" i="17"/>
  <c r="P374" i="17"/>
  <c r="P375" i="17" s="1"/>
  <c r="P19" i="17"/>
  <c r="AC163" i="17"/>
  <c r="AC165" i="17"/>
  <c r="AC20" i="17"/>
  <c r="S447" i="17"/>
  <c r="S396" i="17"/>
  <c r="O448" i="17"/>
  <c r="O397" i="17"/>
  <c r="R447" i="17"/>
  <c r="R396" i="17"/>
  <c r="V376" i="17"/>
  <c r="V435" i="17" s="1"/>
  <c r="V21" i="17"/>
  <c r="V377" i="17" s="1"/>
  <c r="V436" i="17" s="1"/>
  <c r="Z85" i="17"/>
  <c r="Y205" i="17"/>
  <c r="Q281" i="17"/>
  <c r="Q43" i="17"/>
  <c r="S248" i="17"/>
  <c r="S449" i="17"/>
  <c r="S402" i="17"/>
  <c r="K143" i="17"/>
  <c r="L138" i="17"/>
  <c r="I138" i="17"/>
  <c r="P404" i="17"/>
  <c r="P451" i="17"/>
  <c r="R248" i="17"/>
  <c r="T100" i="17"/>
  <c r="T286" i="17"/>
  <c r="T46" i="17"/>
  <c r="V166" i="17"/>
  <c r="V22" i="17" s="1"/>
  <c r="V378" i="17" s="1"/>
  <c r="V437" i="17" s="1"/>
  <c r="P399" i="17"/>
  <c r="P41" i="17"/>
  <c r="S82" i="17"/>
  <c r="R202" i="17"/>
  <c r="Q441" i="17"/>
  <c r="Q263" i="17"/>
  <c r="Q54" i="17"/>
  <c r="AA162" i="17"/>
  <c r="AA144" i="17"/>
  <c r="AS76" i="17"/>
  <c r="AT76" i="17" s="1"/>
  <c r="AR77" i="17"/>
  <c r="T165" i="17"/>
  <c r="T163" i="17"/>
  <c r="T20" i="17"/>
  <c r="R283" i="17"/>
  <c r="R45" i="17"/>
  <c r="R401" i="17" s="1"/>
  <c r="R368" i="17"/>
  <c r="S12" i="17"/>
  <c r="Y441" i="17"/>
  <c r="Y263" i="17"/>
  <c r="Y54" i="17"/>
  <c r="U163" i="17"/>
  <c r="U165" i="17"/>
  <c r="U20" i="17"/>
  <c r="I164" i="17"/>
  <c r="AC374" i="17"/>
  <c r="AC375" i="17" s="1"/>
  <c r="AC19" i="17"/>
  <c r="AA159" i="17"/>
  <c r="AA154" i="17"/>
  <c r="AA18" i="17"/>
  <c r="AA441" i="17"/>
  <c r="AA263" i="17"/>
  <c r="AA54" i="17"/>
  <c r="K159" i="17"/>
  <c r="K154" i="17"/>
  <c r="L153" i="17"/>
  <c r="I153" i="17"/>
  <c r="T279" i="17"/>
  <c r="T108" i="17"/>
  <c r="T40" i="17"/>
  <c r="T374" i="17"/>
  <c r="T375" i="17" s="1"/>
  <c r="T19" i="17"/>
  <c r="Q295" i="17"/>
  <c r="R291" i="17"/>
  <c r="R293" i="17" s="1"/>
  <c r="T84" i="17"/>
  <c r="S204" i="17"/>
  <c r="Z374" i="17"/>
  <c r="Z375" i="17" s="1"/>
  <c r="Z19" i="17"/>
  <c r="P163" i="17"/>
  <c r="P165" i="17"/>
  <c r="P20" i="17"/>
  <c r="U374" i="17"/>
  <c r="U375" i="17" s="1"/>
  <c r="U19" i="17"/>
  <c r="Q401" i="17"/>
  <c r="Q433" i="17"/>
  <c r="Q367" i="17"/>
  <c r="Q243" i="17"/>
  <c r="Q223" i="17"/>
  <c r="Q258" i="17"/>
  <c r="Q262" i="17" s="1"/>
  <c r="Q277" i="17"/>
  <c r="Q307" i="17"/>
  <c r="Q51" i="17"/>
  <c r="Q173" i="17"/>
  <c r="Q197" i="17"/>
  <c r="Q67" i="17"/>
  <c r="Q86" i="17" s="1"/>
  <c r="Q206" i="17" s="1"/>
  <c r="Q113" i="17"/>
  <c r="R11" i="17"/>
  <c r="R91" i="17" s="1"/>
  <c r="U211" i="17"/>
  <c r="U203" i="17"/>
  <c r="V78" i="17"/>
  <c r="U200" i="17"/>
  <c r="Q451" i="17"/>
  <c r="Q404" i="17"/>
  <c r="AB144" i="17"/>
  <c r="AB162" i="17"/>
  <c r="Z163" i="17"/>
  <c r="Z165" i="17"/>
  <c r="Z20" i="17"/>
  <c r="S212" i="17"/>
  <c r="T89" i="17"/>
  <c r="O266" i="17"/>
  <c r="N249" i="17"/>
  <c r="N144" i="17"/>
  <c r="N162" i="17"/>
  <c r="S159" i="17"/>
  <c r="S154" i="17"/>
  <c r="S18" i="17"/>
  <c r="P262" i="17"/>
  <c r="Y163" i="17"/>
  <c r="Y165" i="17"/>
  <c r="Y20" i="17"/>
  <c r="P285" i="17"/>
  <c r="P288" i="17" s="1"/>
  <c r="P47" i="17"/>
  <c r="R154" i="17"/>
  <c r="R159" i="17"/>
  <c r="R18" i="17"/>
  <c r="T282" i="17"/>
  <c r="T44" i="17"/>
  <c r="T400" i="17" s="1"/>
  <c r="R287" i="17"/>
  <c r="Q266" i="17"/>
  <c r="P249" i="17"/>
  <c r="R162" i="17"/>
  <c r="R144" i="17"/>
  <c r="P208" i="17"/>
  <c r="P60" i="17"/>
  <c r="N162" i="16"/>
  <c r="N144" i="16"/>
  <c r="S279" i="16"/>
  <c r="S108" i="16"/>
  <c r="S40" i="16"/>
  <c r="AR75" i="16"/>
  <c r="AS74" i="16"/>
  <c r="AT74" i="16"/>
  <c r="T320" i="16"/>
  <c r="S321" i="16"/>
  <c r="P262" i="16"/>
  <c r="R402" i="16"/>
  <c r="R449" i="16"/>
  <c r="AA159" i="16"/>
  <c r="AA154" i="16"/>
  <c r="AA18" i="16"/>
  <c r="Q287" i="16"/>
  <c r="Q214" i="16"/>
  <c r="K154" i="16"/>
  <c r="K159" i="16"/>
  <c r="L153" i="16"/>
  <c r="I153" i="16"/>
  <c r="T211" i="16"/>
  <c r="T204" i="16"/>
  <c r="T203" i="16"/>
  <c r="T201" i="16"/>
  <c r="T109" i="16"/>
  <c r="U78" i="16"/>
  <c r="T200" i="16"/>
  <c r="U18" i="16"/>
  <c r="U154" i="16"/>
  <c r="U159" i="16"/>
  <c r="S266" i="16"/>
  <c r="R249" i="16"/>
  <c r="AA162" i="16"/>
  <c r="AA144" i="16"/>
  <c r="Q162" i="16"/>
  <c r="Q144" i="16"/>
  <c r="Y376" i="16"/>
  <c r="Y435" i="16" s="1"/>
  <c r="Y21" i="16"/>
  <c r="Y377" i="16" s="1"/>
  <c r="Y436" i="16" s="1"/>
  <c r="AB441" i="16"/>
  <c r="AB263" i="16"/>
  <c r="AB54" i="16"/>
  <c r="R398" i="16"/>
  <c r="P266" i="16"/>
  <c r="O249" i="16"/>
  <c r="R291" i="16"/>
  <c r="R293" i="16" s="1"/>
  <c r="Q295" i="16"/>
  <c r="T441" i="16"/>
  <c r="T263" i="16"/>
  <c r="T54" i="16"/>
  <c r="V441" i="16"/>
  <c r="V263" i="16"/>
  <c r="V54" i="16"/>
  <c r="S283" i="16"/>
  <c r="S45" i="16"/>
  <c r="Z374" i="16"/>
  <c r="Z375" i="16" s="1"/>
  <c r="Z19" i="16"/>
  <c r="U162" i="16"/>
  <c r="U144" i="16"/>
  <c r="Q159" i="16"/>
  <c r="Q154" i="16"/>
  <c r="Q18" i="16"/>
  <c r="S286" i="16"/>
  <c r="S46" i="16"/>
  <c r="AC166" i="16"/>
  <c r="AC22" i="16" s="1"/>
  <c r="AC378" i="16" s="1"/>
  <c r="AC437" i="16" s="1"/>
  <c r="Q266" i="16"/>
  <c r="P249" i="16"/>
  <c r="P208" i="16"/>
  <c r="P60" i="16"/>
  <c r="T159" i="16"/>
  <c r="T18" i="16"/>
  <c r="T154" i="16"/>
  <c r="V159" i="16"/>
  <c r="V154" i="16"/>
  <c r="V18" i="16"/>
  <c r="V162" i="16"/>
  <c r="V144" i="16"/>
  <c r="O59" i="16"/>
  <c r="X284" i="16"/>
  <c r="Q433" i="16"/>
  <c r="Q277" i="16"/>
  <c r="Q307" i="16"/>
  <c r="Q258" i="16"/>
  <c r="Q243" i="16"/>
  <c r="Q367" i="16"/>
  <c r="Q223" i="16"/>
  <c r="Q197" i="16"/>
  <c r="Q173" i="16"/>
  <c r="Q113" i="16"/>
  <c r="Q67" i="16"/>
  <c r="Q86" i="16" s="1"/>
  <c r="Q206" i="16" s="1"/>
  <c r="R11" i="16"/>
  <c r="R91" i="16" s="1"/>
  <c r="Q51" i="16"/>
  <c r="R374" i="16"/>
  <c r="R375" i="16" s="1"/>
  <c r="R19" i="16"/>
  <c r="X376" i="16"/>
  <c r="X435" i="16" s="1"/>
  <c r="X21" i="16"/>
  <c r="X377" i="16" s="1"/>
  <c r="X436" i="16" s="1"/>
  <c r="T144" i="16"/>
  <c r="T162" i="16"/>
  <c r="R304" i="16"/>
  <c r="S100" i="16"/>
  <c r="Q281" i="16"/>
  <c r="Q43" i="16"/>
  <c r="S280" i="16"/>
  <c r="S42" i="16"/>
  <c r="Z85" i="16"/>
  <c r="Y205" i="16"/>
  <c r="O266" i="16"/>
  <c r="N249" i="16"/>
  <c r="Q168" i="16"/>
  <c r="S82" i="16"/>
  <c r="R202" i="16"/>
  <c r="S282" i="16"/>
  <c r="S44" i="16"/>
  <c r="S400" i="16" s="1"/>
  <c r="O448" i="16"/>
  <c r="O397" i="16"/>
  <c r="R266" i="16"/>
  <c r="Q249" i="16"/>
  <c r="AC376" i="16"/>
  <c r="AC435" i="16" s="1"/>
  <c r="AC21" i="16"/>
  <c r="AC377" i="16" s="1"/>
  <c r="AC436" i="16" s="1"/>
  <c r="R368" i="16"/>
  <c r="S12" i="16"/>
  <c r="P86" i="16"/>
  <c r="P206" i="16" s="1"/>
  <c r="R213" i="16"/>
  <c r="R309" i="16" s="1"/>
  <c r="S301" i="16"/>
  <c r="S303" i="16" s="1"/>
  <c r="AB162" i="16"/>
  <c r="AB144" i="16"/>
  <c r="N159" i="16"/>
  <c r="N154" i="16"/>
  <c r="N18" i="16"/>
  <c r="R212" i="16"/>
  <c r="S89" i="16"/>
  <c r="K143" i="16"/>
  <c r="L138" i="16"/>
  <c r="I138" i="16"/>
  <c r="S18" i="16"/>
  <c r="S154" i="16"/>
  <c r="S159" i="16"/>
  <c r="Z163" i="16"/>
  <c r="Z20" i="16"/>
  <c r="Z165" i="16"/>
  <c r="O403" i="16"/>
  <c r="O450" i="16"/>
  <c r="S162" i="16"/>
  <c r="S144" i="16"/>
  <c r="X166" i="16"/>
  <c r="X22" i="16" s="1"/>
  <c r="X378" i="16" s="1"/>
  <c r="X437" i="16" s="1"/>
  <c r="AB159" i="16"/>
  <c r="AB18" i="16"/>
  <c r="AB154" i="16"/>
  <c r="P399" i="16"/>
  <c r="P41" i="16"/>
  <c r="Y166" i="16"/>
  <c r="Y22" i="16" s="1"/>
  <c r="Y378" i="16" s="1"/>
  <c r="Y437" i="16" s="1"/>
  <c r="Q48" i="16"/>
  <c r="R165" i="16"/>
  <c r="R20" i="16"/>
  <c r="R163" i="16"/>
  <c r="N323" i="16"/>
  <c r="L323" i="16" s="1"/>
  <c r="N232" i="16"/>
  <c r="L230" i="16"/>
  <c r="L232" i="16" s="1"/>
  <c r="O450" i="17" l="1"/>
  <c r="O403" i="17"/>
  <c r="O394" i="17" s="1"/>
  <c r="S109" i="17"/>
  <c r="S110" i="17" s="1"/>
  <c r="S111" i="17" s="1"/>
  <c r="S280" i="17"/>
  <c r="S42" i="17"/>
  <c r="S398" i="17" s="1"/>
  <c r="U81" i="17"/>
  <c r="T201" i="17"/>
  <c r="Q21" i="17"/>
  <c r="Q377" i="17" s="1"/>
  <c r="Q436" i="17" s="1"/>
  <c r="Q376" i="17"/>
  <c r="Q435" i="17" s="1"/>
  <c r="W374" i="17"/>
  <c r="W375" i="17" s="1"/>
  <c r="W19" i="17"/>
  <c r="O165" i="17"/>
  <c r="O163" i="17"/>
  <c r="O20" i="17"/>
  <c r="L54" i="17"/>
  <c r="X21" i="17"/>
  <c r="X377" i="17" s="1"/>
  <c r="X436" i="17" s="1"/>
  <c r="X376" i="17"/>
  <c r="X435" i="17" s="1"/>
  <c r="P252" i="17"/>
  <c r="O19" i="17"/>
  <c r="O374" i="17"/>
  <c r="O375" i="17" s="1"/>
  <c r="Q303" i="17"/>
  <c r="Q304" i="17"/>
  <c r="Q168" i="17" s="1"/>
  <c r="Q169" i="17" s="1"/>
  <c r="W165" i="17"/>
  <c r="W166" i="17" s="1"/>
  <c r="W22" i="17" s="1"/>
  <c r="W378" i="17" s="1"/>
  <c r="W437" i="17" s="1"/>
  <c r="W163" i="17"/>
  <c r="W20" i="17"/>
  <c r="P309" i="17"/>
  <c r="P214" i="17"/>
  <c r="O165" i="16"/>
  <c r="O163" i="16"/>
  <c r="O20" i="16"/>
  <c r="O19" i="16"/>
  <c r="O374" i="16"/>
  <c r="O375" i="16" s="1"/>
  <c r="P169" i="16"/>
  <c r="P170" i="16" s="1"/>
  <c r="P316" i="16" s="1"/>
  <c r="W21" i="16"/>
  <c r="W377" i="16" s="1"/>
  <c r="W436" i="16" s="1"/>
  <c r="W376" i="16"/>
  <c r="W435" i="16" s="1"/>
  <c r="P376" i="16"/>
  <c r="P435" i="16" s="1"/>
  <c r="P21" i="16"/>
  <c r="P377" i="16" s="1"/>
  <c r="P436" i="16" s="1"/>
  <c r="P289" i="17"/>
  <c r="P227" i="17" s="1"/>
  <c r="P59" i="17"/>
  <c r="P305" i="17"/>
  <c r="Z376" i="17"/>
  <c r="Z435" i="17" s="1"/>
  <c r="Z21" i="17"/>
  <c r="Z377" i="17" s="1"/>
  <c r="Z436" i="17" s="1"/>
  <c r="S283" i="17"/>
  <c r="S45" i="17"/>
  <c r="V203" i="17"/>
  <c r="V211" i="17"/>
  <c r="W78" i="17"/>
  <c r="V200" i="17"/>
  <c r="R433" i="17"/>
  <c r="R367" i="17"/>
  <c r="R277" i="17"/>
  <c r="R258" i="17"/>
  <c r="R262" i="17" s="1"/>
  <c r="R307" i="17"/>
  <c r="R223" i="17"/>
  <c r="R197" i="17"/>
  <c r="R243" i="17"/>
  <c r="R173" i="17"/>
  <c r="R51" i="17"/>
  <c r="R67" i="17"/>
  <c r="R86" i="17" s="1"/>
  <c r="R206" i="17" s="1"/>
  <c r="R113" i="17"/>
  <c r="S11" i="17"/>
  <c r="S91" i="17" s="1"/>
  <c r="AR78" i="17"/>
  <c r="AS77" i="17"/>
  <c r="AT77" i="17" s="1"/>
  <c r="Y284" i="17"/>
  <c r="S291" i="17"/>
  <c r="S293" i="17" s="1"/>
  <c r="R295" i="17"/>
  <c r="U376" i="17"/>
  <c r="U435" i="17" s="1"/>
  <c r="U21" i="17"/>
  <c r="U377" i="17" s="1"/>
  <c r="U436" i="17" s="1"/>
  <c r="T376" i="17"/>
  <c r="T435" i="17" s="1"/>
  <c r="T21" i="17"/>
  <c r="T377" i="17" s="1"/>
  <c r="T436" i="17" s="1"/>
  <c r="AA85" i="17"/>
  <c r="Z205" i="17"/>
  <c r="Y376" i="17"/>
  <c r="Y435" i="17" s="1"/>
  <c r="Y21" i="17"/>
  <c r="Y377" i="17" s="1"/>
  <c r="Y436" i="17" s="1"/>
  <c r="Q285" i="17"/>
  <c r="Q288" i="17" s="1"/>
  <c r="Q47" i="17"/>
  <c r="P166" i="17"/>
  <c r="P22" i="17" s="1"/>
  <c r="P378" i="17" s="1"/>
  <c r="P437" i="17" s="1"/>
  <c r="P169" i="17"/>
  <c r="Q208" i="17"/>
  <c r="Q60" i="17"/>
  <c r="T396" i="17"/>
  <c r="T447" i="17"/>
  <c r="U166" i="17"/>
  <c r="U22" i="17" s="1"/>
  <c r="U378" i="17" s="1"/>
  <c r="U437" i="17" s="1"/>
  <c r="S368" i="17"/>
  <c r="T12" i="17"/>
  <c r="R281" i="17"/>
  <c r="R43" i="17"/>
  <c r="T449" i="17"/>
  <c r="T402" i="17"/>
  <c r="AB165" i="17"/>
  <c r="AB163" i="17"/>
  <c r="AB20" i="17"/>
  <c r="Y166" i="17"/>
  <c r="Y22" i="17" s="1"/>
  <c r="Y378" i="17" s="1"/>
  <c r="Y437" i="17" s="1"/>
  <c r="T166" i="17"/>
  <c r="T22" i="17" s="1"/>
  <c r="T378" i="17" s="1"/>
  <c r="T437" i="17" s="1"/>
  <c r="T82" i="17"/>
  <c r="S202" i="17"/>
  <c r="U100" i="17"/>
  <c r="S163" i="17"/>
  <c r="S165" i="17"/>
  <c r="S20" i="17"/>
  <c r="R374" i="17"/>
  <c r="R375" i="17" s="1"/>
  <c r="R19" i="17"/>
  <c r="S287" i="17"/>
  <c r="S48" i="17"/>
  <c r="U286" i="17"/>
  <c r="U46" i="17"/>
  <c r="U279" i="17"/>
  <c r="U108" i="17"/>
  <c r="U40" i="17"/>
  <c r="P403" i="17"/>
  <c r="P450" i="17"/>
  <c r="S374" i="17"/>
  <c r="S375" i="17" s="1"/>
  <c r="S19" i="17"/>
  <c r="U84" i="17"/>
  <c r="T204" i="17"/>
  <c r="L159" i="17"/>
  <c r="I159" i="17"/>
  <c r="AB374" i="17"/>
  <c r="AB375" i="17" s="1"/>
  <c r="AB19" i="17"/>
  <c r="P376" i="17"/>
  <c r="P435" i="17" s="1"/>
  <c r="P21" i="17"/>
  <c r="P377" i="17" s="1"/>
  <c r="P436" i="17" s="1"/>
  <c r="N165" i="17"/>
  <c r="N163" i="17"/>
  <c r="N20" i="17"/>
  <c r="U282" i="17"/>
  <c r="U44" i="17"/>
  <c r="T212" i="17"/>
  <c r="U89" i="17"/>
  <c r="T248" i="17"/>
  <c r="AA163" i="17"/>
  <c r="AA20" i="17"/>
  <c r="AA165" i="17"/>
  <c r="P448" i="17"/>
  <c r="P397" i="17"/>
  <c r="P38" i="17"/>
  <c r="T266" i="17"/>
  <c r="S249" i="17"/>
  <c r="S266" i="17"/>
  <c r="R249" i="17"/>
  <c r="AC376" i="17"/>
  <c r="AC435" i="17" s="1"/>
  <c r="AC21" i="17"/>
  <c r="AC377" i="17" s="1"/>
  <c r="AC436" i="17" s="1"/>
  <c r="T320" i="17"/>
  <c r="S321" i="17"/>
  <c r="L143" i="17"/>
  <c r="K144" i="17"/>
  <c r="K162" i="17"/>
  <c r="I143" i="17"/>
  <c r="Q399" i="17"/>
  <c r="Q41" i="17"/>
  <c r="AC166" i="17"/>
  <c r="AC22" i="17" s="1"/>
  <c r="AC378" i="17" s="1"/>
  <c r="AC437" i="17" s="1"/>
  <c r="R163" i="17"/>
  <c r="R165" i="17"/>
  <c r="R20" i="17"/>
  <c r="Z166" i="17"/>
  <c r="Z22" i="17" s="1"/>
  <c r="Z378" i="17" s="1"/>
  <c r="Z437" i="17" s="1"/>
  <c r="AA374" i="17"/>
  <c r="AA375" i="17" s="1"/>
  <c r="AA19" i="17"/>
  <c r="O453" i="17"/>
  <c r="O39" i="17"/>
  <c r="O454" i="17" s="1"/>
  <c r="N374" i="17"/>
  <c r="N19" i="17"/>
  <c r="L18" i="17"/>
  <c r="L19" i="17" s="1"/>
  <c r="AB374" i="16"/>
  <c r="AB375" i="16" s="1"/>
  <c r="AB19" i="16"/>
  <c r="S110" i="16"/>
  <c r="S111" i="16" s="1"/>
  <c r="Q404" i="16"/>
  <c r="Q451" i="16"/>
  <c r="Z166" i="16"/>
  <c r="Z22" i="16" s="1"/>
  <c r="Z378" i="16" s="1"/>
  <c r="Z437" i="16" s="1"/>
  <c r="V374" i="16"/>
  <c r="V375" i="16" s="1"/>
  <c r="V19" i="16"/>
  <c r="T286" i="16"/>
  <c r="T46" i="16"/>
  <c r="S248" i="16"/>
  <c r="Z376" i="16"/>
  <c r="Z435" i="16" s="1"/>
  <c r="Z21" i="16"/>
  <c r="Z377" i="16" s="1"/>
  <c r="Z436" i="16" s="1"/>
  <c r="S212" i="16"/>
  <c r="T89" i="16"/>
  <c r="T301" i="16"/>
  <c r="T303" i="16" s="1"/>
  <c r="S213" i="16"/>
  <c r="S309" i="16" s="1"/>
  <c r="R281" i="16"/>
  <c r="R43" i="16"/>
  <c r="Y284" i="16"/>
  <c r="R168" i="16"/>
  <c r="S401" i="16"/>
  <c r="T108" i="16"/>
  <c r="T279" i="16"/>
  <c r="T40" i="16"/>
  <c r="T321" i="16"/>
  <c r="U320" i="16"/>
  <c r="AB163" i="16"/>
  <c r="AB165" i="16"/>
  <c r="AB20" i="16"/>
  <c r="Q374" i="16"/>
  <c r="Q375" i="16" s="1"/>
  <c r="Q19" i="16"/>
  <c r="T283" i="16"/>
  <c r="T45" i="16"/>
  <c r="T401" i="16" s="1"/>
  <c r="N441" i="16"/>
  <c r="N263" i="16"/>
  <c r="N54" i="16"/>
  <c r="L54" i="16" s="1"/>
  <c r="K144" i="16"/>
  <c r="L143" i="16"/>
  <c r="K162" i="16"/>
  <c r="I143" i="16"/>
  <c r="S304" i="16"/>
  <c r="T100" i="16"/>
  <c r="R287" i="16"/>
  <c r="R48" i="16"/>
  <c r="R214" i="16"/>
  <c r="T82" i="16"/>
  <c r="S202" i="16"/>
  <c r="AA85" i="16"/>
  <c r="Z205" i="16"/>
  <c r="T163" i="16"/>
  <c r="T165" i="16"/>
  <c r="T20" i="16"/>
  <c r="R367" i="16"/>
  <c r="R433" i="16"/>
  <c r="R243" i="16"/>
  <c r="R258" i="16"/>
  <c r="R307" i="16"/>
  <c r="R197" i="16"/>
  <c r="R173" i="16"/>
  <c r="R277" i="16"/>
  <c r="R51" i="16"/>
  <c r="R223" i="16"/>
  <c r="S11" i="16"/>
  <c r="S91" i="16" s="1"/>
  <c r="R113" i="16"/>
  <c r="R67" i="16"/>
  <c r="Q262" i="16"/>
  <c r="U201" i="16"/>
  <c r="U203" i="16"/>
  <c r="U211" i="16"/>
  <c r="U204" i="16"/>
  <c r="V78" i="16"/>
  <c r="U200" i="16"/>
  <c r="AA374" i="16"/>
  <c r="AA375" i="16" s="1"/>
  <c r="AA19" i="16"/>
  <c r="N165" i="16"/>
  <c r="N163" i="16"/>
  <c r="N20" i="16"/>
  <c r="N374" i="16"/>
  <c r="L18" i="16"/>
  <c r="L19" i="16" s="1"/>
  <c r="N19" i="16"/>
  <c r="Q285" i="16"/>
  <c r="Q288" i="16" s="1"/>
  <c r="Q47" i="16"/>
  <c r="Q165" i="16"/>
  <c r="Q20" i="16"/>
  <c r="Q163" i="16"/>
  <c r="R376" i="16"/>
  <c r="R435" i="16" s="1"/>
  <c r="R21" i="16"/>
  <c r="R377" i="16" s="1"/>
  <c r="R436" i="16" s="1"/>
  <c r="P397" i="16"/>
  <c r="P448" i="16"/>
  <c r="S165" i="16"/>
  <c r="S20" i="16"/>
  <c r="S163" i="16"/>
  <c r="O394" i="16"/>
  <c r="S398" i="16"/>
  <c r="V165" i="16"/>
  <c r="V163" i="16"/>
  <c r="V20" i="16"/>
  <c r="S402" i="16"/>
  <c r="S449" i="16"/>
  <c r="Q208" i="16"/>
  <c r="Q60" i="16"/>
  <c r="U374" i="16"/>
  <c r="U375" i="16" s="1"/>
  <c r="U19" i="16"/>
  <c r="T280" i="16"/>
  <c r="T42" i="16"/>
  <c r="R166" i="16"/>
  <c r="R22" i="16" s="1"/>
  <c r="R378" i="16" s="1"/>
  <c r="R437" i="16" s="1"/>
  <c r="S374" i="16"/>
  <c r="S375" i="16" s="1"/>
  <c r="S19" i="16"/>
  <c r="U163" i="16"/>
  <c r="U20" i="16"/>
  <c r="U165" i="16"/>
  <c r="R295" i="16"/>
  <c r="S291" i="16"/>
  <c r="S293" i="16" s="1"/>
  <c r="L159" i="16"/>
  <c r="I159" i="16"/>
  <c r="AR76" i="16"/>
  <c r="AS75" i="16"/>
  <c r="AT75" i="16" s="1"/>
  <c r="P285" i="16"/>
  <c r="P47" i="16"/>
  <c r="O453" i="16"/>
  <c r="O39" i="16"/>
  <c r="O454" i="16" s="1"/>
  <c r="S368" i="16"/>
  <c r="T12" i="16"/>
  <c r="T374" i="16"/>
  <c r="T375" i="16" s="1"/>
  <c r="T19" i="16"/>
  <c r="Q399" i="16"/>
  <c r="Q41" i="16"/>
  <c r="AA165" i="16"/>
  <c r="AA20" i="16"/>
  <c r="AA163" i="16"/>
  <c r="T282" i="16"/>
  <c r="T44" i="16"/>
  <c r="T400" i="16" s="1"/>
  <c r="S396" i="16"/>
  <c r="S447" i="16"/>
  <c r="V81" i="17" l="1"/>
  <c r="U201" i="17"/>
  <c r="Q252" i="17"/>
  <c r="T280" i="17"/>
  <c r="T42" i="17"/>
  <c r="T398" i="17" s="1"/>
  <c r="T109" i="17"/>
  <c r="T110" i="17" s="1"/>
  <c r="T111" i="17" s="1"/>
  <c r="P171" i="16"/>
  <c r="P225" i="16" s="1"/>
  <c r="W21" i="17"/>
  <c r="W377" i="17" s="1"/>
  <c r="W436" i="17" s="1"/>
  <c r="W376" i="17"/>
  <c r="W435" i="17" s="1"/>
  <c r="Q170" i="17"/>
  <c r="Q171" i="17"/>
  <c r="Q225" i="17" s="1"/>
  <c r="O376" i="17"/>
  <c r="O435" i="17" s="1"/>
  <c r="O21" i="17"/>
  <c r="O377" i="17" s="1"/>
  <c r="O436" i="17" s="1"/>
  <c r="Q213" i="17"/>
  <c r="Q305" i="17" s="1"/>
  <c r="R301" i="17"/>
  <c r="O166" i="17"/>
  <c r="O22" i="17" s="1"/>
  <c r="O378" i="17" s="1"/>
  <c r="O437" i="17" s="1"/>
  <c r="O169" i="17"/>
  <c r="O170" i="17" s="1"/>
  <c r="O316" i="17" s="1"/>
  <c r="O376" i="16"/>
  <c r="O435" i="16" s="1"/>
  <c r="O21" i="16"/>
  <c r="O377" i="16" s="1"/>
  <c r="O436" i="16" s="1"/>
  <c r="R86" i="16"/>
  <c r="R206" i="16" s="1"/>
  <c r="R47" i="16" s="1"/>
  <c r="O166" i="16"/>
  <c r="O22" i="16" s="1"/>
  <c r="O378" i="16" s="1"/>
  <c r="O437" i="16" s="1"/>
  <c r="O169" i="16"/>
  <c r="Q289" i="17"/>
  <c r="Q227" i="17" s="1"/>
  <c r="Q59" i="17"/>
  <c r="Q448" i="17"/>
  <c r="Q397" i="17"/>
  <c r="Q38" i="17"/>
  <c r="AA166" i="17"/>
  <c r="AA22" i="17" s="1"/>
  <c r="AA378" i="17" s="1"/>
  <c r="AA437" i="17" s="1"/>
  <c r="R399" i="17"/>
  <c r="R41" i="17"/>
  <c r="U400" i="17"/>
  <c r="AB376" i="17"/>
  <c r="AB435" i="17" s="1"/>
  <c r="AB21" i="17"/>
  <c r="AB377" i="17" s="1"/>
  <c r="AB436" i="17" s="1"/>
  <c r="S295" i="17"/>
  <c r="T291" i="17"/>
  <c r="T293" i="17" s="1"/>
  <c r="W211" i="17"/>
  <c r="W203" i="17"/>
  <c r="X78" i="17"/>
  <c r="W200" i="17"/>
  <c r="T321" i="17"/>
  <c r="U320" i="17"/>
  <c r="U266" i="17"/>
  <c r="T249" i="17"/>
  <c r="N376" i="17"/>
  <c r="L20" i="17"/>
  <c r="N21" i="17"/>
  <c r="N377" i="17" s="1"/>
  <c r="N436" i="17" s="1"/>
  <c r="S166" i="17"/>
  <c r="S22" i="17" s="1"/>
  <c r="S378" i="17" s="1"/>
  <c r="S437" i="17" s="1"/>
  <c r="AB166" i="17"/>
  <c r="AB22" i="17" s="1"/>
  <c r="AB378" i="17" s="1"/>
  <c r="AB437" i="17" s="1"/>
  <c r="P170" i="17"/>
  <c r="P171" i="17" s="1"/>
  <c r="P225" i="17" s="1"/>
  <c r="P228" i="17" s="1"/>
  <c r="AB85" i="17"/>
  <c r="AA205" i="17"/>
  <c r="S307" i="17"/>
  <c r="S433" i="17"/>
  <c r="S277" i="17"/>
  <c r="S258" i="17"/>
  <c r="S262" i="17" s="1"/>
  <c r="S367" i="17"/>
  <c r="S223" i="17"/>
  <c r="S243" i="17"/>
  <c r="S173" i="17"/>
  <c r="S197" i="17"/>
  <c r="S113" i="17"/>
  <c r="S67" i="17"/>
  <c r="S86" i="17" s="1"/>
  <c r="S206" i="17" s="1"/>
  <c r="S51" i="17"/>
  <c r="T11" i="17"/>
  <c r="T91" i="17" s="1"/>
  <c r="V286" i="17"/>
  <c r="V46" i="17"/>
  <c r="R166" i="17"/>
  <c r="R22" i="17" s="1"/>
  <c r="R378" i="17" s="1"/>
  <c r="R437" i="17" s="1"/>
  <c r="K165" i="17"/>
  <c r="L162" i="17"/>
  <c r="K163" i="17"/>
  <c r="I162" i="17"/>
  <c r="P453" i="17"/>
  <c r="P39" i="17"/>
  <c r="P454" i="17" s="1"/>
  <c r="N169" i="17"/>
  <c r="N166" i="17"/>
  <c r="N22" i="17" s="1"/>
  <c r="N378" i="17" s="1"/>
  <c r="N437" i="17" s="1"/>
  <c r="U447" i="17"/>
  <c r="U396" i="17"/>
  <c r="S451" i="17"/>
  <c r="S404" i="17"/>
  <c r="Q450" i="17"/>
  <c r="Q403" i="17"/>
  <c r="O395" i="17"/>
  <c r="R285" i="17"/>
  <c r="R252" i="17" s="1"/>
  <c r="R47" i="17"/>
  <c r="V282" i="17"/>
  <c r="V44" i="17"/>
  <c r="V400" i="17" s="1"/>
  <c r="AA376" i="17"/>
  <c r="AA435" i="17" s="1"/>
  <c r="AA21" i="17"/>
  <c r="AA377" i="17" s="1"/>
  <c r="AA436" i="17" s="1"/>
  <c r="U82" i="17"/>
  <c r="T202" i="17"/>
  <c r="L374" i="17"/>
  <c r="L375" i="17" s="1"/>
  <c r="N375" i="17"/>
  <c r="R376" i="17"/>
  <c r="R435" i="17" s="1"/>
  <c r="R21" i="17"/>
  <c r="R377" i="17" s="1"/>
  <c r="R436" i="17" s="1"/>
  <c r="P394" i="17"/>
  <c r="P395" i="17" s="1"/>
  <c r="T283" i="17"/>
  <c r="T45" i="17"/>
  <c r="T401" i="17" s="1"/>
  <c r="U212" i="17"/>
  <c r="V89" i="17"/>
  <c r="V84" i="17"/>
  <c r="U204" i="17"/>
  <c r="U248" i="17"/>
  <c r="V100" i="17"/>
  <c r="S281" i="17"/>
  <c r="S43" i="17"/>
  <c r="V279" i="17"/>
  <c r="V40" i="17"/>
  <c r="V108" i="17"/>
  <c r="S401" i="17"/>
  <c r="Y356" i="17"/>
  <c r="S356" i="17"/>
  <c r="T287" i="17"/>
  <c r="T48" i="17"/>
  <c r="R60" i="17"/>
  <c r="R208" i="17"/>
  <c r="U449" i="17"/>
  <c r="U402" i="17"/>
  <c r="S376" i="17"/>
  <c r="S435" i="17" s="1"/>
  <c r="S21" i="17"/>
  <c r="S377" i="17" s="1"/>
  <c r="S436" i="17" s="1"/>
  <c r="T368" i="17"/>
  <c r="U12" i="17"/>
  <c r="Z284" i="17"/>
  <c r="AT78" i="17"/>
  <c r="AR79" i="17"/>
  <c r="AS78" i="17"/>
  <c r="Q59" i="16"/>
  <c r="P450" i="16"/>
  <c r="P403" i="16"/>
  <c r="T291" i="16"/>
  <c r="T293" i="16" s="1"/>
  <c r="S295" i="16"/>
  <c r="U282" i="16"/>
  <c r="U44" i="16"/>
  <c r="T110" i="16"/>
  <c r="T111" i="16" s="1"/>
  <c r="P288" i="16"/>
  <c r="P252" i="16"/>
  <c r="R208" i="16"/>
  <c r="R60" i="16"/>
  <c r="V166" i="16"/>
  <c r="V22" i="16" s="1"/>
  <c r="V378" i="16" s="1"/>
  <c r="V437" i="16" s="1"/>
  <c r="P38" i="16"/>
  <c r="Q403" i="16"/>
  <c r="Q450" i="16"/>
  <c r="U109" i="16"/>
  <c r="T376" i="16"/>
  <c r="T435" i="16" s="1"/>
  <c r="T21" i="16"/>
  <c r="T377" i="16" s="1"/>
  <c r="T436" i="16" s="1"/>
  <c r="AB376" i="16"/>
  <c r="AB435" i="16" s="1"/>
  <c r="AB21" i="16"/>
  <c r="AB377" i="16" s="1"/>
  <c r="AB436" i="16" s="1"/>
  <c r="R399" i="16"/>
  <c r="R41" i="16"/>
  <c r="AA376" i="16"/>
  <c r="AA435" i="16" s="1"/>
  <c r="AA21" i="16"/>
  <c r="AA377" i="16" s="1"/>
  <c r="AA436" i="16" s="1"/>
  <c r="U166" i="16"/>
  <c r="U22" i="16" s="1"/>
  <c r="U378" i="16" s="1"/>
  <c r="U437" i="16" s="1"/>
  <c r="U280" i="16"/>
  <c r="U42" i="16"/>
  <c r="T166" i="16"/>
  <c r="T22" i="16" s="1"/>
  <c r="T378" i="16" s="1"/>
  <c r="T437" i="16" s="1"/>
  <c r="R451" i="16"/>
  <c r="R404" i="16"/>
  <c r="L162" i="16"/>
  <c r="K163" i="16"/>
  <c r="K165" i="16"/>
  <c r="I162" i="16"/>
  <c r="AB166" i="16"/>
  <c r="AB22" i="16" s="1"/>
  <c r="AB378" i="16" s="1"/>
  <c r="AB437" i="16" s="1"/>
  <c r="T266" i="16"/>
  <c r="S249" i="16"/>
  <c r="S166" i="16"/>
  <c r="S22" i="16" s="1"/>
  <c r="S378" i="16" s="1"/>
  <c r="S437" i="16" s="1"/>
  <c r="Q169" i="16"/>
  <c r="Q166" i="16"/>
  <c r="Q22" i="16" s="1"/>
  <c r="Q378" i="16" s="1"/>
  <c r="Q437" i="16" s="1"/>
  <c r="N169" i="16"/>
  <c r="N166" i="16"/>
  <c r="N22" i="16" s="1"/>
  <c r="N378" i="16" s="1"/>
  <c r="N437" i="16" s="1"/>
  <c r="S168" i="16"/>
  <c r="S169" i="16" s="1"/>
  <c r="AA166" i="16"/>
  <c r="AA22" i="16" s="1"/>
  <c r="AA378" i="16" s="1"/>
  <c r="AA437" i="16" s="1"/>
  <c r="T368" i="16"/>
  <c r="U12" i="16"/>
  <c r="U376" i="16"/>
  <c r="U435" i="16" s="1"/>
  <c r="U21" i="16"/>
  <c r="U377" i="16" s="1"/>
  <c r="U436" i="16" s="1"/>
  <c r="R169" i="16"/>
  <c r="Q305" i="16"/>
  <c r="P394" i="16"/>
  <c r="P395" i="16" s="1"/>
  <c r="U279" i="16"/>
  <c r="U108" i="16"/>
  <c r="U40" i="16"/>
  <c r="V201" i="16"/>
  <c r="V211" i="16"/>
  <c r="V203" i="16"/>
  <c r="V204" i="16"/>
  <c r="W78" i="16"/>
  <c r="V200" i="16"/>
  <c r="AS76" i="16"/>
  <c r="AT76" i="16" s="1"/>
  <c r="AR77" i="16"/>
  <c r="Y356" i="16"/>
  <c r="S356" i="16"/>
  <c r="O395" i="16"/>
  <c r="L374" i="16"/>
  <c r="L375" i="16" s="1"/>
  <c r="N375" i="16"/>
  <c r="AB85" i="16"/>
  <c r="AA205" i="16"/>
  <c r="T398" i="16"/>
  <c r="N376" i="16"/>
  <c r="L20" i="16"/>
  <c r="N21" i="16"/>
  <c r="N377" i="16" s="1"/>
  <c r="N436" i="16" s="1"/>
  <c r="U283" i="16"/>
  <c r="U45" i="16"/>
  <c r="U401" i="16" s="1"/>
  <c r="S433" i="16"/>
  <c r="S367" i="16"/>
  <c r="S243" i="16"/>
  <c r="S277" i="16"/>
  <c r="S258" i="16"/>
  <c r="S307" i="16"/>
  <c r="S223" i="16"/>
  <c r="S197" i="16"/>
  <c r="S51" i="16"/>
  <c r="S173" i="16"/>
  <c r="S113" i="16"/>
  <c r="S67" i="16"/>
  <c r="T11" i="16"/>
  <c r="T91" i="16" s="1"/>
  <c r="S281" i="16"/>
  <c r="S43" i="16"/>
  <c r="Q252" i="16"/>
  <c r="T447" i="16"/>
  <c r="T396" i="16"/>
  <c r="T212" i="16"/>
  <c r="U89" i="16"/>
  <c r="Z284" i="16"/>
  <c r="U321" i="16"/>
  <c r="V320" i="16"/>
  <c r="R262" i="16"/>
  <c r="U301" i="16"/>
  <c r="U303" i="16" s="1"/>
  <c r="T213" i="16"/>
  <c r="T309" i="16" s="1"/>
  <c r="T449" i="16"/>
  <c r="T402" i="16"/>
  <c r="Q448" i="16"/>
  <c r="Q397" i="16"/>
  <c r="Q38" i="16"/>
  <c r="V376" i="16"/>
  <c r="V435" i="16" s="1"/>
  <c r="V21" i="16"/>
  <c r="V377" i="16" s="1"/>
  <c r="V436" i="16" s="1"/>
  <c r="S376" i="16"/>
  <c r="S435" i="16" s="1"/>
  <c r="S21" i="16"/>
  <c r="S377" i="16" s="1"/>
  <c r="S436" i="16" s="1"/>
  <c r="Q376" i="16"/>
  <c r="Q435" i="16" s="1"/>
  <c r="Q21" i="16"/>
  <c r="Q377" i="16" s="1"/>
  <c r="Q436" i="16" s="1"/>
  <c r="U286" i="16"/>
  <c r="U46" i="16"/>
  <c r="U82" i="16"/>
  <c r="T202" i="16"/>
  <c r="T304" i="16"/>
  <c r="U100" i="16"/>
  <c r="T248" i="16"/>
  <c r="S287" i="16"/>
  <c r="S48" i="16"/>
  <c r="S214" i="16"/>
  <c r="P253" i="16" l="1"/>
  <c r="R285" i="16"/>
  <c r="R288" i="16" s="1"/>
  <c r="V109" i="16"/>
  <c r="U109" i="17"/>
  <c r="U110" i="17" s="1"/>
  <c r="U111" i="17" s="1"/>
  <c r="U280" i="17"/>
  <c r="U42" i="17"/>
  <c r="U398" i="17" s="1"/>
  <c r="R288" i="17"/>
  <c r="R289" i="17" s="1"/>
  <c r="R227" i="17" s="1"/>
  <c r="W81" i="17"/>
  <c r="V201" i="17"/>
  <c r="S86" i="16"/>
  <c r="S206" i="16" s="1"/>
  <c r="S285" i="16" s="1"/>
  <c r="Q309" i="17"/>
  <c r="Q214" i="17"/>
  <c r="Q316" i="17"/>
  <c r="Q253" i="17"/>
  <c r="Q261" i="17" s="1"/>
  <c r="Q264" i="17" s="1"/>
  <c r="Q228" i="17"/>
  <c r="Q53" i="17" s="1"/>
  <c r="Q55" i="17" s="1"/>
  <c r="R303" i="17"/>
  <c r="R304" i="17" s="1"/>
  <c r="R168" i="17" s="1"/>
  <c r="R169" i="17" s="1"/>
  <c r="R170" i="17" s="1"/>
  <c r="R171" i="17" s="1"/>
  <c r="R225" i="17" s="1"/>
  <c r="O171" i="17"/>
  <c r="O225" i="17" s="1"/>
  <c r="O170" i="16"/>
  <c r="O171" i="16" s="1"/>
  <c r="O225" i="16" s="1"/>
  <c r="P355" i="17"/>
  <c r="L21" i="17"/>
  <c r="N170" i="17"/>
  <c r="S285" i="17"/>
  <c r="S288" i="17" s="1"/>
  <c r="S47" i="17"/>
  <c r="N435" i="17"/>
  <c r="L376" i="17"/>
  <c r="V355" i="17" s="1"/>
  <c r="X211" i="17"/>
  <c r="X203" i="17"/>
  <c r="Y78" i="17"/>
  <c r="X200" i="17"/>
  <c r="V396" i="17"/>
  <c r="V447" i="17"/>
  <c r="V266" i="17"/>
  <c r="U249" i="17"/>
  <c r="T404" i="17"/>
  <c r="T451" i="17"/>
  <c r="V248" i="17"/>
  <c r="U283" i="17"/>
  <c r="U45" i="17"/>
  <c r="U401" i="17" s="1"/>
  <c r="W282" i="17"/>
  <c r="W44" i="17"/>
  <c r="P440" i="17"/>
  <c r="P322" i="17"/>
  <c r="P324" i="17" s="1"/>
  <c r="P53" i="17"/>
  <c r="P55" i="17" s="1"/>
  <c r="AT79" i="17"/>
  <c r="AR80" i="17"/>
  <c r="AS79" i="17"/>
  <c r="L165" i="17"/>
  <c r="K166" i="17"/>
  <c r="S399" i="17"/>
  <c r="S41" i="17"/>
  <c r="W84" i="17"/>
  <c r="V204" i="17"/>
  <c r="V402" i="17"/>
  <c r="V449" i="17"/>
  <c r="U321" i="17"/>
  <c r="V320" i="17"/>
  <c r="Q453" i="17"/>
  <c r="Q39" i="17"/>
  <c r="Q454" i="17" s="1"/>
  <c r="V212" i="17"/>
  <c r="W89" i="17"/>
  <c r="T281" i="17"/>
  <c r="T43" i="17"/>
  <c r="R450" i="17"/>
  <c r="R403" i="17"/>
  <c r="AA284" i="17"/>
  <c r="W286" i="17"/>
  <c r="W46" i="17"/>
  <c r="R448" i="17"/>
  <c r="R397" i="17"/>
  <c r="R38" i="17"/>
  <c r="Q394" i="17"/>
  <c r="Q395" i="17" s="1"/>
  <c r="U287" i="17"/>
  <c r="U48" i="17"/>
  <c r="V82" i="17"/>
  <c r="U202" i="17"/>
  <c r="AC85" i="17"/>
  <c r="AC205" i="17" s="1"/>
  <c r="AB205" i="17"/>
  <c r="W279" i="17"/>
  <c r="W40" i="17"/>
  <c r="W108" i="17"/>
  <c r="T295" i="17"/>
  <c r="U291" i="17"/>
  <c r="U293" i="17" s="1"/>
  <c r="U368" i="17"/>
  <c r="V12" i="17"/>
  <c r="W100" i="17"/>
  <c r="T433" i="17"/>
  <c r="T367" i="17"/>
  <c r="T307" i="17"/>
  <c r="T243" i="17"/>
  <c r="T277" i="17"/>
  <c r="T223" i="17"/>
  <c r="T258" i="17"/>
  <c r="T262" i="17" s="1"/>
  <c r="T197" i="17"/>
  <c r="T113" i="17"/>
  <c r="T173" i="17"/>
  <c r="T51" i="17"/>
  <c r="T67" i="17"/>
  <c r="T86" i="17" s="1"/>
  <c r="T206" i="17" s="1"/>
  <c r="U11" i="17"/>
  <c r="U91" i="17" s="1"/>
  <c r="P253" i="17"/>
  <c r="P316" i="17"/>
  <c r="S208" i="17"/>
  <c r="S60" i="17"/>
  <c r="R289" i="16"/>
  <c r="R227" i="16" s="1"/>
  <c r="R59" i="16"/>
  <c r="R305" i="16"/>
  <c r="AA284" i="16"/>
  <c r="P289" i="16"/>
  <c r="P227" i="16" s="1"/>
  <c r="P228" i="16" s="1"/>
  <c r="P59" i="16"/>
  <c r="P305" i="16"/>
  <c r="S399" i="16"/>
  <c r="S41" i="16"/>
  <c r="AC85" i="16"/>
  <c r="AC205" i="16" s="1"/>
  <c r="AB205" i="16"/>
  <c r="S404" i="16"/>
  <c r="S451" i="16"/>
  <c r="V82" i="16"/>
  <c r="U202" i="16"/>
  <c r="V282" i="16"/>
  <c r="V44" i="16"/>
  <c r="V400" i="16" s="1"/>
  <c r="U447" i="16"/>
  <c r="U396" i="16"/>
  <c r="N170" i="16"/>
  <c r="N171" i="16" s="1"/>
  <c r="R252" i="16"/>
  <c r="P453" i="16"/>
  <c r="P39" i="16"/>
  <c r="P454" i="16" s="1"/>
  <c r="U449" i="16"/>
  <c r="U402" i="16"/>
  <c r="T433" i="16"/>
  <c r="T367" i="16"/>
  <c r="T307" i="16"/>
  <c r="T277" i="16"/>
  <c r="T258" i="16"/>
  <c r="T243" i="16"/>
  <c r="T223" i="16"/>
  <c r="T113" i="16"/>
  <c r="T197" i="16"/>
  <c r="T173" i="16"/>
  <c r="T51" i="16"/>
  <c r="T67" i="16"/>
  <c r="U11" i="16"/>
  <c r="U91" i="16" s="1"/>
  <c r="S262" i="16"/>
  <c r="P355" i="16"/>
  <c r="L21" i="16"/>
  <c r="AR78" i="16"/>
  <c r="AS77" i="16"/>
  <c r="AT77" i="16" s="1"/>
  <c r="U110" i="16"/>
  <c r="U111" i="16" s="1"/>
  <c r="U368" i="16"/>
  <c r="V12" i="16"/>
  <c r="U400" i="16"/>
  <c r="K166" i="16"/>
  <c r="L165" i="16"/>
  <c r="U248" i="16"/>
  <c r="V280" i="16"/>
  <c r="V42" i="16"/>
  <c r="S60" i="16"/>
  <c r="S208" i="16"/>
  <c r="W320" i="16"/>
  <c r="V321" i="16"/>
  <c r="V283" i="16"/>
  <c r="V45" i="16"/>
  <c r="V401" i="16" s="1"/>
  <c r="R170" i="16"/>
  <c r="U398" i="16"/>
  <c r="T281" i="16"/>
  <c r="T43" i="16"/>
  <c r="U266" i="16"/>
  <c r="T249" i="16"/>
  <c r="U212" i="16"/>
  <c r="V89" i="16"/>
  <c r="N435" i="16"/>
  <c r="L376" i="16"/>
  <c r="V355" i="16" s="1"/>
  <c r="V286" i="16"/>
  <c r="V46" i="16"/>
  <c r="Q170" i="16"/>
  <c r="Q171" i="16" s="1"/>
  <c r="Q225" i="16" s="1"/>
  <c r="Q453" i="16"/>
  <c r="Q39" i="16"/>
  <c r="Q454" i="16" s="1"/>
  <c r="V301" i="16"/>
  <c r="V303" i="16" s="1"/>
  <c r="U213" i="16"/>
  <c r="U309" i="16" s="1"/>
  <c r="T287" i="16"/>
  <c r="T48" i="16"/>
  <c r="T214" i="16"/>
  <c r="U304" i="16"/>
  <c r="V100" i="16"/>
  <c r="Q394" i="16"/>
  <c r="P261" i="16"/>
  <c r="P264" i="16" s="1"/>
  <c r="P254" i="16"/>
  <c r="V279" i="16"/>
  <c r="V40" i="16"/>
  <c r="V108" i="16"/>
  <c r="S170" i="16"/>
  <c r="S171" i="16" s="1"/>
  <c r="S225" i="16" s="1"/>
  <c r="U291" i="16"/>
  <c r="U293" i="16" s="1"/>
  <c r="T295" i="16"/>
  <c r="Q289" i="16"/>
  <c r="Q227" i="16" s="1"/>
  <c r="T168" i="16"/>
  <c r="T169" i="16" s="1"/>
  <c r="W204" i="16"/>
  <c r="W203" i="16"/>
  <c r="W211" i="16"/>
  <c r="W201" i="16"/>
  <c r="X78" i="16"/>
  <c r="W200" i="16"/>
  <c r="R450" i="16"/>
  <c r="R403" i="16"/>
  <c r="R397" i="16"/>
  <c r="R448" i="16"/>
  <c r="R38" i="16"/>
  <c r="R394" i="16" l="1"/>
  <c r="R395" i="16" s="1"/>
  <c r="S47" i="16"/>
  <c r="P256" i="16"/>
  <c r="P255" i="16" s="1"/>
  <c r="R59" i="17"/>
  <c r="R228" i="17"/>
  <c r="R440" i="17" s="1"/>
  <c r="Q322" i="17"/>
  <c r="Q324" i="17" s="1"/>
  <c r="Q23" i="17" s="1"/>
  <c r="Q379" i="17" s="1"/>
  <c r="Q440" i="17"/>
  <c r="X81" i="17"/>
  <c r="W201" i="17"/>
  <c r="V280" i="17"/>
  <c r="V42" i="17"/>
  <c r="V398" i="17" s="1"/>
  <c r="V109" i="17"/>
  <c r="V110" i="17" s="1"/>
  <c r="V111" i="17" s="1"/>
  <c r="S288" i="16"/>
  <c r="S289" i="16" s="1"/>
  <c r="S227" i="16" s="1"/>
  <c r="S228" i="16" s="1"/>
  <c r="S252" i="16"/>
  <c r="W109" i="16"/>
  <c r="T86" i="16"/>
  <c r="T206" i="16" s="1"/>
  <c r="T285" i="16" s="1"/>
  <c r="T288" i="16" s="1"/>
  <c r="Q254" i="17"/>
  <c r="Q256" i="17" s="1"/>
  <c r="Q255" i="17" s="1"/>
  <c r="S301" i="17"/>
  <c r="R213" i="17"/>
  <c r="O316" i="16"/>
  <c r="S289" i="17"/>
  <c r="S227" i="17" s="1"/>
  <c r="S59" i="17"/>
  <c r="T208" i="17"/>
  <c r="T60" i="17"/>
  <c r="W320" i="17"/>
  <c r="V321" i="17"/>
  <c r="U433" i="17"/>
  <c r="U367" i="17"/>
  <c r="U307" i="17"/>
  <c r="U243" i="17"/>
  <c r="U258" i="17"/>
  <c r="U262" i="17" s="1"/>
  <c r="U223" i="17"/>
  <c r="U277" i="17"/>
  <c r="U197" i="17"/>
  <c r="U113" i="17"/>
  <c r="U51" i="17"/>
  <c r="U173" i="17"/>
  <c r="U67" i="17"/>
  <c r="U86" i="17" s="1"/>
  <c r="U206" i="17" s="1"/>
  <c r="V11" i="17"/>
  <c r="V91" i="17" s="1"/>
  <c r="W82" i="17"/>
  <c r="V202" i="17"/>
  <c r="V287" i="17"/>
  <c r="V48" i="17"/>
  <c r="R253" i="17"/>
  <c r="R316" i="17"/>
  <c r="N316" i="17"/>
  <c r="T285" i="17"/>
  <c r="T288" i="17" s="1"/>
  <c r="T47" i="17"/>
  <c r="W447" i="17"/>
  <c r="W396" i="17"/>
  <c r="W449" i="17"/>
  <c r="W402" i="17"/>
  <c r="S252" i="17"/>
  <c r="W400" i="17"/>
  <c r="X286" i="17"/>
  <c r="X46" i="17"/>
  <c r="N171" i="17"/>
  <c r="W248" i="17"/>
  <c r="U451" i="17"/>
  <c r="U404" i="17"/>
  <c r="T399" i="17"/>
  <c r="T41" i="17"/>
  <c r="Y358" i="17"/>
  <c r="S358" i="17"/>
  <c r="L22" i="17"/>
  <c r="L378" i="17" s="1"/>
  <c r="AT80" i="17"/>
  <c r="AR81" i="17"/>
  <c r="AS80" i="17"/>
  <c r="W266" i="17"/>
  <c r="V249" i="17"/>
  <c r="X279" i="17"/>
  <c r="X108" i="17"/>
  <c r="X40" i="17"/>
  <c r="P261" i="17"/>
  <c r="P264" i="17" s="1"/>
  <c r="P254" i="17"/>
  <c r="P256" i="17" s="1"/>
  <c r="P255" i="17" s="1"/>
  <c r="R394" i="17"/>
  <c r="X89" i="17"/>
  <c r="W212" i="17"/>
  <c r="S448" i="17"/>
  <c r="S397" i="17"/>
  <c r="S38" i="17"/>
  <c r="X282" i="17"/>
  <c r="X44" i="17"/>
  <c r="X400" i="17" s="1"/>
  <c r="X100" i="17"/>
  <c r="Q327" i="17"/>
  <c r="V368" i="17"/>
  <c r="W12" i="17"/>
  <c r="AB284" i="17"/>
  <c r="AC284" i="17"/>
  <c r="Y203" i="17"/>
  <c r="Y211" i="17"/>
  <c r="Z78" i="17"/>
  <c r="Y200" i="17"/>
  <c r="S357" i="17"/>
  <c r="L377" i="17"/>
  <c r="Y357" i="17"/>
  <c r="V283" i="17"/>
  <c r="V45" i="17"/>
  <c r="V401" i="17" s="1"/>
  <c r="U281" i="17"/>
  <c r="U43" i="17"/>
  <c r="V291" i="17"/>
  <c r="V293" i="17" s="1"/>
  <c r="U295" i="17"/>
  <c r="R453" i="17"/>
  <c r="R39" i="17"/>
  <c r="R454" i="17" s="1"/>
  <c r="X84" i="17"/>
  <c r="W204" i="17"/>
  <c r="P327" i="17"/>
  <c r="P330" i="17" s="1"/>
  <c r="P23" i="17"/>
  <c r="P379" i="17" s="1"/>
  <c r="S450" i="17"/>
  <c r="S403" i="17"/>
  <c r="R453" i="16"/>
  <c r="R39" i="16"/>
  <c r="R454" i="16" s="1"/>
  <c r="R253" i="16"/>
  <c r="R316" i="16"/>
  <c r="AR79" i="16"/>
  <c r="AT78" i="16"/>
  <c r="AS78" i="16"/>
  <c r="AB284" i="16"/>
  <c r="N316" i="16"/>
  <c r="U295" i="16"/>
  <c r="V291" i="16"/>
  <c r="V293" i="16" s="1"/>
  <c r="T399" i="16"/>
  <c r="T41" i="16"/>
  <c r="V266" i="16"/>
  <c r="U249" i="16"/>
  <c r="W82" i="16"/>
  <c r="V202" i="16"/>
  <c r="W282" i="16"/>
  <c r="W44" i="16"/>
  <c r="W400" i="16" s="1"/>
  <c r="S316" i="16"/>
  <c r="V304" i="16"/>
  <c r="W100" i="16"/>
  <c r="W321" i="16"/>
  <c r="X320" i="16"/>
  <c r="S403" i="16"/>
  <c r="S450" i="16"/>
  <c r="U433" i="16"/>
  <c r="U307" i="16"/>
  <c r="U367" i="16"/>
  <c r="U223" i="16"/>
  <c r="U243" i="16"/>
  <c r="U277" i="16"/>
  <c r="U113" i="16"/>
  <c r="U258" i="16"/>
  <c r="U173" i="16"/>
  <c r="U197" i="16"/>
  <c r="U67" i="16"/>
  <c r="V11" i="16"/>
  <c r="V91" i="16" s="1"/>
  <c r="U51" i="16"/>
  <c r="T262" i="16"/>
  <c r="V449" i="16"/>
  <c r="V402" i="16"/>
  <c r="V398" i="16"/>
  <c r="N217" i="16"/>
  <c r="N225" i="16"/>
  <c r="U281" i="16"/>
  <c r="U43" i="16"/>
  <c r="W286" i="16"/>
  <c r="W46" i="16"/>
  <c r="W301" i="16"/>
  <c r="W303" i="16" s="1"/>
  <c r="V213" i="16"/>
  <c r="V309" i="16" s="1"/>
  <c r="S448" i="16"/>
  <c r="S397" i="16"/>
  <c r="S38" i="16"/>
  <c r="Q395" i="16"/>
  <c r="V110" i="16"/>
  <c r="V111" i="16" s="1"/>
  <c r="V212" i="16"/>
  <c r="W89" i="16"/>
  <c r="W280" i="16"/>
  <c r="W42" i="16"/>
  <c r="V368" i="16"/>
  <c r="W12" i="16"/>
  <c r="W283" i="16"/>
  <c r="W45" i="16"/>
  <c r="W401" i="16" s="1"/>
  <c r="U168" i="16"/>
  <c r="U169" i="16" s="1"/>
  <c r="W279" i="16"/>
  <c r="W108" i="16"/>
  <c r="W40" i="16"/>
  <c r="T170" i="16"/>
  <c r="T171" i="16" s="1"/>
  <c r="T225" i="16" s="1"/>
  <c r="V396" i="16"/>
  <c r="V447" i="16"/>
  <c r="Q253" i="16"/>
  <c r="Q316" i="16"/>
  <c r="U287" i="16"/>
  <c r="U48" i="16"/>
  <c r="U214" i="16"/>
  <c r="P440" i="16"/>
  <c r="P322" i="16"/>
  <c r="P324" i="16" s="1"/>
  <c r="P53" i="16"/>
  <c r="P55" i="16" s="1"/>
  <c r="T208" i="16"/>
  <c r="T60" i="16"/>
  <c r="Y357" i="16"/>
  <c r="S357" i="16"/>
  <c r="L377" i="16"/>
  <c r="AC284" i="16"/>
  <c r="X204" i="16"/>
  <c r="X201" i="16"/>
  <c r="X203" i="16"/>
  <c r="Y78" i="16"/>
  <c r="X211" i="16"/>
  <c r="X200" i="16"/>
  <c r="V248" i="16"/>
  <c r="T451" i="16"/>
  <c r="T404" i="16"/>
  <c r="Q228" i="16"/>
  <c r="R171" i="16"/>
  <c r="R225" i="16" s="1"/>
  <c r="R228" i="16" s="1"/>
  <c r="Y358" i="16"/>
  <c r="S358" i="16"/>
  <c r="L22" i="16"/>
  <c r="L378" i="16" s="1"/>
  <c r="R53" i="17" l="1"/>
  <c r="R55" i="17" s="1"/>
  <c r="Q330" i="17"/>
  <c r="S59" i="16"/>
  <c r="S305" i="16"/>
  <c r="R322" i="17"/>
  <c r="R324" i="17" s="1"/>
  <c r="R327" i="17" s="1"/>
  <c r="R330" i="17" s="1"/>
  <c r="T252" i="17"/>
  <c r="W280" i="17"/>
  <c r="W109" i="17"/>
  <c r="W110" i="17" s="1"/>
  <c r="W111" i="17" s="1"/>
  <c r="W42" i="17"/>
  <c r="W398" i="17" s="1"/>
  <c r="Y81" i="17"/>
  <c r="X201" i="17"/>
  <c r="T47" i="16"/>
  <c r="T403" i="16" s="1"/>
  <c r="S253" i="16"/>
  <c r="R309" i="17"/>
  <c r="R214" i="17"/>
  <c r="R305" i="17"/>
  <c r="S303" i="17"/>
  <c r="U262" i="16"/>
  <c r="X109" i="16"/>
  <c r="T289" i="17"/>
  <c r="T227" i="17" s="1"/>
  <c r="T59" i="17"/>
  <c r="X82" i="17"/>
  <c r="W202" i="17"/>
  <c r="W321" i="17"/>
  <c r="X320" i="17"/>
  <c r="W283" i="17"/>
  <c r="W45" i="17"/>
  <c r="W401" i="17" s="1"/>
  <c r="V295" i="17"/>
  <c r="W291" i="17"/>
  <c r="W293" i="17" s="1"/>
  <c r="Y286" i="17"/>
  <c r="Y46" i="17"/>
  <c r="W368" i="17"/>
  <c r="X12" i="17"/>
  <c r="AS81" i="17"/>
  <c r="AT81" i="17"/>
  <c r="AR82" i="17"/>
  <c r="Y100" i="17"/>
  <c r="T448" i="17"/>
  <c r="T397" i="17"/>
  <c r="T38" i="17"/>
  <c r="V281" i="17"/>
  <c r="V43" i="17"/>
  <c r="Y84" i="17"/>
  <c r="X204" i="17"/>
  <c r="S453" i="17"/>
  <c r="S39" i="17"/>
  <c r="S454" i="17" s="1"/>
  <c r="R261" i="17"/>
  <c r="R264" i="17" s="1"/>
  <c r="R254" i="17"/>
  <c r="R256" i="17" s="1"/>
  <c r="R255" i="17" s="1"/>
  <c r="X212" i="17"/>
  <c r="Y89" i="17"/>
  <c r="U208" i="17"/>
  <c r="U60" i="17"/>
  <c r="R395" i="17"/>
  <c r="U399" i="17"/>
  <c r="U41" i="17"/>
  <c r="S394" i="17"/>
  <c r="S395" i="17" s="1"/>
  <c r="X447" i="17"/>
  <c r="X396" i="17"/>
  <c r="X266" i="17"/>
  <c r="W249" i="17"/>
  <c r="T403" i="17"/>
  <c r="T450" i="17"/>
  <c r="V433" i="17"/>
  <c r="V367" i="17"/>
  <c r="V277" i="17"/>
  <c r="V258" i="17"/>
  <c r="V262" i="17" s="1"/>
  <c r="V243" i="17"/>
  <c r="V307" i="17"/>
  <c r="V197" i="17"/>
  <c r="V173" i="17"/>
  <c r="V67" i="17"/>
  <c r="V86" i="17" s="1"/>
  <c r="V206" i="17" s="1"/>
  <c r="V223" i="17"/>
  <c r="W11" i="17"/>
  <c r="W91" i="17" s="1"/>
  <c r="V113" i="17"/>
  <c r="V51" i="17"/>
  <c r="Z211" i="17"/>
  <c r="Z203" i="17"/>
  <c r="AA78" i="17"/>
  <c r="Z200" i="17"/>
  <c r="Y282" i="17"/>
  <c r="Y44" i="17"/>
  <c r="Y400" i="17" s="1"/>
  <c r="U285" i="17"/>
  <c r="U252" i="17" s="1"/>
  <c r="U47" i="17"/>
  <c r="X402" i="17"/>
  <c r="X449" i="17"/>
  <c r="Y279" i="17"/>
  <c r="Y108" i="17"/>
  <c r="Y40" i="17"/>
  <c r="W287" i="17"/>
  <c r="W48" i="17"/>
  <c r="X248" i="17"/>
  <c r="N225" i="17"/>
  <c r="N217" i="17"/>
  <c r="V404" i="17"/>
  <c r="V451" i="17"/>
  <c r="T289" i="16"/>
  <c r="T227" i="16" s="1"/>
  <c r="T228" i="16" s="1"/>
  <c r="T59" i="16"/>
  <c r="T305" i="16"/>
  <c r="X279" i="16"/>
  <c r="X108" i="16"/>
  <c r="X40" i="16"/>
  <c r="W110" i="16"/>
  <c r="W111" i="16" s="1"/>
  <c r="X286" i="16"/>
  <c r="X46" i="16"/>
  <c r="Q261" i="16"/>
  <c r="Q264" i="16" s="1"/>
  <c r="Q254" i="16"/>
  <c r="Q256" i="16" s="1"/>
  <c r="Q255" i="16" s="1"/>
  <c r="W248" i="16"/>
  <c r="W212" i="16"/>
  <c r="X89" i="16"/>
  <c r="U170" i="16"/>
  <c r="U171" i="16" s="1"/>
  <c r="U225" i="16" s="1"/>
  <c r="V287" i="16"/>
  <c r="V48" i="16"/>
  <c r="V214" i="16"/>
  <c r="X321" i="16"/>
  <c r="Y320" i="16"/>
  <c r="T252" i="16"/>
  <c r="T448" i="16"/>
  <c r="T397" i="16"/>
  <c r="R261" i="16"/>
  <c r="R264" i="16" s="1"/>
  <c r="R254" i="16"/>
  <c r="R256" i="16" s="1"/>
  <c r="R255" i="16" s="1"/>
  <c r="S453" i="16"/>
  <c r="S39" i="16"/>
  <c r="S454" i="16" s="1"/>
  <c r="U399" i="16"/>
  <c r="U41" i="16"/>
  <c r="AR80" i="16"/>
  <c r="AT79" i="16"/>
  <c r="AS79" i="16"/>
  <c r="R440" i="16"/>
  <c r="R322" i="16"/>
  <c r="R324" i="16" s="1"/>
  <c r="R53" i="16"/>
  <c r="R55" i="16" s="1"/>
  <c r="S394" i="16"/>
  <c r="Q440" i="16"/>
  <c r="Q322" i="16"/>
  <c r="Q324" i="16" s="1"/>
  <c r="Q53" i="16"/>
  <c r="Q55" i="16" s="1"/>
  <c r="Y211" i="16"/>
  <c r="Y204" i="16"/>
  <c r="Y203" i="16"/>
  <c r="Y201" i="16"/>
  <c r="Z78" i="16"/>
  <c r="Y200" i="16"/>
  <c r="P327" i="16"/>
  <c r="P330" i="16" s="1"/>
  <c r="P23" i="16"/>
  <c r="P379" i="16" s="1"/>
  <c r="W398" i="16"/>
  <c r="X301" i="16"/>
  <c r="X303" i="16" s="1"/>
  <c r="W213" i="16"/>
  <c r="W309" i="16" s="1"/>
  <c r="O217" i="16"/>
  <c r="N221" i="16"/>
  <c r="V433" i="16"/>
  <c r="V367" i="16"/>
  <c r="V223" i="16"/>
  <c r="V277" i="16"/>
  <c r="V258" i="16"/>
  <c r="V243" i="16"/>
  <c r="V307" i="16"/>
  <c r="V173" i="16"/>
  <c r="W11" i="16"/>
  <c r="W91" i="16" s="1"/>
  <c r="V113" i="16"/>
  <c r="V197" i="16"/>
  <c r="V51" i="16"/>
  <c r="V67" i="16"/>
  <c r="W304" i="16"/>
  <c r="X100" i="16"/>
  <c r="W291" i="16"/>
  <c r="W293" i="16" s="1"/>
  <c r="V295" i="16"/>
  <c r="W266" i="16"/>
  <c r="V249" i="16"/>
  <c r="X282" i="16"/>
  <c r="X44" i="16"/>
  <c r="X400" i="16" s="1"/>
  <c r="T316" i="16"/>
  <c r="W449" i="16"/>
  <c r="W402" i="16"/>
  <c r="U86" i="16"/>
  <c r="U206" i="16" s="1"/>
  <c r="V168" i="16"/>
  <c r="V169" i="16" s="1"/>
  <c r="V281" i="16"/>
  <c r="V43" i="16"/>
  <c r="U60" i="16"/>
  <c r="U208" i="16"/>
  <c r="X280" i="16"/>
  <c r="X42" i="16"/>
  <c r="U451" i="16"/>
  <c r="U404" i="16"/>
  <c r="S440" i="16"/>
  <c r="S322" i="16"/>
  <c r="S324" i="16" s="1"/>
  <c r="S53" i="16"/>
  <c r="S55" i="16" s="1"/>
  <c r="T450" i="16"/>
  <c r="X82" i="16"/>
  <c r="W202" i="16"/>
  <c r="X283" i="16"/>
  <c r="X45" i="16"/>
  <c r="X401" i="16" s="1"/>
  <c r="W447" i="16"/>
  <c r="W396" i="16"/>
  <c r="W368" i="16"/>
  <c r="X12" i="16"/>
  <c r="S261" i="16"/>
  <c r="S264" i="16" s="1"/>
  <c r="S254" i="16"/>
  <c r="S256" i="16" s="1"/>
  <c r="S255" i="16" s="1"/>
  <c r="R23" i="17" l="1"/>
  <c r="R379" i="17" s="1"/>
  <c r="T394" i="16"/>
  <c r="T395" i="16" s="1"/>
  <c r="T38" i="16"/>
  <c r="Z81" i="17"/>
  <c r="Y201" i="17"/>
  <c r="X42" i="17"/>
  <c r="X398" i="17" s="1"/>
  <c r="X280" i="17"/>
  <c r="X109" i="17"/>
  <c r="X110" i="17" s="1"/>
  <c r="X111" i="17" s="1"/>
  <c r="T394" i="17"/>
  <c r="T395" i="17" s="1"/>
  <c r="V86" i="16"/>
  <c r="V206" i="16" s="1"/>
  <c r="V47" i="16" s="1"/>
  <c r="T301" i="17"/>
  <c r="S213" i="17"/>
  <c r="S304" i="17"/>
  <c r="T253" i="16"/>
  <c r="T261" i="16" s="1"/>
  <c r="T264" i="16" s="1"/>
  <c r="Y109" i="16"/>
  <c r="X287" i="17"/>
  <c r="X48" i="17"/>
  <c r="Y396" i="17"/>
  <c r="Y447" i="17"/>
  <c r="O217" i="17"/>
  <c r="N221" i="17"/>
  <c r="Z282" i="17"/>
  <c r="Z44" i="17"/>
  <c r="Z400" i="17" s="1"/>
  <c r="X283" i="17"/>
  <c r="X45" i="17"/>
  <c r="X401" i="17" s="1"/>
  <c r="Z100" i="17"/>
  <c r="X368" i="17"/>
  <c r="Y12" i="17"/>
  <c r="V399" i="17"/>
  <c r="V41" i="17"/>
  <c r="V208" i="17"/>
  <c r="V60" i="17"/>
  <c r="Y248" i="17"/>
  <c r="U288" i="17"/>
  <c r="Y320" i="17"/>
  <c r="X321" i="17"/>
  <c r="W281" i="17"/>
  <c r="W43" i="17"/>
  <c r="AA211" i="17"/>
  <c r="AA203" i="17"/>
  <c r="AB78" i="17"/>
  <c r="AA200" i="17"/>
  <c r="Y266" i="17"/>
  <c r="X249" i="17"/>
  <c r="U450" i="17"/>
  <c r="U403" i="17"/>
  <c r="Z286" i="17"/>
  <c r="Z46" i="17"/>
  <c r="Z84" i="17"/>
  <c r="Y204" i="17"/>
  <c r="Y449" i="17"/>
  <c r="Y402" i="17"/>
  <c r="W433" i="17"/>
  <c r="W367" i="17"/>
  <c r="W307" i="17"/>
  <c r="W277" i="17"/>
  <c r="W223" i="17"/>
  <c r="W243" i="17"/>
  <c r="W197" i="17"/>
  <c r="W258" i="17"/>
  <c r="W262" i="17" s="1"/>
  <c r="W173" i="17"/>
  <c r="W113" i="17"/>
  <c r="W51" i="17"/>
  <c r="W67" i="17"/>
  <c r="W86" i="17" s="1"/>
  <c r="W206" i="17" s="1"/>
  <c r="X11" i="17"/>
  <c r="X91" i="17" s="1"/>
  <c r="Y82" i="17"/>
  <c r="X202" i="17"/>
  <c r="W404" i="17"/>
  <c r="W451" i="17"/>
  <c r="Z279" i="17"/>
  <c r="Z108" i="17"/>
  <c r="Z40" i="17"/>
  <c r="V285" i="17"/>
  <c r="V252" i="17" s="1"/>
  <c r="V47" i="17"/>
  <c r="U448" i="17"/>
  <c r="U397" i="17"/>
  <c r="U38" i="17"/>
  <c r="Y212" i="17"/>
  <c r="Z89" i="17"/>
  <c r="T453" i="17"/>
  <c r="T39" i="17"/>
  <c r="T454" i="17" s="1"/>
  <c r="AR83" i="17"/>
  <c r="AT82" i="17"/>
  <c r="AS82" i="17"/>
  <c r="X291" i="17"/>
  <c r="X293" i="17" s="1"/>
  <c r="W295" i="17"/>
  <c r="X368" i="16"/>
  <c r="Y12" i="16"/>
  <c r="T440" i="16"/>
  <c r="T322" i="16"/>
  <c r="T324" i="16" s="1"/>
  <c r="T53" i="16"/>
  <c r="T55" i="16" s="1"/>
  <c r="Y279" i="16"/>
  <c r="Y108" i="16"/>
  <c r="Y40" i="16"/>
  <c r="W277" i="16"/>
  <c r="W433" i="16"/>
  <c r="W307" i="16"/>
  <c r="W367" i="16"/>
  <c r="W197" i="16"/>
  <c r="W173" i="16"/>
  <c r="W258" i="16"/>
  <c r="W243" i="16"/>
  <c r="W223" i="16"/>
  <c r="W113" i="16"/>
  <c r="X11" i="16"/>
  <c r="X91" i="16" s="1"/>
  <c r="W67" i="16"/>
  <c r="W51" i="16"/>
  <c r="Z211" i="16"/>
  <c r="Z204" i="16"/>
  <c r="Z203" i="16"/>
  <c r="Z201" i="16"/>
  <c r="AA78" i="16"/>
  <c r="Z200" i="16"/>
  <c r="U316" i="16"/>
  <c r="X396" i="16"/>
  <c r="X447" i="16"/>
  <c r="S327" i="16"/>
  <c r="S330" i="16"/>
  <c r="S23" i="16"/>
  <c r="S379" i="16" s="1"/>
  <c r="X291" i="16"/>
  <c r="X293" i="16" s="1"/>
  <c r="W295" i="16"/>
  <c r="X402" i="16"/>
  <c r="X449" i="16"/>
  <c r="X110" i="16"/>
  <c r="X111" i="16" s="1"/>
  <c r="W168" i="16"/>
  <c r="W169" i="16" s="1"/>
  <c r="V208" i="16"/>
  <c r="V60" i="16"/>
  <c r="U448" i="16"/>
  <c r="U397" i="16"/>
  <c r="W281" i="16"/>
  <c r="W43" i="16"/>
  <c r="V399" i="16"/>
  <c r="V41" i="16"/>
  <c r="X304" i="16"/>
  <c r="Y100" i="16"/>
  <c r="O221" i="16"/>
  <c r="P217" i="16"/>
  <c r="Y280" i="16"/>
  <c r="Y42" i="16"/>
  <c r="Q327" i="16"/>
  <c r="Q330" i="16" s="1"/>
  <c r="Q23" i="16"/>
  <c r="Q379" i="16" s="1"/>
  <c r="R327" i="16"/>
  <c r="R330" i="16" s="1"/>
  <c r="R23" i="16"/>
  <c r="R379" i="16" s="1"/>
  <c r="Y321" i="16"/>
  <c r="Z320" i="16"/>
  <c r="X248" i="16"/>
  <c r="Y82" i="16"/>
  <c r="X202" i="16"/>
  <c r="Y89" i="16"/>
  <c r="X212" i="16"/>
  <c r="V170" i="16"/>
  <c r="V171" i="16" s="1"/>
  <c r="V225" i="16" s="1"/>
  <c r="V262" i="16"/>
  <c r="X213" i="16"/>
  <c r="X309" i="16" s="1"/>
  <c r="Y301" i="16"/>
  <c r="Y303" i="16" s="1"/>
  <c r="Y282" i="16"/>
  <c r="Y44" i="16"/>
  <c r="Y400" i="16" s="1"/>
  <c r="W287" i="16"/>
  <c r="W48" i="16"/>
  <c r="W214" i="16"/>
  <c r="Y283" i="16"/>
  <c r="Y45" i="16"/>
  <c r="Y401" i="16" s="1"/>
  <c r="V404" i="16"/>
  <c r="V451" i="16"/>
  <c r="X266" i="16"/>
  <c r="W249" i="16"/>
  <c r="X398" i="16"/>
  <c r="U285" i="16"/>
  <c r="U47" i="16"/>
  <c r="Y286" i="16"/>
  <c r="Y46" i="16"/>
  <c r="S395" i="16"/>
  <c r="AS80" i="16"/>
  <c r="AR81" i="16"/>
  <c r="AT80" i="16"/>
  <c r="T453" i="16"/>
  <c r="T39" i="16"/>
  <c r="T454" i="16" s="1"/>
  <c r="U394" i="17" l="1"/>
  <c r="U395" i="17" s="1"/>
  <c r="Z109" i="16"/>
  <c r="V285" i="16"/>
  <c r="V288" i="16" s="1"/>
  <c r="Y109" i="17"/>
  <c r="Y110" i="17" s="1"/>
  <c r="Y111" i="17" s="1"/>
  <c r="Y280" i="17"/>
  <c r="Y42" i="17"/>
  <c r="Y398" i="17" s="1"/>
  <c r="AA81" i="17"/>
  <c r="Z201" i="17"/>
  <c r="T254" i="16"/>
  <c r="T256" i="16" s="1"/>
  <c r="T255" i="16" s="1"/>
  <c r="S168" i="17"/>
  <c r="S169" i="17" s="1"/>
  <c r="S309" i="17"/>
  <c r="S214" i="17"/>
  <c r="T303" i="17"/>
  <c r="T304" i="17" s="1"/>
  <c r="W86" i="16"/>
  <c r="W206" i="16" s="1"/>
  <c r="W285" i="16" s="1"/>
  <c r="AA84" i="17"/>
  <c r="Z204" i="17"/>
  <c r="AB211" i="17"/>
  <c r="AB203" i="17"/>
  <c r="AC78" i="17"/>
  <c r="AB200" i="17"/>
  <c r="Z266" i="17"/>
  <c r="Y249" i="17"/>
  <c r="X451" i="17"/>
  <c r="X404" i="17"/>
  <c r="W208" i="17"/>
  <c r="W60" i="17"/>
  <c r="Z248" i="17"/>
  <c r="AA282" i="17"/>
  <c r="AA44" i="17"/>
  <c r="AA400" i="17" s="1"/>
  <c r="Z320" i="17"/>
  <c r="Y321" i="17"/>
  <c r="V397" i="17"/>
  <c r="V448" i="17"/>
  <c r="V38" i="17"/>
  <c r="P217" i="17"/>
  <c r="O221" i="17"/>
  <c r="X295" i="17"/>
  <c r="Y291" i="17"/>
  <c r="Y293" i="17" s="1"/>
  <c r="U453" i="17"/>
  <c r="U39" i="17"/>
  <c r="U454" i="17" s="1"/>
  <c r="Z82" i="17"/>
  <c r="Y202" i="17"/>
  <c r="X433" i="17"/>
  <c r="X367" i="17"/>
  <c r="X307" i="17"/>
  <c r="X243" i="17"/>
  <c r="X197" i="17"/>
  <c r="X277" i="17"/>
  <c r="X258" i="17"/>
  <c r="X262" i="17" s="1"/>
  <c r="X223" i="17"/>
  <c r="X173" i="17"/>
  <c r="X113" i="17"/>
  <c r="X51" i="17"/>
  <c r="X67" i="17"/>
  <c r="X86" i="17" s="1"/>
  <c r="X206" i="17" s="1"/>
  <c r="Y11" i="17"/>
  <c r="Y91" i="17" s="1"/>
  <c r="Z449" i="17"/>
  <c r="Z402" i="17"/>
  <c r="V288" i="17"/>
  <c r="W285" i="17"/>
  <c r="W288" i="17" s="1"/>
  <c r="W47" i="17"/>
  <c r="AA286" i="17"/>
  <c r="AA46" i="17"/>
  <c r="Y368" i="17"/>
  <c r="Z12" i="17"/>
  <c r="Z447" i="17"/>
  <c r="Z396" i="17"/>
  <c r="Z212" i="17"/>
  <c r="AA89" i="17"/>
  <c r="Y287" i="17"/>
  <c r="Y48" i="17"/>
  <c r="X281" i="17"/>
  <c r="X43" i="17"/>
  <c r="AA279" i="17"/>
  <c r="AA40" i="17"/>
  <c r="AA108" i="17"/>
  <c r="AR84" i="17"/>
  <c r="AT83" i="17"/>
  <c r="AS83" i="17"/>
  <c r="V450" i="17"/>
  <c r="V403" i="17"/>
  <c r="Y283" i="17"/>
  <c r="Y45" i="17"/>
  <c r="Y401" i="17" s="1"/>
  <c r="W399" i="17"/>
  <c r="W41" i="17"/>
  <c r="U289" i="17"/>
  <c r="U227" i="17" s="1"/>
  <c r="U59" i="17"/>
  <c r="AA100" i="17"/>
  <c r="U450" i="16"/>
  <c r="U403" i="16"/>
  <c r="Z42" i="16"/>
  <c r="Z280" i="16"/>
  <c r="AR82" i="16"/>
  <c r="AT81" i="16"/>
  <c r="AS81" i="16"/>
  <c r="Y266" i="16"/>
  <c r="X249" i="16"/>
  <c r="Y213" i="16"/>
  <c r="Y309" i="16" s="1"/>
  <c r="Z301" i="16"/>
  <c r="Z303" i="16" s="1"/>
  <c r="Y212" i="16"/>
  <c r="Z89" i="16"/>
  <c r="Z321" i="16"/>
  <c r="AA320" i="16"/>
  <c r="Y398" i="16"/>
  <c r="V448" i="16"/>
  <c r="V397" i="16"/>
  <c r="V38" i="16"/>
  <c r="T327" i="16"/>
  <c r="T330" i="16" s="1"/>
  <c r="T23" i="16"/>
  <c r="T379" i="16" s="1"/>
  <c r="Z82" i="16"/>
  <c r="Y202" i="16"/>
  <c r="X287" i="16"/>
  <c r="X48" i="16"/>
  <c r="X214" i="16"/>
  <c r="Y449" i="16"/>
  <c r="Y402" i="16"/>
  <c r="V305" i="16"/>
  <c r="Z282" i="16"/>
  <c r="Z44" i="16"/>
  <c r="Z400" i="16" s="1"/>
  <c r="X168" i="16"/>
  <c r="X169" i="16" s="1"/>
  <c r="U252" i="16"/>
  <c r="U253" i="16" s="1"/>
  <c r="U288" i="16"/>
  <c r="V289" i="16" s="1"/>
  <c r="V227" i="16" s="1"/>
  <c r="V228" i="16" s="1"/>
  <c r="W208" i="16"/>
  <c r="W60" i="16"/>
  <c r="Z283" i="16"/>
  <c r="Z45" i="16"/>
  <c r="Z401" i="16" s="1"/>
  <c r="W262" i="16"/>
  <c r="Y447" i="16"/>
  <c r="Y396" i="16"/>
  <c r="U394" i="16"/>
  <c r="X433" i="16"/>
  <c r="X367" i="16"/>
  <c r="X223" i="16"/>
  <c r="X197" i="16"/>
  <c r="X173" i="16"/>
  <c r="X307" i="16"/>
  <c r="X243" i="16"/>
  <c r="X277" i="16"/>
  <c r="X258" i="16"/>
  <c r="X67" i="16"/>
  <c r="X113" i="16"/>
  <c r="Y11" i="16"/>
  <c r="Y91" i="16" s="1"/>
  <c r="X51" i="16"/>
  <c r="V252" i="16"/>
  <c r="W399" i="16"/>
  <c r="W41" i="16"/>
  <c r="W451" i="16"/>
  <c r="W404" i="16"/>
  <c r="V450" i="16"/>
  <c r="V403" i="16"/>
  <c r="V59" i="16"/>
  <c r="W170" i="16"/>
  <c r="W171" i="16" s="1"/>
  <c r="W225" i="16" s="1"/>
  <c r="X295" i="16"/>
  <c r="Y291" i="16"/>
  <c r="Y293" i="16" s="1"/>
  <c r="Z286" i="16"/>
  <c r="Z46" i="16"/>
  <c r="Y110" i="16"/>
  <c r="Y111" i="16" s="1"/>
  <c r="Y368" i="16"/>
  <c r="Z12" i="16"/>
  <c r="V316" i="16"/>
  <c r="U38" i="16"/>
  <c r="AA203" i="16"/>
  <c r="AA201" i="16"/>
  <c r="AA211" i="16"/>
  <c r="AA204" i="16"/>
  <c r="AA200" i="16"/>
  <c r="AB78" i="16"/>
  <c r="Q217" i="16"/>
  <c r="P221" i="16"/>
  <c r="X281" i="16"/>
  <c r="X43" i="16"/>
  <c r="Y304" i="16"/>
  <c r="Z100" i="16"/>
  <c r="Z279" i="16"/>
  <c r="Z108" i="16"/>
  <c r="Z40" i="16"/>
  <c r="Y248" i="16"/>
  <c r="W252" i="17" l="1"/>
  <c r="AA109" i="16"/>
  <c r="Z42" i="17"/>
  <c r="Z398" i="17" s="1"/>
  <c r="Z280" i="17"/>
  <c r="Z109" i="17"/>
  <c r="Z110" i="17" s="1"/>
  <c r="Z111" i="17" s="1"/>
  <c r="AB81" i="17"/>
  <c r="AA201" i="17"/>
  <c r="W288" i="16"/>
  <c r="W305" i="16" s="1"/>
  <c r="W252" i="16"/>
  <c r="W47" i="16"/>
  <c r="W403" i="16" s="1"/>
  <c r="T168" i="17"/>
  <c r="T169" i="17" s="1"/>
  <c r="U301" i="17"/>
  <c r="T213" i="17"/>
  <c r="S305" i="17"/>
  <c r="S170" i="17"/>
  <c r="S171" i="17" s="1"/>
  <c r="S225" i="17" s="1"/>
  <c r="S228" i="17" s="1"/>
  <c r="V253" i="16"/>
  <c r="V261" i="16" s="1"/>
  <c r="V264" i="16" s="1"/>
  <c r="AR85" i="17"/>
  <c r="AT84" i="17"/>
  <c r="AS84" i="17"/>
  <c r="X399" i="17"/>
  <c r="X41" i="17"/>
  <c r="AA212" i="17"/>
  <c r="AB89" i="17"/>
  <c r="AB282" i="17"/>
  <c r="AB44" i="17"/>
  <c r="AB400" i="17" s="1"/>
  <c r="AB100" i="17"/>
  <c r="AA248" i="17"/>
  <c r="AA449" i="17"/>
  <c r="AA402" i="17"/>
  <c r="P221" i="17"/>
  <c r="Q217" i="17"/>
  <c r="Y281" i="17"/>
  <c r="Y43" i="17"/>
  <c r="AA266" i="17"/>
  <c r="Z249" i="17"/>
  <c r="X208" i="17"/>
  <c r="X60" i="17"/>
  <c r="Z321" i="17"/>
  <c r="AA320" i="17"/>
  <c r="AA447" i="17"/>
  <c r="AA396" i="17"/>
  <c r="Z287" i="17"/>
  <c r="Z48" i="17"/>
  <c r="AA82" i="17"/>
  <c r="Z202" i="17"/>
  <c r="V453" i="17"/>
  <c r="V39" i="17"/>
  <c r="V454" i="17" s="1"/>
  <c r="AB286" i="17"/>
  <c r="AB46" i="17"/>
  <c r="W289" i="17"/>
  <c r="W227" i="17" s="1"/>
  <c r="W59" i="17"/>
  <c r="W403" i="17"/>
  <c r="W450" i="17"/>
  <c r="AB279" i="17"/>
  <c r="AB108" i="17"/>
  <c r="AB40" i="17"/>
  <c r="Z283" i="17"/>
  <c r="Z45" i="17"/>
  <c r="Z401" i="17" s="1"/>
  <c r="W397" i="17"/>
  <c r="W448" i="17"/>
  <c r="W38" i="17"/>
  <c r="Y451" i="17"/>
  <c r="Y404" i="17"/>
  <c r="Y433" i="17"/>
  <c r="Y307" i="17"/>
  <c r="Y367" i="17"/>
  <c r="Y258" i="17"/>
  <c r="Y262" i="17" s="1"/>
  <c r="Y243" i="17"/>
  <c r="Y277" i="17"/>
  <c r="Y223" i="17"/>
  <c r="Y197" i="17"/>
  <c r="Y51" i="17"/>
  <c r="Y173" i="17"/>
  <c r="Y113" i="17"/>
  <c r="Y67" i="17"/>
  <c r="Y86" i="17" s="1"/>
  <c r="Y206" i="17" s="1"/>
  <c r="Z11" i="17"/>
  <c r="Z91" i="17" s="1"/>
  <c r="V394" i="17"/>
  <c r="AC211" i="17"/>
  <c r="AC203" i="17"/>
  <c r="AC200" i="17"/>
  <c r="AB84" i="17"/>
  <c r="AA204" i="17"/>
  <c r="Z368" i="17"/>
  <c r="AA12" i="17"/>
  <c r="V289" i="17"/>
  <c r="V227" i="17" s="1"/>
  <c r="V59" i="17"/>
  <c r="X285" i="17"/>
  <c r="X252" i="17" s="1"/>
  <c r="X47" i="17"/>
  <c r="Y295" i="17"/>
  <c r="Z291" i="17"/>
  <c r="Z293" i="17" s="1"/>
  <c r="U261" i="16"/>
  <c r="U264" i="16" s="1"/>
  <c r="U254" i="16"/>
  <c r="Z110" i="16"/>
  <c r="Z111" i="16" s="1"/>
  <c r="U453" i="16"/>
  <c r="U39" i="16"/>
  <c r="U454" i="16" s="1"/>
  <c r="X170" i="16"/>
  <c r="X171" i="16" s="1"/>
  <c r="X225" i="16" s="1"/>
  <c r="X262" i="16"/>
  <c r="AA279" i="16"/>
  <c r="AA108" i="16"/>
  <c r="AA40" i="16"/>
  <c r="U395" i="16"/>
  <c r="V453" i="16"/>
  <c r="V39" i="16"/>
  <c r="V454" i="16" s="1"/>
  <c r="Y287" i="16"/>
  <c r="Y48" i="16"/>
  <c r="Y214" i="16"/>
  <c r="Y168" i="16"/>
  <c r="Y169" i="16" s="1"/>
  <c r="Z368" i="16"/>
  <c r="AA12" i="16"/>
  <c r="X404" i="16"/>
  <c r="X451" i="16"/>
  <c r="V394" i="16"/>
  <c r="V395" i="16" s="1"/>
  <c r="Z213" i="16"/>
  <c r="Z309" i="16" s="1"/>
  <c r="AA301" i="16"/>
  <c r="AA303" i="16" s="1"/>
  <c r="Z398" i="16"/>
  <c r="R217" i="16"/>
  <c r="Q221" i="16"/>
  <c r="Z402" i="16"/>
  <c r="Z449" i="16"/>
  <c r="AB320" i="16"/>
  <c r="AA321" i="16"/>
  <c r="Z248" i="16"/>
  <c r="AT82" i="16"/>
  <c r="AR83" i="16"/>
  <c r="AS82" i="16"/>
  <c r="Z304" i="16"/>
  <c r="AA100" i="16"/>
  <c r="Z266" i="16"/>
  <c r="Y249" i="16"/>
  <c r="X399" i="16"/>
  <c r="X41" i="16"/>
  <c r="Z291" i="16"/>
  <c r="Z293" i="16" s="1"/>
  <c r="Y295" i="16"/>
  <c r="X86" i="16"/>
  <c r="X206" i="16" s="1"/>
  <c r="V440" i="16"/>
  <c r="V322" i="16"/>
  <c r="V324" i="16" s="1"/>
  <c r="V53" i="16"/>
  <c r="V55" i="16" s="1"/>
  <c r="W448" i="16"/>
  <c r="W397" i="16"/>
  <c r="Z212" i="16"/>
  <c r="AA89" i="16"/>
  <c r="AA286" i="16"/>
  <c r="AA46" i="16"/>
  <c r="X208" i="16"/>
  <c r="X60" i="16"/>
  <c r="Y281" i="16"/>
  <c r="Y43" i="16"/>
  <c r="AA282" i="16"/>
  <c r="AA44" i="16"/>
  <c r="AA400" i="16" s="1"/>
  <c r="AB211" i="16"/>
  <c r="AB204" i="16"/>
  <c r="AB203" i="16"/>
  <c r="AB109" i="16" s="1"/>
  <c r="AB201" i="16"/>
  <c r="AC78" i="16"/>
  <c r="AB200" i="16"/>
  <c r="AA283" i="16"/>
  <c r="AA45" i="16"/>
  <c r="AA401" i="16" s="1"/>
  <c r="Z396" i="16"/>
  <c r="Z447" i="16"/>
  <c r="AA280" i="16"/>
  <c r="AA42" i="16"/>
  <c r="W316" i="16"/>
  <c r="Y367" i="16"/>
  <c r="Y433" i="16"/>
  <c r="Y277" i="16"/>
  <c r="Y307" i="16"/>
  <c r="Y223" i="16"/>
  <c r="Y258" i="16"/>
  <c r="Y173" i="16"/>
  <c r="Y67" i="16"/>
  <c r="Y243" i="16"/>
  <c r="Y113" i="16"/>
  <c r="Y197" i="16"/>
  <c r="Z11" i="16"/>
  <c r="Z91" i="16" s="1"/>
  <c r="Y51" i="16"/>
  <c r="U289" i="16"/>
  <c r="U227" i="16" s="1"/>
  <c r="U228" i="16" s="1"/>
  <c r="U59" i="16"/>
  <c r="U305" i="16"/>
  <c r="AA82" i="16"/>
  <c r="Z202" i="16"/>
  <c r="W253" i="16" l="1"/>
  <c r="W289" i="16"/>
  <c r="W227" i="16" s="1"/>
  <c r="W228" i="16" s="1"/>
  <c r="W38" i="16"/>
  <c r="W450" i="16"/>
  <c r="W59" i="16"/>
  <c r="AA280" i="17"/>
  <c r="AA42" i="17"/>
  <c r="AA398" i="17" s="1"/>
  <c r="AA109" i="17"/>
  <c r="AA110" i="17" s="1"/>
  <c r="AA111" i="17" s="1"/>
  <c r="AC81" i="17"/>
  <c r="AB201" i="17"/>
  <c r="V254" i="16"/>
  <c r="V256" i="16" s="1"/>
  <c r="V255" i="16" s="1"/>
  <c r="S322" i="17"/>
  <c r="S324" i="17" s="1"/>
  <c r="S440" i="17"/>
  <c r="S53" i="17"/>
  <c r="S55" i="17" s="1"/>
  <c r="S253" i="17"/>
  <c r="S316" i="17"/>
  <c r="W394" i="17"/>
  <c r="W395" i="17" s="1"/>
  <c r="T309" i="17"/>
  <c r="T214" i="17"/>
  <c r="U303" i="17"/>
  <c r="U304" i="17"/>
  <c r="T305" i="17"/>
  <c r="T170" i="17"/>
  <c r="Y262" i="16"/>
  <c r="W394" i="16"/>
  <c r="W395" i="16" s="1"/>
  <c r="AC279" i="17"/>
  <c r="AC108" i="17"/>
  <c r="AC40" i="17"/>
  <c r="AB396" i="17"/>
  <c r="AB447" i="17"/>
  <c r="Z451" i="17"/>
  <c r="Z404" i="17"/>
  <c r="AA287" i="17"/>
  <c r="AA48" i="17"/>
  <c r="X397" i="17"/>
  <c r="X448" i="17"/>
  <c r="X38" i="17"/>
  <c r="AB248" i="17"/>
  <c r="AB82" i="17"/>
  <c r="AA202" i="17"/>
  <c r="AA291" i="17"/>
  <c r="AA293" i="17" s="1"/>
  <c r="Z295" i="17"/>
  <c r="AC282" i="17"/>
  <c r="AC44" i="17"/>
  <c r="AB402" i="17"/>
  <c r="AB449" i="17"/>
  <c r="Y208" i="17"/>
  <c r="Y60" i="17"/>
  <c r="AA321" i="17"/>
  <c r="AB320" i="17"/>
  <c r="Y399" i="17"/>
  <c r="Y41" i="17"/>
  <c r="X288" i="17"/>
  <c r="AA368" i="17"/>
  <c r="AB12" i="17"/>
  <c r="Z281" i="17"/>
  <c r="Z43" i="17"/>
  <c r="X450" i="17"/>
  <c r="X403" i="17"/>
  <c r="AA283" i="17"/>
  <c r="AA45" i="17"/>
  <c r="AA401" i="17" s="1"/>
  <c r="AC286" i="17"/>
  <c r="AC46" i="17"/>
  <c r="AB266" i="17"/>
  <c r="AA249" i="17"/>
  <c r="Y285" i="17"/>
  <c r="Y288" i="17" s="1"/>
  <c r="Y47" i="17"/>
  <c r="AC84" i="17"/>
  <c r="AB204" i="17"/>
  <c r="V395" i="17"/>
  <c r="W453" i="17"/>
  <c r="W39" i="17"/>
  <c r="W454" i="17" s="1"/>
  <c r="Q221" i="17"/>
  <c r="R217" i="17"/>
  <c r="Z433" i="17"/>
  <c r="Z367" i="17"/>
  <c r="Z277" i="17"/>
  <c r="Z258" i="17"/>
  <c r="Z262" i="17" s="1"/>
  <c r="Z243" i="17"/>
  <c r="Z307" i="17"/>
  <c r="Z223" i="17"/>
  <c r="Z197" i="17"/>
  <c r="Z173" i="17"/>
  <c r="Z67" i="17"/>
  <c r="Z86" i="17" s="1"/>
  <c r="Z206" i="17" s="1"/>
  <c r="Z51" i="17"/>
  <c r="AA11" i="17"/>
  <c r="AA91" i="17" s="1"/>
  <c r="Z113" i="17"/>
  <c r="AC100" i="17"/>
  <c r="AB212" i="17"/>
  <c r="AC89" i="17"/>
  <c r="AT85" i="17"/>
  <c r="AS85" i="17"/>
  <c r="AR86" i="17"/>
  <c r="AA402" i="16"/>
  <c r="AA449" i="16"/>
  <c r="AA368" i="16"/>
  <c r="AB12" i="16"/>
  <c r="Z168" i="16"/>
  <c r="Z169" i="16" s="1"/>
  <c r="AA213" i="16"/>
  <c r="AA309" i="16" s="1"/>
  <c r="AB301" i="16"/>
  <c r="AB303" i="16" s="1"/>
  <c r="Z295" i="16"/>
  <c r="AA291" i="16"/>
  <c r="AA293" i="16" s="1"/>
  <c r="AR84" i="16"/>
  <c r="AS83" i="16"/>
  <c r="AT83" i="16"/>
  <c r="Y86" i="16"/>
  <c r="Y206" i="16" s="1"/>
  <c r="AB280" i="16"/>
  <c r="AB42" i="16"/>
  <c r="Y399" i="16"/>
  <c r="Y41" i="16"/>
  <c r="AA212" i="16"/>
  <c r="AB89" i="16"/>
  <c r="X397" i="16"/>
  <c r="X448" i="16"/>
  <c r="AA396" i="16"/>
  <c r="AA447" i="16"/>
  <c r="Z367" i="16"/>
  <c r="Z433" i="16"/>
  <c r="Z243" i="16"/>
  <c r="Z307" i="16"/>
  <c r="Z197" i="16"/>
  <c r="Z173" i="16"/>
  <c r="Z277" i="16"/>
  <c r="Z258" i="16"/>
  <c r="Z223" i="16"/>
  <c r="Z51" i="16"/>
  <c r="Z113" i="16"/>
  <c r="AA11" i="16"/>
  <c r="AA91" i="16" s="1"/>
  <c r="Z67" i="16"/>
  <c r="AB286" i="16"/>
  <c r="AB46" i="16"/>
  <c r="W322" i="16"/>
  <c r="W324" i="16" s="1"/>
  <c r="W440" i="16"/>
  <c r="W53" i="16"/>
  <c r="W55" i="16" s="1"/>
  <c r="AA304" i="16"/>
  <c r="AB100" i="16"/>
  <c r="Z281" i="16"/>
  <c r="Z43" i="16"/>
  <c r="AB82" i="16"/>
  <c r="AA202" i="16"/>
  <c r="W261" i="16"/>
  <c r="W264" i="16" s="1"/>
  <c r="W254" i="16"/>
  <c r="W256" i="16" s="1"/>
  <c r="W255" i="16" s="1"/>
  <c r="Z287" i="16"/>
  <c r="Z48" i="16"/>
  <c r="Z214" i="16"/>
  <c r="V327" i="16"/>
  <c r="V330" i="16" s="1"/>
  <c r="V23" i="16"/>
  <c r="V379" i="16" s="1"/>
  <c r="AA110" i="16"/>
  <c r="AA111" i="16" s="1"/>
  <c r="AB279" i="16"/>
  <c r="AB108" i="16"/>
  <c r="AB40" i="16"/>
  <c r="AC203" i="16"/>
  <c r="AC109" i="16" s="1"/>
  <c r="AC204" i="16"/>
  <c r="AC200" i="16"/>
  <c r="AC201" i="16"/>
  <c r="AC211" i="16"/>
  <c r="Y208" i="16"/>
  <c r="Y60" i="16"/>
  <c r="Y170" i="16"/>
  <c r="Y171" i="16" s="1"/>
  <c r="Y225" i="16" s="1"/>
  <c r="U440" i="16"/>
  <c r="U322" i="16"/>
  <c r="U324" i="16" s="1"/>
  <c r="U53" i="16"/>
  <c r="U55" i="16" s="1"/>
  <c r="AA398" i="16"/>
  <c r="AB282" i="16"/>
  <c r="AB44" i="16"/>
  <c r="AB400" i="16" s="1"/>
  <c r="R221" i="16"/>
  <c r="S217" i="16"/>
  <c r="Y451" i="16"/>
  <c r="Y404" i="16"/>
  <c r="AA248" i="16"/>
  <c r="X316" i="16"/>
  <c r="AC320" i="16"/>
  <c r="AC321" i="16" s="1"/>
  <c r="AB321" i="16"/>
  <c r="AB283" i="16"/>
  <c r="AB45" i="16"/>
  <c r="AB401" i="16" s="1"/>
  <c r="W453" i="16"/>
  <c r="W39" i="16"/>
  <c r="W454" i="16" s="1"/>
  <c r="X285" i="16"/>
  <c r="X47" i="16"/>
  <c r="X38" i="16" s="1"/>
  <c r="AA266" i="16"/>
  <c r="Z249" i="16"/>
  <c r="U256" i="16"/>
  <c r="U255" i="16" s="1"/>
  <c r="Z262" i="16" l="1"/>
  <c r="Y252" i="17"/>
  <c r="AB109" i="17"/>
  <c r="AB110" i="17" s="1"/>
  <c r="AB111" i="17" s="1"/>
  <c r="AB42" i="17"/>
  <c r="AB398" i="17" s="1"/>
  <c r="AB280" i="17"/>
  <c r="L81" i="17"/>
  <c r="AC201" i="17"/>
  <c r="T253" i="17"/>
  <c r="T316" i="17"/>
  <c r="T171" i="17"/>
  <c r="T225" i="17" s="1"/>
  <c r="T228" i="17" s="1"/>
  <c r="U168" i="17"/>
  <c r="U169" i="17" s="1"/>
  <c r="S261" i="17"/>
  <c r="S264" i="17" s="1"/>
  <c r="S254" i="17"/>
  <c r="S256" i="17" s="1"/>
  <c r="S255" i="17" s="1"/>
  <c r="V301" i="17"/>
  <c r="U213" i="17"/>
  <c r="U305" i="17" s="1"/>
  <c r="X394" i="17"/>
  <c r="X395" i="17" s="1"/>
  <c r="S23" i="17"/>
  <c r="S379" i="17" s="1"/>
  <c r="S327" i="17"/>
  <c r="S330" i="17" s="1"/>
  <c r="Y289" i="17"/>
  <c r="Y227" i="17" s="1"/>
  <c r="Y59" i="17"/>
  <c r="Z285" i="17"/>
  <c r="Z252" i="17" s="1"/>
  <c r="Z47" i="17"/>
  <c r="AA295" i="17"/>
  <c r="AB291" i="17"/>
  <c r="AB293" i="17" s="1"/>
  <c r="AC248" i="17"/>
  <c r="S217" i="17"/>
  <c r="R221" i="17"/>
  <c r="L84" i="17"/>
  <c r="AC204" i="17"/>
  <c r="AC449" i="17"/>
  <c r="AC402" i="17"/>
  <c r="L402" i="17" s="1"/>
  <c r="L46" i="17"/>
  <c r="AC266" i="17"/>
  <c r="AB249" i="17"/>
  <c r="Z399" i="17"/>
  <c r="Z41" i="17"/>
  <c r="Y397" i="17"/>
  <c r="Y448" i="17"/>
  <c r="Y38" i="17"/>
  <c r="AA281" i="17"/>
  <c r="AA43" i="17"/>
  <c r="AT86" i="17"/>
  <c r="AS86" i="17"/>
  <c r="AR87" i="17"/>
  <c r="Y403" i="17"/>
  <c r="Y450" i="17"/>
  <c r="AC400" i="17"/>
  <c r="L400" i="17" s="1"/>
  <c r="L44" i="17"/>
  <c r="AC82" i="17"/>
  <c r="AB202" i="17"/>
  <c r="X453" i="17"/>
  <c r="X39" i="17"/>
  <c r="X454" i="17" s="1"/>
  <c r="AB287" i="17"/>
  <c r="AB48" i="17"/>
  <c r="AB283" i="17"/>
  <c r="AB45" i="17"/>
  <c r="AB401" i="17" s="1"/>
  <c r="AA307" i="17"/>
  <c r="AA433" i="17"/>
  <c r="AA277" i="17"/>
  <c r="AA258" i="17"/>
  <c r="AA262" i="17" s="1"/>
  <c r="AA367" i="17"/>
  <c r="AA197" i="17"/>
  <c r="AA223" i="17"/>
  <c r="AA173" i="17"/>
  <c r="AA243" i="17"/>
  <c r="AA51" i="17"/>
  <c r="AA67" i="17"/>
  <c r="AA86" i="17" s="1"/>
  <c r="AA206" i="17" s="1"/>
  <c r="AA113" i="17"/>
  <c r="AB11" i="17"/>
  <c r="AB91" i="17" s="1"/>
  <c r="AC212" i="17"/>
  <c r="L89" i="17"/>
  <c r="AB368" i="17"/>
  <c r="AC12" i="17"/>
  <c r="AC368" i="17" s="1"/>
  <c r="AC320" i="17"/>
  <c r="AC321" i="17" s="1"/>
  <c r="AB321" i="17"/>
  <c r="AA451" i="17"/>
  <c r="AA404" i="17"/>
  <c r="AC447" i="17"/>
  <c r="AC396" i="17"/>
  <c r="L396" i="17" s="1"/>
  <c r="L40" i="17"/>
  <c r="L100" i="17"/>
  <c r="X289" i="17"/>
  <c r="X227" i="17" s="1"/>
  <c r="X59" i="17"/>
  <c r="Z208" i="17"/>
  <c r="Z60" i="17"/>
  <c r="X453" i="16"/>
  <c r="X39" i="16"/>
  <c r="X454" i="16" s="1"/>
  <c r="AA287" i="16"/>
  <c r="AA48" i="16"/>
  <c r="AA214" i="16"/>
  <c r="Z399" i="16"/>
  <c r="Z41" i="16"/>
  <c r="W327" i="16"/>
  <c r="W330" i="16" s="1"/>
  <c r="W23" i="16"/>
  <c r="W379" i="16" s="1"/>
  <c r="Y448" i="16"/>
  <c r="Y397" i="16"/>
  <c r="AR85" i="16"/>
  <c r="AT84" i="16"/>
  <c r="AS84" i="16"/>
  <c r="Y316" i="16"/>
  <c r="AB291" i="16"/>
  <c r="AB293" i="16" s="1"/>
  <c r="AA295" i="16"/>
  <c r="AB368" i="16"/>
  <c r="AC12" i="16"/>
  <c r="AC368" i="16" s="1"/>
  <c r="AC108" i="16"/>
  <c r="AC279" i="16"/>
  <c r="AC40" i="16"/>
  <c r="AB449" i="16"/>
  <c r="AB402" i="16"/>
  <c r="AC283" i="16"/>
  <c r="AC45" i="16"/>
  <c r="AB304" i="16"/>
  <c r="AC100" i="16"/>
  <c r="AB398" i="16"/>
  <c r="Z208" i="16"/>
  <c r="Z60" i="16"/>
  <c r="AB266" i="16"/>
  <c r="AA249" i="16"/>
  <c r="AC282" i="16"/>
  <c r="AC44" i="16"/>
  <c r="AA168" i="16"/>
  <c r="AA169" i="16" s="1"/>
  <c r="AC301" i="16"/>
  <c r="AC303" i="16" s="1"/>
  <c r="AC213" i="16" s="1"/>
  <c r="AC309" i="16" s="1"/>
  <c r="AB213" i="16"/>
  <c r="AB309" i="16" s="1"/>
  <c r="Z404" i="16"/>
  <c r="Z451" i="16"/>
  <c r="X403" i="16"/>
  <c r="X394" i="16" s="1"/>
  <c r="X395" i="16" s="1"/>
  <c r="X450" i="16"/>
  <c r="T217" i="16"/>
  <c r="S221" i="16"/>
  <c r="Z86" i="16"/>
  <c r="Z206" i="16" s="1"/>
  <c r="Y285" i="16"/>
  <c r="Y47" i="16"/>
  <c r="Y38" i="16" s="1"/>
  <c r="AB447" i="16"/>
  <c r="AB396" i="16"/>
  <c r="X252" i="16"/>
  <c r="X253" i="16" s="1"/>
  <c r="X288" i="16"/>
  <c r="AC286" i="16"/>
  <c r="AC46" i="16"/>
  <c r="AB110" i="16"/>
  <c r="AB111" i="16" s="1"/>
  <c r="AA281" i="16"/>
  <c r="AA43" i="16"/>
  <c r="AA433" i="16"/>
  <c r="AA367" i="16"/>
  <c r="AA243" i="16"/>
  <c r="AA307" i="16"/>
  <c r="AA258" i="16"/>
  <c r="AA113" i="16"/>
  <c r="AA51" i="16"/>
  <c r="AA197" i="16"/>
  <c r="AA223" i="16"/>
  <c r="AA277" i="16"/>
  <c r="AA67" i="16"/>
  <c r="AA173" i="16"/>
  <c r="AB11" i="16"/>
  <c r="AB91" i="16" s="1"/>
  <c r="U327" i="16"/>
  <c r="U330" i="16" s="1"/>
  <c r="U23" i="16"/>
  <c r="U379" i="16" s="1"/>
  <c r="AC280" i="16"/>
  <c r="AC42" i="16"/>
  <c r="AB248" i="16"/>
  <c r="AC82" i="16"/>
  <c r="AB202" i="16"/>
  <c r="AB212" i="16"/>
  <c r="AC89" i="16"/>
  <c r="Z170" i="16"/>
  <c r="Z171" i="16" s="1"/>
  <c r="Z225" i="16" s="1"/>
  <c r="AC109" i="17" l="1"/>
  <c r="AC280" i="17"/>
  <c r="AC42" i="17"/>
  <c r="V303" i="17"/>
  <c r="V304" i="17" s="1"/>
  <c r="Z288" i="17"/>
  <c r="Z59" i="17" s="1"/>
  <c r="Y394" i="17"/>
  <c r="Y395" i="17" s="1"/>
  <c r="U170" i="17"/>
  <c r="U171" i="17"/>
  <c r="U225" i="17" s="1"/>
  <c r="U228" i="17" s="1"/>
  <c r="T322" i="17"/>
  <c r="T324" i="17" s="1"/>
  <c r="T53" i="17"/>
  <c r="T55" i="17" s="1"/>
  <c r="T440" i="17"/>
  <c r="U309" i="17"/>
  <c r="U214" i="17"/>
  <c r="T254" i="17"/>
  <c r="T256" i="17" s="1"/>
  <c r="T255" i="17" s="1"/>
  <c r="T261" i="17"/>
  <c r="T264" i="17" s="1"/>
  <c r="AC249" i="17"/>
  <c r="L248" i="17"/>
  <c r="L249" i="17" s="1"/>
  <c r="AB433" i="17"/>
  <c r="AB367" i="17"/>
  <c r="AB243" i="17"/>
  <c r="AB223" i="17"/>
  <c r="AB307" i="17"/>
  <c r="AB277" i="17"/>
  <c r="AB258" i="17"/>
  <c r="AB262" i="17" s="1"/>
  <c r="AB113" i="17"/>
  <c r="AB197" i="17"/>
  <c r="AB173" i="17"/>
  <c r="AB51" i="17"/>
  <c r="AB67" i="17"/>
  <c r="AB86" i="17" s="1"/>
  <c r="AB206" i="17" s="1"/>
  <c r="AC11" i="17"/>
  <c r="AC91" i="17" s="1"/>
  <c r="AB281" i="17"/>
  <c r="AB43" i="17"/>
  <c r="Z448" i="17"/>
  <c r="Z397" i="17"/>
  <c r="Z38" i="17"/>
  <c r="Z450" i="17"/>
  <c r="Z403" i="17"/>
  <c r="AC287" i="17"/>
  <c r="AC48" i="17"/>
  <c r="L82" i="17"/>
  <c r="AC202" i="17"/>
  <c r="AT87" i="17"/>
  <c r="AS87" i="17"/>
  <c r="N86" i="17"/>
  <c r="N206" i="17" s="1"/>
  <c r="N262" i="17"/>
  <c r="AA285" i="17"/>
  <c r="AA252" i="17" s="1"/>
  <c r="AA47" i="17"/>
  <c r="AC283" i="17"/>
  <c r="AC45" i="17"/>
  <c r="AA399" i="17"/>
  <c r="AA41" i="17"/>
  <c r="AC291" i="17"/>
  <c r="AC293" i="17" s="1"/>
  <c r="AC295" i="17" s="1"/>
  <c r="AB295" i="17"/>
  <c r="AB404" i="17"/>
  <c r="AB451" i="17"/>
  <c r="Z289" i="17"/>
  <c r="Z227" i="17" s="1"/>
  <c r="AA208" i="17"/>
  <c r="AA60" i="17"/>
  <c r="Y453" i="17"/>
  <c r="Y39" i="17"/>
  <c r="Y454" i="17" s="1"/>
  <c r="S221" i="17"/>
  <c r="T217" i="17"/>
  <c r="X261" i="16"/>
  <c r="X264" i="16" s="1"/>
  <c r="X254" i="16"/>
  <c r="AC110" i="16"/>
  <c r="AC111" i="16" s="1"/>
  <c r="T221" i="16"/>
  <c r="U217" i="16"/>
  <c r="Z397" i="16"/>
  <c r="Z448" i="16"/>
  <c r="AB433" i="16"/>
  <c r="AB367" i="16"/>
  <c r="AB307" i="16"/>
  <c r="AB258" i="16"/>
  <c r="AB197" i="16"/>
  <c r="AB173" i="16"/>
  <c r="AB113" i="16"/>
  <c r="AB223" i="16"/>
  <c r="AB277" i="16"/>
  <c r="AB243" i="16"/>
  <c r="AB51" i="16"/>
  <c r="AC11" i="16"/>
  <c r="AC91" i="16" s="1"/>
  <c r="AB67" i="16"/>
  <c r="AA170" i="16"/>
  <c r="AA171" i="16" s="1"/>
  <c r="AA225" i="16" s="1"/>
  <c r="AA208" i="16"/>
  <c r="AA60" i="16"/>
  <c r="Z316" i="16"/>
  <c r="AC398" i="16"/>
  <c r="L398" i="16" s="1"/>
  <c r="L42" i="16"/>
  <c r="AC449" i="16"/>
  <c r="AC402" i="16"/>
  <c r="L402" i="16" s="1"/>
  <c r="L46" i="16"/>
  <c r="AC291" i="16"/>
  <c r="AC293" i="16" s="1"/>
  <c r="AC295" i="16" s="1"/>
  <c r="AB295" i="16"/>
  <c r="AA404" i="16"/>
  <c r="AA451" i="16"/>
  <c r="L82" i="16"/>
  <c r="AC202" i="16"/>
  <c r="AA262" i="16"/>
  <c r="AC212" i="16"/>
  <c r="L89" i="16"/>
  <c r="AA86" i="16"/>
  <c r="AA206" i="16" s="1"/>
  <c r="Y403" i="16"/>
  <c r="Y394" i="16" s="1"/>
  <c r="Y395" i="16" s="1"/>
  <c r="Y450" i="16"/>
  <c r="AC400" i="16"/>
  <c r="L400" i="16" s="1"/>
  <c r="L44" i="16"/>
  <c r="AR86" i="16"/>
  <c r="AT85" i="16"/>
  <c r="AS85" i="16"/>
  <c r="AC266" i="16"/>
  <c r="AB249" i="16"/>
  <c r="Y453" i="16"/>
  <c r="Y39" i="16"/>
  <c r="Y454" i="16" s="1"/>
  <c r="AB287" i="16"/>
  <c r="AB48" i="16"/>
  <c r="AB214" i="16"/>
  <c r="Y288" i="16"/>
  <c r="Y252" i="16"/>
  <c r="Y253" i="16" s="1"/>
  <c r="AC447" i="16"/>
  <c r="AC396" i="16"/>
  <c r="L396" i="16" s="1"/>
  <c r="L40" i="16"/>
  <c r="AA399" i="16"/>
  <c r="AA41" i="16"/>
  <c r="AB168" i="16"/>
  <c r="AB169" i="16" s="1"/>
  <c r="AB281" i="16"/>
  <c r="AB43" i="16"/>
  <c r="X289" i="16"/>
  <c r="X227" i="16" s="1"/>
  <c r="X228" i="16" s="1"/>
  <c r="X59" i="16"/>
  <c r="X305" i="16"/>
  <c r="Z285" i="16"/>
  <c r="Z47" i="16"/>
  <c r="AC304" i="16"/>
  <c r="L100" i="16"/>
  <c r="AC248" i="16"/>
  <c r="AC401" i="16"/>
  <c r="L401" i="16" s="1"/>
  <c r="L45" i="16"/>
  <c r="AB262" i="16" l="1"/>
  <c r="AC398" i="17"/>
  <c r="L398" i="17" s="1"/>
  <c r="L42" i="17"/>
  <c r="AC110" i="17"/>
  <c r="AC111" i="17" s="1"/>
  <c r="V168" i="17"/>
  <c r="V169" i="17" s="1"/>
  <c r="U440" i="17"/>
  <c r="U322" i="17"/>
  <c r="U324" i="17" s="1"/>
  <c r="U53" i="17"/>
  <c r="U55" i="17" s="1"/>
  <c r="U253" i="17"/>
  <c r="U316" i="17"/>
  <c r="AA288" i="17"/>
  <c r="AA289" i="17" s="1"/>
  <c r="AA227" i="17" s="1"/>
  <c r="T327" i="17"/>
  <c r="T330" i="17" s="1"/>
  <c r="T23" i="17"/>
  <c r="T379" i="17" s="1"/>
  <c r="V213" i="17"/>
  <c r="W301" i="17"/>
  <c r="X256" i="16"/>
  <c r="X255" i="16" s="1"/>
  <c r="AA450" i="17"/>
  <c r="AA403" i="17"/>
  <c r="U217" i="17"/>
  <c r="T221" i="17"/>
  <c r="AB208" i="17"/>
  <c r="AB60" i="17"/>
  <c r="AC401" i="17"/>
  <c r="L401" i="17" s="1"/>
  <c r="L45" i="17"/>
  <c r="Z394" i="17"/>
  <c r="Z395" i="17" s="1"/>
  <c r="AC367" i="17"/>
  <c r="AC433" i="17"/>
  <c r="AC307" i="17"/>
  <c r="AC277" i="17"/>
  <c r="AC243" i="17"/>
  <c r="AC223" i="17"/>
  <c r="AC258" i="17"/>
  <c r="AC262" i="17" s="1"/>
  <c r="AC197" i="17"/>
  <c r="AC173" i="17"/>
  <c r="AC113" i="17"/>
  <c r="AC67" i="17"/>
  <c r="AC86" i="17" s="1"/>
  <c r="AC206" i="17" s="1"/>
  <c r="AC51" i="17"/>
  <c r="AB285" i="17"/>
  <c r="AB252" i="17" s="1"/>
  <c r="AB47" i="17"/>
  <c r="AB399" i="17"/>
  <c r="AB41" i="17"/>
  <c r="AC281" i="17"/>
  <c r="AC43" i="17"/>
  <c r="AC208" i="17"/>
  <c r="AC60" i="17"/>
  <c r="N285" i="17"/>
  <c r="N47" i="17"/>
  <c r="AC451" i="17"/>
  <c r="AC404" i="17"/>
  <c r="L404" i="17" s="1"/>
  <c r="L48" i="17"/>
  <c r="AA448" i="17"/>
  <c r="AA397" i="17"/>
  <c r="AA38" i="17"/>
  <c r="Z453" i="17"/>
  <c r="Z39" i="17"/>
  <c r="Z454" i="17" s="1"/>
  <c r="AA448" i="16"/>
  <c r="AA397" i="16"/>
  <c r="AC208" i="16"/>
  <c r="AC60" i="16"/>
  <c r="AC249" i="16"/>
  <c r="L248" i="16"/>
  <c r="L249" i="16" s="1"/>
  <c r="AB451" i="16"/>
  <c r="AB404" i="16"/>
  <c r="AC287" i="16"/>
  <c r="AC48" i="16"/>
  <c r="AC214" i="16"/>
  <c r="AC281" i="16"/>
  <c r="AC43" i="16"/>
  <c r="Z403" i="16"/>
  <c r="Z394" i="16" s="1"/>
  <c r="Z395" i="16" s="1"/>
  <c r="Z450" i="16"/>
  <c r="AB86" i="16"/>
  <c r="AB206" i="16" s="1"/>
  <c r="X322" i="16"/>
  <c r="X324" i="16" s="1"/>
  <c r="X440" i="16"/>
  <c r="X53" i="16"/>
  <c r="X55" i="16" s="1"/>
  <c r="AC367" i="16"/>
  <c r="AC307" i="16"/>
  <c r="AC433" i="16"/>
  <c r="AC277" i="16"/>
  <c r="AC223" i="16"/>
  <c r="AC243" i="16"/>
  <c r="AC197" i="16"/>
  <c r="AC173" i="16"/>
  <c r="AC113" i="16"/>
  <c r="AC258" i="16"/>
  <c r="AC51" i="16"/>
  <c r="AC67" i="16"/>
  <c r="AC168" i="16"/>
  <c r="Z252" i="16"/>
  <c r="Z253" i="16" s="1"/>
  <c r="Z288" i="16"/>
  <c r="Z38" i="16"/>
  <c r="Y289" i="16"/>
  <c r="Y227" i="16" s="1"/>
  <c r="Y228" i="16" s="1"/>
  <c r="Y59" i="16"/>
  <c r="Y305" i="16"/>
  <c r="AB208" i="16"/>
  <c r="AB60" i="16"/>
  <c r="AB399" i="16"/>
  <c r="AB41" i="16"/>
  <c r="AT86" i="16"/>
  <c r="AS86" i="16"/>
  <c r="AR87" i="16"/>
  <c r="V217" i="16"/>
  <c r="U221" i="16"/>
  <c r="Y261" i="16"/>
  <c r="Y264" i="16" s="1"/>
  <c r="Y254" i="16"/>
  <c r="AB170" i="16"/>
  <c r="AA285" i="16"/>
  <c r="AA47" i="16"/>
  <c r="AA316" i="16"/>
  <c r="AC86" i="16" l="1"/>
  <c r="AC206" i="16" s="1"/>
  <c r="AC285" i="16" s="1"/>
  <c r="AA59" i="17"/>
  <c r="AA394" i="17"/>
  <c r="AA395" i="17" s="1"/>
  <c r="AB288" i="17"/>
  <c r="AB289" i="17" s="1"/>
  <c r="AB227" i="17" s="1"/>
  <c r="U261" i="17"/>
  <c r="U264" i="17" s="1"/>
  <c r="U254" i="17"/>
  <c r="U256" i="17" s="1"/>
  <c r="U255" i="17" s="1"/>
  <c r="W303" i="17"/>
  <c r="W304" i="17"/>
  <c r="U327" i="17"/>
  <c r="U330" i="17" s="1"/>
  <c r="U23" i="17"/>
  <c r="U379" i="17" s="1"/>
  <c r="V309" i="17"/>
  <c r="V214" i="17"/>
  <c r="V305" i="17"/>
  <c r="V170" i="17"/>
  <c r="V171" i="17" s="1"/>
  <c r="AB403" i="17"/>
  <c r="AB450" i="17"/>
  <c r="AA453" i="17"/>
  <c r="AA39" i="17"/>
  <c r="AA454" i="17" s="1"/>
  <c r="U221" i="17"/>
  <c r="AC399" i="17"/>
  <c r="L399" i="17" s="1"/>
  <c r="L43" i="17"/>
  <c r="AC41" i="17"/>
  <c r="N403" i="17"/>
  <c r="N450" i="17"/>
  <c r="N38" i="17"/>
  <c r="AB448" i="17"/>
  <c r="AB397" i="17"/>
  <c r="AB38" i="17"/>
  <c r="AC285" i="17"/>
  <c r="AC252" i="17" s="1"/>
  <c r="AC47" i="17"/>
  <c r="L47" i="17" s="1"/>
  <c r="N252" i="17"/>
  <c r="N288" i="17"/>
  <c r="O252" i="17"/>
  <c r="O253" i="17" s="1"/>
  <c r="L60" i="17"/>
  <c r="AB285" i="16"/>
  <c r="AB47" i="16"/>
  <c r="AC451" i="16"/>
  <c r="AC404" i="16"/>
  <c r="L404" i="16" s="1"/>
  <c r="L48" i="16"/>
  <c r="X327" i="16"/>
  <c r="X330" i="16" s="1"/>
  <c r="X23" i="16"/>
  <c r="X379" i="16" s="1"/>
  <c r="AB316" i="16"/>
  <c r="AB171" i="16"/>
  <c r="AB225" i="16" s="1"/>
  <c r="AC262" i="16"/>
  <c r="Y256" i="16"/>
  <c r="Y255" i="16" s="1"/>
  <c r="Z261" i="16"/>
  <c r="Z264" i="16" s="1"/>
  <c r="Z254" i="16"/>
  <c r="Y440" i="16"/>
  <c r="Y322" i="16"/>
  <c r="Y324" i="16" s="1"/>
  <c r="Y53" i="16"/>
  <c r="Y55" i="16" s="1"/>
  <c r="AB448" i="16"/>
  <c r="AB397" i="16"/>
  <c r="Z289" i="16"/>
  <c r="Z227" i="16" s="1"/>
  <c r="Z228" i="16" s="1"/>
  <c r="Z59" i="16"/>
  <c r="Z305" i="16"/>
  <c r="L60" i="16"/>
  <c r="Z453" i="16"/>
  <c r="Z39" i="16"/>
  <c r="Z454" i="16" s="1"/>
  <c r="AA450" i="16"/>
  <c r="AA403" i="16"/>
  <c r="AA394" i="16" s="1"/>
  <c r="AA395" i="16" s="1"/>
  <c r="V221" i="16"/>
  <c r="W217" i="16"/>
  <c r="AC169" i="16"/>
  <c r="K168" i="16"/>
  <c r="AC399" i="16"/>
  <c r="L399" i="16" s="1"/>
  <c r="L43" i="16"/>
  <c r="AC41" i="16"/>
  <c r="AA38" i="16"/>
  <c r="AA252" i="16"/>
  <c r="AA253" i="16" s="1"/>
  <c r="AA288" i="16"/>
  <c r="AT87" i="16"/>
  <c r="AS87" i="16"/>
  <c r="N86" i="16"/>
  <c r="N206" i="16" s="1"/>
  <c r="N262" i="16"/>
  <c r="AC252" i="16" l="1"/>
  <c r="AC288" i="16"/>
  <c r="AC47" i="16"/>
  <c r="AB59" i="17"/>
  <c r="V225" i="17"/>
  <c r="V228" i="17" s="1"/>
  <c r="V217" i="17"/>
  <c r="V221" i="17" s="1"/>
  <c r="W168" i="17"/>
  <c r="V253" i="17"/>
  <c r="V316" i="17"/>
  <c r="X301" i="17"/>
  <c r="W213" i="17"/>
  <c r="N453" i="17"/>
  <c r="N39" i="17"/>
  <c r="N454" i="17" s="1"/>
  <c r="AC450" i="17"/>
  <c r="AC403" i="17"/>
  <c r="L403" i="17" s="1"/>
  <c r="N394" i="17"/>
  <c r="L252" i="17"/>
  <c r="N253" i="17"/>
  <c r="AC288" i="17"/>
  <c r="O261" i="17"/>
  <c r="O264" i="17" s="1"/>
  <c r="O254" i="17"/>
  <c r="AB453" i="17"/>
  <c r="AB39" i="17"/>
  <c r="AB454" i="17" s="1"/>
  <c r="N289" i="17"/>
  <c r="N227" i="17" s="1"/>
  <c r="N59" i="17"/>
  <c r="N305" i="17"/>
  <c r="O289" i="17"/>
  <c r="O227" i="17" s="1"/>
  <c r="O228" i="17" s="1"/>
  <c r="AB394" i="17"/>
  <c r="AB395" i="17" s="1"/>
  <c r="AC448" i="17"/>
  <c r="AC397" i="17"/>
  <c r="AC38" i="17"/>
  <c r="L41" i="17"/>
  <c r="AA261" i="16"/>
  <c r="AA264" i="16" s="1"/>
  <c r="AA254" i="16"/>
  <c r="AC59" i="16"/>
  <c r="AC448" i="16"/>
  <c r="AC397" i="16"/>
  <c r="AC38" i="16"/>
  <c r="L41" i="16"/>
  <c r="L168" i="16"/>
  <c r="K169" i="16"/>
  <c r="Z440" i="16"/>
  <c r="Z322" i="16"/>
  <c r="Z324" i="16" s="1"/>
  <c r="Z53" i="16"/>
  <c r="Z55" i="16" s="1"/>
  <c r="Y327" i="16"/>
  <c r="Y330" i="16" s="1"/>
  <c r="Y23" i="16"/>
  <c r="Y379" i="16" s="1"/>
  <c r="AB450" i="16"/>
  <c r="AB403" i="16"/>
  <c r="AB394" i="16" s="1"/>
  <c r="AB395" i="16" s="1"/>
  <c r="AC170" i="16"/>
  <c r="AC171" i="16" s="1"/>
  <c r="AC225" i="16" s="1"/>
  <c r="AC450" i="16"/>
  <c r="AC403" i="16"/>
  <c r="AB252" i="16"/>
  <c r="AB253" i="16" s="1"/>
  <c r="AB288" i="16"/>
  <c r="AA289" i="16"/>
  <c r="AA227" i="16" s="1"/>
  <c r="AA228" i="16" s="1"/>
  <c r="AA59" i="16"/>
  <c r="AA305" i="16"/>
  <c r="W221" i="16"/>
  <c r="X217" i="16"/>
  <c r="AB38" i="16"/>
  <c r="Z256" i="16"/>
  <c r="Z255" i="16" s="1"/>
  <c r="AA453" i="16"/>
  <c r="AA39" i="16"/>
  <c r="AA454" i="16" s="1"/>
  <c r="AC305" i="16"/>
  <c r="N285" i="16"/>
  <c r="N47" i="16"/>
  <c r="AA256" i="16" l="1"/>
  <c r="AA255" i="16" s="1"/>
  <c r="W305" i="17"/>
  <c r="X303" i="17"/>
  <c r="X304" i="17"/>
  <c r="W309" i="17"/>
  <c r="W214" i="17"/>
  <c r="V254" i="17"/>
  <c r="V256" i="17" s="1"/>
  <c r="V255" i="17" s="1"/>
  <c r="V261" i="17"/>
  <c r="V264" i="17" s="1"/>
  <c r="W169" i="17"/>
  <c r="V440" i="17"/>
  <c r="V322" i="17"/>
  <c r="V324" i="17" s="1"/>
  <c r="V53" i="17"/>
  <c r="V55" i="17" s="1"/>
  <c r="O440" i="17"/>
  <c r="O322" i="17"/>
  <c r="O324" i="17" s="1"/>
  <c r="O53" i="17"/>
  <c r="O55" i="17" s="1"/>
  <c r="N395" i="17"/>
  <c r="O256" i="17"/>
  <c r="O255" i="17" s="1"/>
  <c r="AC289" i="17"/>
  <c r="AC227" i="17" s="1"/>
  <c r="AC59" i="17"/>
  <c r="L59" i="17" s="1"/>
  <c r="N261" i="17"/>
  <c r="N264" i="17" s="1"/>
  <c r="N270" i="17" s="1"/>
  <c r="N254" i="17"/>
  <c r="N228" i="17"/>
  <c r="AC453" i="17"/>
  <c r="AC39" i="17"/>
  <c r="AC454" i="17" s="1"/>
  <c r="L38" i="17"/>
  <c r="P359" i="17" s="1"/>
  <c r="L39" i="17"/>
  <c r="O97" i="17" s="1"/>
  <c r="AC394" i="17"/>
  <c r="L395" i="17" s="1"/>
  <c r="L397" i="17"/>
  <c r="AB261" i="16"/>
  <c r="AB264" i="16" s="1"/>
  <c r="AB254" i="16"/>
  <c r="N252" i="16"/>
  <c r="N288" i="16"/>
  <c r="O252" i="16"/>
  <c r="O253" i="16" s="1"/>
  <c r="L225" i="16"/>
  <c r="AC453" i="16"/>
  <c r="AC39" i="16"/>
  <c r="AC454" i="16" s="1"/>
  <c r="L38" i="16"/>
  <c r="P359" i="16" s="1"/>
  <c r="AC316" i="16"/>
  <c r="K170" i="16"/>
  <c r="K171" i="16" s="1"/>
  <c r="AC394" i="16"/>
  <c r="L397" i="16"/>
  <c r="AA440" i="16"/>
  <c r="AA322" i="16"/>
  <c r="AA324" i="16" s="1"/>
  <c r="AA53" i="16"/>
  <c r="AA55" i="16" s="1"/>
  <c r="Z327" i="16"/>
  <c r="Z330" i="16" s="1"/>
  <c r="Z23" i="16"/>
  <c r="Z379" i="16" s="1"/>
  <c r="N403" i="16"/>
  <c r="N450" i="16"/>
  <c r="L47" i="16"/>
  <c r="N38" i="16"/>
  <c r="L169" i="16"/>
  <c r="I169" i="16"/>
  <c r="AB453" i="16"/>
  <c r="AB39" i="16"/>
  <c r="AB454" i="16" s="1"/>
  <c r="Y217" i="16"/>
  <c r="X221" i="16"/>
  <c r="AB289" i="16"/>
  <c r="AB227" i="16" s="1"/>
  <c r="AB228" i="16" s="1"/>
  <c r="AB59" i="16"/>
  <c r="AB305" i="16"/>
  <c r="AC289" i="16"/>
  <c r="AC227" i="16" s="1"/>
  <c r="AC228" i="16" s="1"/>
  <c r="AB256" i="16" l="1"/>
  <c r="AB255" i="16" s="1"/>
  <c r="W170" i="17"/>
  <c r="W171" i="17" s="1"/>
  <c r="V327" i="17"/>
  <c r="V330" i="17" s="1"/>
  <c r="V23" i="17"/>
  <c r="V379" i="17" s="1"/>
  <c r="X168" i="17"/>
  <c r="Y301" i="17"/>
  <c r="X213" i="17"/>
  <c r="N440" i="17"/>
  <c r="N322" i="17"/>
  <c r="N53" i="17"/>
  <c r="N235" i="17"/>
  <c r="L227" i="17"/>
  <c r="O327" i="17"/>
  <c r="O330" i="17" s="1"/>
  <c r="O23" i="17"/>
  <c r="O379" i="17" s="1"/>
  <c r="AC395" i="17"/>
  <c r="L394" i="17"/>
  <c r="V359" i="17" s="1"/>
  <c r="N256" i="17"/>
  <c r="N255" i="17" s="1"/>
  <c r="AC440" i="16"/>
  <c r="AC322" i="16"/>
  <c r="AC324" i="16" s="1"/>
  <c r="AC53" i="16"/>
  <c r="AC55" i="16" s="1"/>
  <c r="L171" i="16"/>
  <c r="I171" i="16"/>
  <c r="L403" i="16"/>
  <c r="N394" i="16"/>
  <c r="AC395" i="16"/>
  <c r="L394" i="16"/>
  <c r="V359" i="16" s="1"/>
  <c r="Z217" i="16"/>
  <c r="Y221" i="16"/>
  <c r="O261" i="16"/>
  <c r="O264" i="16" s="1"/>
  <c r="O254" i="16"/>
  <c r="AB440" i="16"/>
  <c r="AB322" i="16"/>
  <c r="AB324" i="16" s="1"/>
  <c r="AB53" i="16"/>
  <c r="AB55" i="16" s="1"/>
  <c r="N453" i="16"/>
  <c r="N39" i="16"/>
  <c r="N454" i="16" s="1"/>
  <c r="L39" i="16"/>
  <c r="O97" i="16" s="1"/>
  <c r="N289" i="16"/>
  <c r="N227" i="16" s="1"/>
  <c r="N59" i="16"/>
  <c r="L59" i="16" s="1"/>
  <c r="N305" i="16"/>
  <c r="O289" i="16"/>
  <c r="O227" i="16" s="1"/>
  <c r="O228" i="16" s="1"/>
  <c r="L170" i="16"/>
  <c r="I170" i="16"/>
  <c r="AA327" i="16"/>
  <c r="AA330" i="16" s="1"/>
  <c r="AA23" i="16"/>
  <c r="AA379" i="16" s="1"/>
  <c r="AC253" i="16"/>
  <c r="L251" i="16"/>
  <c r="L252" i="16"/>
  <c r="N253" i="16"/>
  <c r="X305" i="17" l="1"/>
  <c r="W225" i="17"/>
  <c r="W217" i="17"/>
  <c r="Y303" i="17"/>
  <c r="Y304" i="17" s="1"/>
  <c r="X169" i="17"/>
  <c r="X309" i="17"/>
  <c r="X214" i="17"/>
  <c r="W316" i="17"/>
  <c r="N55" i="17"/>
  <c r="N324" i="17"/>
  <c r="T443" i="17"/>
  <c r="R443" i="17"/>
  <c r="Q443" i="17"/>
  <c r="U443" i="17"/>
  <c r="P443" i="17"/>
  <c r="V443" i="17"/>
  <c r="S443" i="17"/>
  <c r="O443" i="17"/>
  <c r="N443" i="17"/>
  <c r="N237" i="17"/>
  <c r="N102" i="17"/>
  <c r="N261" i="16"/>
  <c r="N264" i="16" s="1"/>
  <c r="N270" i="16" s="1"/>
  <c r="N254" i="16"/>
  <c r="Z221" i="16"/>
  <c r="AA217" i="16"/>
  <c r="O440" i="16"/>
  <c r="O322" i="16"/>
  <c r="O324" i="16" s="1"/>
  <c r="O53" i="16"/>
  <c r="O55" i="16" s="1"/>
  <c r="AB327" i="16"/>
  <c r="AB330" i="16" s="1"/>
  <c r="AB23" i="16"/>
  <c r="AB379" i="16" s="1"/>
  <c r="L227" i="16"/>
  <c r="L228" i="16" s="1"/>
  <c r="N228" i="16"/>
  <c r="AC327" i="16"/>
  <c r="AC330" i="16" s="1"/>
  <c r="AC23" i="16"/>
  <c r="AC379" i="16" s="1"/>
  <c r="L253" i="16"/>
  <c r="L254" i="16" s="1"/>
  <c r="AC261" i="16"/>
  <c r="AC264" i="16" s="1"/>
  <c r="AC254" i="16"/>
  <c r="AC256" i="16" s="1"/>
  <c r="AC255" i="16" s="1"/>
  <c r="O256" i="16"/>
  <c r="O255" i="16" s="1"/>
  <c r="N395" i="16"/>
  <c r="L395" i="16"/>
  <c r="Y168" i="17" l="1"/>
  <c r="Z301" i="17"/>
  <c r="Y213" i="17"/>
  <c r="W253" i="17"/>
  <c r="W221" i="17"/>
  <c r="X170" i="17"/>
  <c r="X171" i="17" s="1"/>
  <c r="X225" i="17" s="1"/>
  <c r="X228" i="17" s="1"/>
  <c r="W228" i="17"/>
  <c r="U56" i="17"/>
  <c r="Q56" i="17"/>
  <c r="V56" i="17"/>
  <c r="T56" i="17"/>
  <c r="S56" i="17"/>
  <c r="R56" i="17"/>
  <c r="P56" i="17"/>
  <c r="O56" i="17"/>
  <c r="N56" i="17"/>
  <c r="N442" i="17"/>
  <c r="N272" i="17"/>
  <c r="N274" i="17" s="1"/>
  <c r="N27" i="17" s="1"/>
  <c r="N238" i="17"/>
  <c r="N240" i="17" s="1"/>
  <c r="R325" i="17"/>
  <c r="N327" i="17"/>
  <c r="N330" i="17" s="1"/>
  <c r="P325" i="17"/>
  <c r="P326" i="17" s="1"/>
  <c r="S325" i="17"/>
  <c r="S326" i="17" s="1"/>
  <c r="N325" i="17"/>
  <c r="N326" i="17" s="1"/>
  <c r="U325" i="17"/>
  <c r="O325" i="17"/>
  <c r="O326" i="17" s="1"/>
  <c r="T325" i="17"/>
  <c r="T326" i="17" s="1"/>
  <c r="V325" i="17"/>
  <c r="V326" i="17" s="1"/>
  <c r="Q325" i="17"/>
  <c r="N23" i="17"/>
  <c r="N216" i="17"/>
  <c r="N64" i="17"/>
  <c r="O327" i="16"/>
  <c r="O330" i="16" s="1"/>
  <c r="O23" i="16"/>
  <c r="O379" i="16" s="1"/>
  <c r="N440" i="16"/>
  <c r="N322" i="16"/>
  <c r="N53" i="16"/>
  <c r="N235" i="16"/>
  <c r="AB217" i="16"/>
  <c r="AA221" i="16"/>
  <c r="N256" i="16"/>
  <c r="N255" i="16" s="1"/>
  <c r="Q326" i="17" l="1"/>
  <c r="R326" i="17"/>
  <c r="U326" i="17"/>
  <c r="X217" i="17"/>
  <c r="X221" i="17" s="1"/>
  <c r="W261" i="17"/>
  <c r="W264" i="17" s="1"/>
  <c r="W254" i="17"/>
  <c r="W256" i="17" s="1"/>
  <c r="W255" i="17" s="1"/>
  <c r="Y309" i="17"/>
  <c r="Y214" i="17"/>
  <c r="W440" i="17"/>
  <c r="W53" i="17"/>
  <c r="W322" i="17"/>
  <c r="Z303" i="17"/>
  <c r="X440" i="17"/>
  <c r="X53" i="17"/>
  <c r="X55" i="17" s="1"/>
  <c r="X322" i="17"/>
  <c r="X324" i="17" s="1"/>
  <c r="Y305" i="17"/>
  <c r="X316" i="17"/>
  <c r="Y169" i="17"/>
  <c r="N329" i="17"/>
  <c r="N34" i="17"/>
  <c r="N390" i="17" s="1"/>
  <c r="T34" i="17"/>
  <c r="T390" i="17" s="1"/>
  <c r="Q34" i="17"/>
  <c r="Q390" i="17" s="1"/>
  <c r="U34" i="17"/>
  <c r="U390" i="17" s="1"/>
  <c r="V34" i="17"/>
  <c r="V390" i="17" s="1"/>
  <c r="R34" i="17"/>
  <c r="R390" i="17" s="1"/>
  <c r="S34" i="17"/>
  <c r="S390" i="17" s="1"/>
  <c r="O239" i="17"/>
  <c r="O235" i="17" s="1"/>
  <c r="N199" i="17"/>
  <c r="N241" i="17" s="1"/>
  <c r="O267" i="17"/>
  <c r="O268" i="17" s="1"/>
  <c r="O270" i="17" s="1"/>
  <c r="N65" i="17"/>
  <c r="P34" i="17"/>
  <c r="P390" i="17" s="1"/>
  <c r="N383" i="17"/>
  <c r="N218" i="17"/>
  <c r="N219" i="17" s="1"/>
  <c r="N379" i="17"/>
  <c r="O34" i="17"/>
  <c r="O390" i="17" s="1"/>
  <c r="P328" i="17"/>
  <c r="U328" i="17"/>
  <c r="S328" i="17"/>
  <c r="Q328" i="17"/>
  <c r="T328" i="17"/>
  <c r="V328" i="17"/>
  <c r="O328" i="17"/>
  <c r="N328" i="17"/>
  <c r="R328" i="17"/>
  <c r="P36" i="17"/>
  <c r="P392" i="17" s="1"/>
  <c r="V36" i="17"/>
  <c r="V392" i="17" s="1"/>
  <c r="T36" i="17"/>
  <c r="T392" i="17" s="1"/>
  <c r="S36" i="17"/>
  <c r="S392" i="17" s="1"/>
  <c r="R36" i="17"/>
  <c r="R392" i="17" s="1"/>
  <c r="Q36" i="17"/>
  <c r="Q392" i="17" s="1"/>
  <c r="O36" i="17"/>
  <c r="O392" i="17" s="1"/>
  <c r="U36" i="17"/>
  <c r="U392" i="17" s="1"/>
  <c r="N36" i="17"/>
  <c r="N392" i="17" s="1"/>
  <c r="L53" i="16"/>
  <c r="N55" i="16"/>
  <c r="AB443" i="16"/>
  <c r="T443" i="16"/>
  <c r="AA443" i="16"/>
  <c r="S443" i="16"/>
  <c r="V443" i="16"/>
  <c r="N443" i="16"/>
  <c r="Q443" i="16"/>
  <c r="X443" i="16"/>
  <c r="U443" i="16"/>
  <c r="Z443" i="16"/>
  <c r="Y443" i="16"/>
  <c r="W443" i="16"/>
  <c r="R443" i="16"/>
  <c r="P443" i="16"/>
  <c r="O443" i="16"/>
  <c r="AC443" i="16"/>
  <c r="N237" i="16"/>
  <c r="N102" i="16"/>
  <c r="L322" i="16"/>
  <c r="N324" i="16"/>
  <c r="L334" i="16" s="1"/>
  <c r="AB221" i="16"/>
  <c r="AC217" i="16"/>
  <c r="AC221" i="16" s="1"/>
  <c r="W55" i="17" l="1"/>
  <c r="W324" i="17"/>
  <c r="X443" i="17"/>
  <c r="W443" i="17"/>
  <c r="X23" i="17"/>
  <c r="X379" i="17" s="1"/>
  <c r="X327" i="17"/>
  <c r="X330" i="17" s="1"/>
  <c r="AA301" i="17"/>
  <c r="Z213" i="17"/>
  <c r="Y170" i="17"/>
  <c r="Y171" i="17" s="1"/>
  <c r="X253" i="17"/>
  <c r="Z304" i="17"/>
  <c r="O329" i="17"/>
  <c r="O444" i="17"/>
  <c r="U444" i="17"/>
  <c r="U329" i="17"/>
  <c r="V444" i="17"/>
  <c r="V329" i="17"/>
  <c r="O237" i="17"/>
  <c r="O102" i="17"/>
  <c r="T329" i="17"/>
  <c r="T444" i="17"/>
  <c r="P329" i="17"/>
  <c r="P444" i="17"/>
  <c r="N26" i="17"/>
  <c r="R444" i="17"/>
  <c r="R329" i="17"/>
  <c r="Q444" i="17"/>
  <c r="Q329" i="17"/>
  <c r="S444" i="17"/>
  <c r="S329" i="17"/>
  <c r="N313" i="17"/>
  <c r="N209" i="17"/>
  <c r="N310" i="17" s="1"/>
  <c r="N103" i="17"/>
  <c r="N57" i="17"/>
  <c r="AB325" i="16"/>
  <c r="T325" i="16"/>
  <c r="AC325" i="16"/>
  <c r="AC326" i="16" s="1"/>
  <c r="S325" i="16"/>
  <c r="AA325" i="16"/>
  <c r="AA326" i="16" s="1"/>
  <c r="R325" i="16"/>
  <c r="R326" i="16" s="1"/>
  <c r="V325" i="16"/>
  <c r="Z325" i="16"/>
  <c r="N325" i="16"/>
  <c r="N326" i="16" s="1"/>
  <c r="Y325" i="16"/>
  <c r="L324" i="16"/>
  <c r="X325" i="16"/>
  <c r="W325" i="16"/>
  <c r="W326" i="16" s="1"/>
  <c r="P325" i="16"/>
  <c r="P326" i="16" s="1"/>
  <c r="O325" i="16"/>
  <c r="O326" i="16" s="1"/>
  <c r="N327" i="16"/>
  <c r="N330" i="16" s="1"/>
  <c r="U325" i="16"/>
  <c r="U326" i="16" s="1"/>
  <c r="N23" i="16"/>
  <c r="Q325" i="16"/>
  <c r="X56" i="16"/>
  <c r="P56" i="16"/>
  <c r="V56" i="16"/>
  <c r="W56" i="16"/>
  <c r="O56" i="16"/>
  <c r="N56" i="16"/>
  <c r="Z56" i="16"/>
  <c r="R56" i="16"/>
  <c r="AC56" i="16"/>
  <c r="L56" i="16" s="1"/>
  <c r="AA56" i="16"/>
  <c r="U56" i="16"/>
  <c r="AB56" i="16"/>
  <c r="L55" i="16"/>
  <c r="Y56" i="16"/>
  <c r="T56" i="16"/>
  <c r="S56" i="16"/>
  <c r="Q56" i="16"/>
  <c r="N216" i="16"/>
  <c r="N64" i="16"/>
  <c r="N442" i="16"/>
  <c r="N272" i="16"/>
  <c r="N274" i="16" s="1"/>
  <c r="N27" i="16" s="1"/>
  <c r="N238" i="16"/>
  <c r="N240" i="16" s="1"/>
  <c r="X326" i="16" l="1"/>
  <c r="S326" i="16"/>
  <c r="Q326" i="16"/>
  <c r="Y326" i="16"/>
  <c r="T326" i="16"/>
  <c r="AB326" i="16"/>
  <c r="Z326" i="16"/>
  <c r="V326" i="16"/>
  <c r="N314" i="17"/>
  <c r="Z168" i="17"/>
  <c r="Z305" i="17"/>
  <c r="X261" i="17"/>
  <c r="X264" i="17" s="1"/>
  <c r="X254" i="17"/>
  <c r="X256" i="17" s="1"/>
  <c r="X255" i="17" s="1"/>
  <c r="Y225" i="17"/>
  <c r="Y217" i="17"/>
  <c r="W327" i="17"/>
  <c r="W330" i="17" s="1"/>
  <c r="W23" i="17"/>
  <c r="X325" i="17"/>
  <c r="W325" i="17"/>
  <c r="W326" i="17" s="1"/>
  <c r="Y316" i="17"/>
  <c r="Z309" i="17"/>
  <c r="Z214" i="17"/>
  <c r="W56" i="17"/>
  <c r="X56" i="17"/>
  <c r="AA303" i="17"/>
  <c r="AA304" i="17"/>
  <c r="O64" i="17"/>
  <c r="O216" i="17"/>
  <c r="N220" i="17"/>
  <c r="N10" i="17" s="1"/>
  <c r="O442" i="17"/>
  <c r="O272" i="17"/>
  <c r="O274" i="17" s="1"/>
  <c r="O27" i="17" s="1"/>
  <c r="O238" i="17"/>
  <c r="O240" i="17" s="1"/>
  <c r="N222" i="17"/>
  <c r="N382" i="17"/>
  <c r="R34" i="16"/>
  <c r="R390" i="16" s="1"/>
  <c r="W34" i="16"/>
  <c r="W390" i="16" s="1"/>
  <c r="Q34" i="16"/>
  <c r="Q390" i="16" s="1"/>
  <c r="X34" i="16"/>
  <c r="X390" i="16" s="1"/>
  <c r="S34" i="16"/>
  <c r="S390" i="16" s="1"/>
  <c r="V34" i="16"/>
  <c r="V390" i="16" s="1"/>
  <c r="N379" i="16"/>
  <c r="L379" i="16" s="1"/>
  <c r="L23" i="16"/>
  <c r="AC34" i="16"/>
  <c r="N65" i="16"/>
  <c r="N218" i="16"/>
  <c r="N219" i="16" s="1"/>
  <c r="AA34" i="16"/>
  <c r="AA390" i="16" s="1"/>
  <c r="O267" i="16"/>
  <c r="O268" i="16" s="1"/>
  <c r="O270" i="16" s="1"/>
  <c r="O239" i="16"/>
  <c r="O235" i="16" s="1"/>
  <c r="N199" i="16"/>
  <c r="U34" i="16"/>
  <c r="U390" i="16" s="1"/>
  <c r="Y34" i="16"/>
  <c r="Y390" i="16" s="1"/>
  <c r="N383" i="16"/>
  <c r="Z328" i="16"/>
  <c r="R328" i="16"/>
  <c r="AB328" i="16"/>
  <c r="T328" i="16"/>
  <c r="AA328" i="16"/>
  <c r="P328" i="16"/>
  <c r="L327" i="16"/>
  <c r="L330" i="16" s="1"/>
  <c r="Y328" i="16"/>
  <c r="O328" i="16"/>
  <c r="S328" i="16"/>
  <c r="W328" i="16"/>
  <c r="V328" i="16"/>
  <c r="U328" i="16"/>
  <c r="Q328" i="16"/>
  <c r="N328" i="16"/>
  <c r="AC328" i="16"/>
  <c r="L333" i="16"/>
  <c r="X328" i="16"/>
  <c r="Y36" i="16"/>
  <c r="Y392" i="16" s="1"/>
  <c r="Q36" i="16"/>
  <c r="Q392" i="16" s="1"/>
  <c r="P36" i="16"/>
  <c r="P392" i="16" s="1"/>
  <c r="W36" i="16"/>
  <c r="W392" i="16" s="1"/>
  <c r="X36" i="16"/>
  <c r="X392" i="16" s="1"/>
  <c r="O36" i="16"/>
  <c r="O392" i="16" s="1"/>
  <c r="AA36" i="16"/>
  <c r="AA392" i="16" s="1"/>
  <c r="S36" i="16"/>
  <c r="S392" i="16" s="1"/>
  <c r="U36" i="16"/>
  <c r="U392" i="16" s="1"/>
  <c r="R36" i="16"/>
  <c r="R392" i="16" s="1"/>
  <c r="AC36" i="16"/>
  <c r="T36" i="16"/>
  <c r="T392" i="16" s="1"/>
  <c r="N36" i="16"/>
  <c r="N392" i="16" s="1"/>
  <c r="AB36" i="16"/>
  <c r="AB392" i="16" s="1"/>
  <c r="Z36" i="16"/>
  <c r="Z392" i="16" s="1"/>
  <c r="V36" i="16"/>
  <c r="V392" i="16" s="1"/>
  <c r="N329" i="16"/>
  <c r="N34" i="16"/>
  <c r="N390" i="16" s="1"/>
  <c r="T34" i="16"/>
  <c r="T390" i="16" s="1"/>
  <c r="P34" i="16"/>
  <c r="P390" i="16" s="1"/>
  <c r="O34" i="16"/>
  <c r="O390" i="16" s="1"/>
  <c r="Z34" i="16"/>
  <c r="Z390" i="16" s="1"/>
  <c r="AB34" i="16"/>
  <c r="AB390" i="16" s="1"/>
  <c r="X326" i="17" l="1"/>
  <c r="N61" i="17"/>
  <c r="X328" i="17"/>
  <c r="X36" i="17"/>
  <c r="X392" i="17" s="1"/>
  <c r="W36" i="17"/>
  <c r="W392" i="17" s="1"/>
  <c r="W328" i="17"/>
  <c r="Y221" i="17"/>
  <c r="W34" i="17"/>
  <c r="W390" i="17" s="1"/>
  <c r="Y228" i="17"/>
  <c r="X34" i="17"/>
  <c r="X390" i="17" s="1"/>
  <c r="Y253" i="17"/>
  <c r="AA168" i="17"/>
  <c r="AA169" i="17" s="1"/>
  <c r="AA213" i="17"/>
  <c r="AA305" i="17" s="1"/>
  <c r="AB301" i="17"/>
  <c r="W379" i="17"/>
  <c r="Z169" i="17"/>
  <c r="Z170" i="17" s="1"/>
  <c r="L335" i="16"/>
  <c r="Z35" i="16" s="1"/>
  <c r="Z391" i="16" s="1"/>
  <c r="P267" i="17"/>
  <c r="P268" i="17" s="1"/>
  <c r="P270" i="17" s="1"/>
  <c r="O199" i="17"/>
  <c r="P239" i="17"/>
  <c r="P235" i="17" s="1"/>
  <c r="O383" i="17"/>
  <c r="O218" i="17"/>
  <c r="O219" i="17" s="1"/>
  <c r="O65" i="17"/>
  <c r="V444" i="16"/>
  <c r="V329" i="16"/>
  <c r="T444" i="16"/>
  <c r="T329" i="16"/>
  <c r="Q329" i="16"/>
  <c r="Q444" i="16"/>
  <c r="AA444" i="16"/>
  <c r="AA329" i="16"/>
  <c r="L326" i="16"/>
  <c r="W444" i="16"/>
  <c r="W329" i="16"/>
  <c r="AB444" i="16"/>
  <c r="AB329" i="16"/>
  <c r="X444" i="16"/>
  <c r="X329" i="16"/>
  <c r="S329" i="16"/>
  <c r="S444" i="16"/>
  <c r="R444" i="16"/>
  <c r="R329" i="16"/>
  <c r="N313" i="16"/>
  <c r="N209" i="16"/>
  <c r="N310" i="16" s="1"/>
  <c r="N57" i="16"/>
  <c r="N103" i="16"/>
  <c r="U444" i="16"/>
  <c r="U329" i="16"/>
  <c r="O444" i="16"/>
  <c r="O329" i="16"/>
  <c r="Z444" i="16"/>
  <c r="Z329" i="16"/>
  <c r="O237" i="16"/>
  <c r="O102" i="16"/>
  <c r="N26" i="16"/>
  <c r="AC392" i="16"/>
  <c r="L392" i="16" s="1"/>
  <c r="L36" i="16"/>
  <c r="R97" i="16" s="1"/>
  <c r="AC444" i="16"/>
  <c r="AC329" i="16"/>
  <c r="Y329" i="16"/>
  <c r="Y444" i="16"/>
  <c r="N241" i="16"/>
  <c r="AC390" i="16"/>
  <c r="L390" i="16" s="1"/>
  <c r="K390" i="16" s="1"/>
  <c r="L34" i="16"/>
  <c r="P444" i="16"/>
  <c r="P329" i="16"/>
  <c r="X35" i="16" l="1"/>
  <c r="X391" i="16" s="1"/>
  <c r="L35" i="16"/>
  <c r="L391" i="16" s="1"/>
  <c r="AA35" i="16"/>
  <c r="AA391" i="16" s="1"/>
  <c r="AB35" i="16"/>
  <c r="AB391" i="16" s="1"/>
  <c r="AC35" i="16"/>
  <c r="AC391" i="16" s="1"/>
  <c r="P35" i="16"/>
  <c r="P391" i="16" s="1"/>
  <c r="Y35" i="16"/>
  <c r="Y391" i="16" s="1"/>
  <c r="V35" i="16"/>
  <c r="V391" i="16" s="1"/>
  <c r="W35" i="16"/>
  <c r="W391" i="16" s="1"/>
  <c r="U35" i="16"/>
  <c r="U391" i="16" s="1"/>
  <c r="O35" i="16"/>
  <c r="O391" i="16" s="1"/>
  <c r="R35" i="16"/>
  <c r="R391" i="16" s="1"/>
  <c r="Q35" i="16"/>
  <c r="Q391" i="16" s="1"/>
  <c r="S35" i="16"/>
  <c r="S391" i="16" s="1"/>
  <c r="N35" i="16"/>
  <c r="N391" i="16" s="1"/>
  <c r="T35" i="16"/>
  <c r="T391" i="16" s="1"/>
  <c r="N220" i="16"/>
  <c r="N10" i="16" s="1"/>
  <c r="AB303" i="17"/>
  <c r="AB304" i="17"/>
  <c r="Y322" i="17"/>
  <c r="Y53" i="17"/>
  <c r="Y440" i="17"/>
  <c r="AA170" i="17"/>
  <c r="AA309" i="17"/>
  <c r="AA214" i="17"/>
  <c r="W444" i="17"/>
  <c r="W329" i="17"/>
  <c r="Z171" i="17"/>
  <c r="Z316" i="17"/>
  <c r="Y261" i="17"/>
  <c r="Y264" i="17" s="1"/>
  <c r="Y254" i="17"/>
  <c r="Y256" i="17" s="1"/>
  <c r="Y255" i="17" s="1"/>
  <c r="X444" i="17"/>
  <c r="X329" i="17"/>
  <c r="L329" i="16"/>
  <c r="N222" i="16"/>
  <c r="P237" i="17"/>
  <c r="P102" i="17"/>
  <c r="O313" i="17"/>
  <c r="O209" i="17"/>
  <c r="O310" i="17" s="1"/>
  <c r="O314" i="17" s="1"/>
  <c r="O103" i="17"/>
  <c r="O57" i="17"/>
  <c r="O26" i="17"/>
  <c r="O241" i="17"/>
  <c r="N382" i="16"/>
  <c r="O64" i="16"/>
  <c r="O216" i="16"/>
  <c r="Y359" i="16"/>
  <c r="S359" i="16"/>
  <c r="O442" i="16"/>
  <c r="O272" i="16"/>
  <c r="O274" i="16" s="1"/>
  <c r="O27" i="16" s="1"/>
  <c r="O238" i="16"/>
  <c r="O240" i="16" s="1"/>
  <c r="N314" i="16"/>
  <c r="O61" i="17" l="1"/>
  <c r="N61" i="16"/>
  <c r="Z253" i="17"/>
  <c r="Y55" i="17"/>
  <c r="AA253" i="17"/>
  <c r="AA316" i="17"/>
  <c r="Z225" i="17"/>
  <c r="Z217" i="17"/>
  <c r="Y443" i="17"/>
  <c r="Y324" i="17"/>
  <c r="AB168" i="17"/>
  <c r="AB169" i="17" s="1"/>
  <c r="AA171" i="17"/>
  <c r="AA225" i="17" s="1"/>
  <c r="AA228" i="17" s="1"/>
  <c r="AB213" i="17"/>
  <c r="AB305" i="17" s="1"/>
  <c r="AC301" i="17"/>
  <c r="O382" i="17"/>
  <c r="P442" i="17"/>
  <c r="P272" i="17"/>
  <c r="P274" i="17" s="1"/>
  <c r="P27" i="17" s="1"/>
  <c r="P238" i="17"/>
  <c r="P240" i="17" s="1"/>
  <c r="P64" i="17"/>
  <c r="P216" i="17"/>
  <c r="O222" i="17"/>
  <c r="O220" i="17"/>
  <c r="O10" i="17" s="1"/>
  <c r="O65" i="16"/>
  <c r="O218" i="16"/>
  <c r="O219" i="16" s="1"/>
  <c r="P239" i="16"/>
  <c r="P235" i="16" s="1"/>
  <c r="O199" i="16"/>
  <c r="P267" i="16"/>
  <c r="P268" i="16" s="1"/>
  <c r="P270" i="16" s="1"/>
  <c r="O383" i="16"/>
  <c r="Z228" i="17" l="1"/>
  <c r="Y56" i="17"/>
  <c r="AA261" i="17"/>
  <c r="AA264" i="17" s="1"/>
  <c r="AA254" i="17"/>
  <c r="AA256" i="17" s="1"/>
  <c r="AA255" i="17" s="1"/>
  <c r="AB309" i="17"/>
  <c r="AB214" i="17"/>
  <c r="AA322" i="17"/>
  <c r="AA324" i="17" s="1"/>
  <c r="AA440" i="17"/>
  <c r="AA53" i="17"/>
  <c r="AA55" i="17" s="1"/>
  <c r="AB170" i="17"/>
  <c r="Y23" i="17"/>
  <c r="Y327" i="17"/>
  <c r="Y325" i="17"/>
  <c r="Y326" i="17" s="1"/>
  <c r="AC303" i="17"/>
  <c r="AC213" i="17" s="1"/>
  <c r="Z221" i="17"/>
  <c r="AA217" i="17"/>
  <c r="Z261" i="17"/>
  <c r="Z264" i="17" s="1"/>
  <c r="Z254" i="17"/>
  <c r="P65" i="17"/>
  <c r="Q267" i="17"/>
  <c r="Q268" i="17" s="1"/>
  <c r="Q270" i="17" s="1"/>
  <c r="Q239" i="17"/>
  <c r="Q235" i="17" s="1"/>
  <c r="P199" i="17"/>
  <c r="P383" i="17"/>
  <c r="P218" i="17"/>
  <c r="P219" i="17" s="1"/>
  <c r="O313" i="16"/>
  <c r="O103" i="16"/>
  <c r="O57" i="16"/>
  <c r="O209" i="16"/>
  <c r="O310" i="16" s="1"/>
  <c r="O241" i="16"/>
  <c r="P237" i="16"/>
  <c r="P102" i="16"/>
  <c r="O26" i="16"/>
  <c r="AC304" i="17" l="1"/>
  <c r="AC168" i="17" s="1"/>
  <c r="O220" i="16"/>
  <c r="O10" i="16" s="1"/>
  <c r="Z256" i="17"/>
  <c r="Z255" i="17" s="1"/>
  <c r="Y328" i="17"/>
  <c r="Y36" i="17"/>
  <c r="Y392" i="17" s="1"/>
  <c r="AA327" i="17"/>
  <c r="AA330" i="17" s="1"/>
  <c r="AA23" i="17"/>
  <c r="AA379" i="17" s="1"/>
  <c r="AB253" i="17"/>
  <c r="AB316" i="17"/>
  <c r="Y379" i="17"/>
  <c r="Y330" i="17"/>
  <c r="AA221" i="17"/>
  <c r="AC309" i="17"/>
  <c r="AC214" i="17"/>
  <c r="Y34" i="17"/>
  <c r="Y390" i="17" s="1"/>
  <c r="AB171" i="17"/>
  <c r="AB225" i="17" s="1"/>
  <c r="Z53" i="17"/>
  <c r="Z440" i="17"/>
  <c r="Z322" i="17"/>
  <c r="O314" i="16"/>
  <c r="O222" i="16"/>
  <c r="P313" i="17"/>
  <c r="P209" i="17"/>
  <c r="P310" i="17" s="1"/>
  <c r="P314" i="17" s="1"/>
  <c r="P103" i="17"/>
  <c r="P57" i="17"/>
  <c r="Q237" i="17"/>
  <c r="Q102" i="17"/>
  <c r="P241" i="17"/>
  <c r="P26" i="17"/>
  <c r="P442" i="16"/>
  <c r="P272" i="16"/>
  <c r="P274" i="16" s="1"/>
  <c r="P27" i="16" s="1"/>
  <c r="P238" i="16"/>
  <c r="P240" i="16" s="1"/>
  <c r="O382" i="16"/>
  <c r="P64" i="16"/>
  <c r="P216" i="16"/>
  <c r="P61" i="17" l="1"/>
  <c r="O61" i="16"/>
  <c r="AB217" i="17"/>
  <c r="AC305" i="17"/>
  <c r="Z324" i="17"/>
  <c r="AB254" i="17"/>
  <c r="AB261" i="17"/>
  <c r="AB264" i="17" s="1"/>
  <c r="Z443" i="17"/>
  <c r="AA443" i="17"/>
  <c r="AB221" i="17"/>
  <c r="AB228" i="17"/>
  <c r="Z55" i="17"/>
  <c r="P220" i="17"/>
  <c r="P10" i="17" s="1"/>
  <c r="AC169" i="17"/>
  <c r="K168" i="17"/>
  <c r="Y444" i="17"/>
  <c r="Y329" i="17"/>
  <c r="Q64" i="17"/>
  <c r="Q216" i="17"/>
  <c r="P222" i="17"/>
  <c r="Q442" i="17"/>
  <c r="Q272" i="17"/>
  <c r="Q274" i="17" s="1"/>
  <c r="Q27" i="17" s="1"/>
  <c r="Q238" i="17"/>
  <c r="Q240" i="17" s="1"/>
  <c r="P382" i="17"/>
  <c r="P65" i="16"/>
  <c r="Q267" i="16"/>
  <c r="Q268" i="16" s="1"/>
  <c r="Q270" i="16" s="1"/>
  <c r="Q239" i="16"/>
  <c r="Q235" i="16" s="1"/>
  <c r="P199" i="16"/>
  <c r="P241" i="16" s="1"/>
  <c r="P383" i="16"/>
  <c r="P218" i="16"/>
  <c r="P219" i="16" s="1"/>
  <c r="AB256" i="17" l="1"/>
  <c r="AB255" i="17" s="1"/>
  <c r="Z56" i="17"/>
  <c r="AA56" i="17"/>
  <c r="L168" i="17"/>
  <c r="K169" i="17"/>
  <c r="AB53" i="17"/>
  <c r="AB440" i="17"/>
  <c r="AB322" i="17"/>
  <c r="AC170" i="17"/>
  <c r="AC171" i="17" s="1"/>
  <c r="Z23" i="17"/>
  <c r="Z327" i="17"/>
  <c r="AA325" i="17"/>
  <c r="AA326" i="17" s="1"/>
  <c r="Z325" i="17"/>
  <c r="Z326" i="17" s="1"/>
  <c r="R267" i="17"/>
  <c r="R268" i="17" s="1"/>
  <c r="R270" i="17" s="1"/>
  <c r="R239" i="17"/>
  <c r="R235" i="17" s="1"/>
  <c r="Q199" i="17"/>
  <c r="Q383" i="17"/>
  <c r="Q218" i="17"/>
  <c r="Q219" i="17" s="1"/>
  <c r="Q65" i="17"/>
  <c r="P313" i="16"/>
  <c r="P209" i="16"/>
  <c r="P310" i="16" s="1"/>
  <c r="P314" i="16" s="1"/>
  <c r="P103" i="16"/>
  <c r="P57" i="16"/>
  <c r="Q237" i="16"/>
  <c r="Q102" i="16"/>
  <c r="P26" i="16"/>
  <c r="P61" i="16" l="1"/>
  <c r="Z379" i="17"/>
  <c r="Z34" i="17"/>
  <c r="Z390" i="17" s="1"/>
  <c r="Z330" i="17"/>
  <c r="Z36" i="17"/>
  <c r="Z392" i="17" s="1"/>
  <c r="AA328" i="17"/>
  <c r="Z328" i="17"/>
  <c r="AA36" i="17"/>
  <c r="AA392" i="17" s="1"/>
  <c r="AB324" i="17"/>
  <c r="AC225" i="17"/>
  <c r="AC217" i="17"/>
  <c r="AC221" i="17" s="1"/>
  <c r="AC316" i="17"/>
  <c r="K170" i="17"/>
  <c r="K171" i="17" s="1"/>
  <c r="AB443" i="17"/>
  <c r="AA34" i="17"/>
  <c r="AA390" i="17" s="1"/>
  <c r="AB55" i="17"/>
  <c r="L169" i="17"/>
  <c r="I169" i="17"/>
  <c r="P222" i="16"/>
  <c r="Q313" i="17"/>
  <c r="Q209" i="17"/>
  <c r="Q310" i="17" s="1"/>
  <c r="Q314" i="17" s="1"/>
  <c r="Q103" i="17"/>
  <c r="Q57" i="17"/>
  <c r="R237" i="17"/>
  <c r="R102" i="17"/>
  <c r="Q241" i="17"/>
  <c r="Q26" i="17"/>
  <c r="Q64" i="16"/>
  <c r="Q216" i="16"/>
  <c r="Q442" i="16"/>
  <c r="Q272" i="16"/>
  <c r="Q274" i="16" s="1"/>
  <c r="Q27" i="16" s="1"/>
  <c r="Q238" i="16"/>
  <c r="Q240" i="16" s="1"/>
  <c r="P382" i="16"/>
  <c r="P220" i="16"/>
  <c r="P10" i="16" s="1"/>
  <c r="Q61" i="17" l="1"/>
  <c r="Q220" i="17"/>
  <c r="Q10" i="17" s="1"/>
  <c r="L170" i="17"/>
  <c r="I170" i="17"/>
  <c r="AC253" i="17"/>
  <c r="L251" i="17"/>
  <c r="L253" i="17" s="1"/>
  <c r="L254" i="17" s="1"/>
  <c r="Z444" i="17"/>
  <c r="Z329" i="17"/>
  <c r="AB327" i="17"/>
  <c r="AB23" i="17"/>
  <c r="AB325" i="17"/>
  <c r="AB326" i="17" s="1"/>
  <c r="AB56" i="17"/>
  <c r="AC228" i="17"/>
  <c r="L225" i="17"/>
  <c r="L228" i="17" s="1"/>
  <c r="AA444" i="17"/>
  <c r="AA329" i="17"/>
  <c r="I171" i="17"/>
  <c r="L171" i="17"/>
  <c r="Q222" i="17"/>
  <c r="R64" i="17"/>
  <c r="R216" i="17"/>
  <c r="R442" i="17"/>
  <c r="R272" i="17"/>
  <c r="R274" i="17" s="1"/>
  <c r="R27" i="17" s="1"/>
  <c r="R238" i="17"/>
  <c r="R240" i="17" s="1"/>
  <c r="Q382" i="17"/>
  <c r="R267" i="16"/>
  <c r="R268" i="16" s="1"/>
  <c r="R270" i="16" s="1"/>
  <c r="R239" i="16"/>
  <c r="R235" i="16" s="1"/>
  <c r="Q199" i="16"/>
  <c r="Q383" i="16"/>
  <c r="Q218" i="16"/>
  <c r="Q219" i="16" s="1"/>
  <c r="Q65" i="16"/>
  <c r="AB328" i="17" l="1"/>
  <c r="AB36" i="17"/>
  <c r="AB392" i="17" s="1"/>
  <c r="AB34" i="17"/>
  <c r="AB390" i="17" s="1"/>
  <c r="AC254" i="17"/>
  <c r="AC256" i="17" s="1"/>
  <c r="AC255" i="17" s="1"/>
  <c r="AC261" i="17"/>
  <c r="AC264" i="17" s="1"/>
  <c r="AC440" i="17"/>
  <c r="AC443" i="17" s="1"/>
  <c r="AC53" i="17"/>
  <c r="AC322" i="17"/>
  <c r="AB379" i="17"/>
  <c r="AB330" i="17"/>
  <c r="R383" i="17"/>
  <c r="R218" i="17"/>
  <c r="R219" i="17" s="1"/>
  <c r="R199" i="17"/>
  <c r="S239" i="17"/>
  <c r="S235" i="17" s="1"/>
  <c r="S267" i="17"/>
  <c r="S268" i="17" s="1"/>
  <c r="S270" i="17" s="1"/>
  <c r="R65" i="17"/>
  <c r="R237" i="16"/>
  <c r="R102" i="16"/>
  <c r="Q209" i="16"/>
  <c r="Q310" i="16" s="1"/>
  <c r="Q313" i="16"/>
  <c r="Q103" i="16"/>
  <c r="Q57" i="16"/>
  <c r="Q241" i="16"/>
  <c r="Q26" i="16"/>
  <c r="Q220" i="16" l="1"/>
  <c r="Q222" i="16"/>
  <c r="AC55" i="17"/>
  <c r="L53" i="17"/>
  <c r="AC324" i="17"/>
  <c r="L334" i="17" s="1"/>
  <c r="L322" i="17"/>
  <c r="AB329" i="17"/>
  <c r="AB444" i="17"/>
  <c r="S237" i="17"/>
  <c r="S102" i="17"/>
  <c r="R209" i="17"/>
  <c r="R310" i="17" s="1"/>
  <c r="R313" i="17"/>
  <c r="R103" i="17"/>
  <c r="R57" i="17"/>
  <c r="R220" i="17"/>
  <c r="R241" i="17"/>
  <c r="R26" i="17"/>
  <c r="Q10" i="16"/>
  <c r="Q314" i="16"/>
  <c r="R64" i="16"/>
  <c r="R216" i="16"/>
  <c r="Q382" i="16"/>
  <c r="R442" i="16"/>
  <c r="R272" i="16"/>
  <c r="R274" i="16" s="1"/>
  <c r="R27" i="16" s="1"/>
  <c r="R238" i="16"/>
  <c r="R240" i="16" s="1"/>
  <c r="Q61" i="16" l="1"/>
  <c r="AC327" i="17"/>
  <c r="AC23" i="17"/>
  <c r="L324" i="17"/>
  <c r="AC325" i="17"/>
  <c r="AC326" i="17" s="1"/>
  <c r="R10" i="17"/>
  <c r="AC56" i="17"/>
  <c r="L56" i="17" s="1"/>
  <c r="L55" i="17"/>
  <c r="R314" i="17"/>
  <c r="R382" i="17"/>
  <c r="S64" i="17"/>
  <c r="S65" i="17" s="1"/>
  <c r="S26" i="17" s="1"/>
  <c r="S382" i="17" s="1"/>
  <c r="S216" i="17"/>
  <c r="S272" i="17"/>
  <c r="S274" i="17" s="1"/>
  <c r="S27" i="17" s="1"/>
  <c r="S383" i="17" s="1"/>
  <c r="S442" i="17"/>
  <c r="S238" i="17"/>
  <c r="S240" i="17" s="1"/>
  <c r="R383" i="16"/>
  <c r="R218" i="16"/>
  <c r="R219" i="16" s="1"/>
  <c r="R65" i="16"/>
  <c r="R199" i="16"/>
  <c r="R241" i="16"/>
  <c r="S239" i="16"/>
  <c r="S235" i="16" s="1"/>
  <c r="S267" i="16"/>
  <c r="S268" i="16" s="1"/>
  <c r="S270" i="16" s="1"/>
  <c r="R61" i="17" l="1"/>
  <c r="L326" i="17"/>
  <c r="AC34" i="17"/>
  <c r="AC379" i="17"/>
  <c r="L379" i="17" s="1"/>
  <c r="L23" i="17"/>
  <c r="AC330" i="17"/>
  <c r="L333" i="17"/>
  <c r="L327" i="17"/>
  <c r="L330" i="17" s="1"/>
  <c r="AC328" i="17"/>
  <c r="AC36" i="17"/>
  <c r="T239" i="17"/>
  <c r="T235" i="17" s="1"/>
  <c r="T267" i="17"/>
  <c r="T268" i="17" s="1"/>
  <c r="T270" i="17" s="1"/>
  <c r="S199" i="17"/>
  <c r="S218" i="17"/>
  <c r="S219" i="17" s="1"/>
  <c r="R26" i="16"/>
  <c r="R209" i="16"/>
  <c r="R310" i="16" s="1"/>
  <c r="R314" i="16" s="1"/>
  <c r="R313" i="16"/>
  <c r="R103" i="16"/>
  <c r="R57" i="16"/>
  <c r="S237" i="16"/>
  <c r="S102" i="16"/>
  <c r="R61" i="16" l="1"/>
  <c r="L335" i="17"/>
  <c r="R35" i="17" s="1"/>
  <c r="R391" i="17" s="1"/>
  <c r="Y35" i="17"/>
  <c r="Y391" i="17" s="1"/>
  <c r="T35" i="17"/>
  <c r="T391" i="17" s="1"/>
  <c r="S35" i="17"/>
  <c r="S391" i="17" s="1"/>
  <c r="AA35" i="17"/>
  <c r="AA391" i="17" s="1"/>
  <c r="L35" i="17"/>
  <c r="L391" i="17" s="1"/>
  <c r="X35" i="17"/>
  <c r="X391" i="17" s="1"/>
  <c r="U35" i="17"/>
  <c r="U391" i="17" s="1"/>
  <c r="AB35" i="17"/>
  <c r="AB391" i="17" s="1"/>
  <c r="AC392" i="17"/>
  <c r="L392" i="17" s="1"/>
  <c r="L36" i="17"/>
  <c r="R97" i="17" s="1"/>
  <c r="AC390" i="17"/>
  <c r="L390" i="17" s="1"/>
  <c r="K390" i="17" s="1"/>
  <c r="L34" i="17"/>
  <c r="AC444" i="17"/>
  <c r="AC329" i="17"/>
  <c r="L329" i="17" s="1"/>
  <c r="S359" i="17"/>
  <c r="Y359" i="17"/>
  <c r="R220" i="16"/>
  <c r="R10" i="16" s="1"/>
  <c r="S313" i="17"/>
  <c r="S209" i="17"/>
  <c r="S310" i="17" s="1"/>
  <c r="S57" i="17"/>
  <c r="S103" i="17"/>
  <c r="T237" i="17"/>
  <c r="T102" i="17"/>
  <c r="S241" i="17"/>
  <c r="S64" i="16"/>
  <c r="S65" i="16" s="1"/>
  <c r="S26" i="16" s="1"/>
  <c r="S382" i="16" s="1"/>
  <c r="S216" i="16"/>
  <c r="S442" i="16"/>
  <c r="S272" i="16"/>
  <c r="S274" i="16" s="1"/>
  <c r="S27" i="16" s="1"/>
  <c r="S383" i="16" s="1"/>
  <c r="S238" i="16"/>
  <c r="S240" i="16" s="1"/>
  <c r="R382" i="16"/>
  <c r="V35" i="17" l="1"/>
  <c r="V391" i="17" s="1"/>
  <c r="AC35" i="17"/>
  <c r="AC391" i="17" s="1"/>
  <c r="P35" i="17"/>
  <c r="P391" i="17" s="1"/>
  <c r="W35" i="17"/>
  <c r="W391" i="17" s="1"/>
  <c r="Z35" i="17"/>
  <c r="Z391" i="17" s="1"/>
  <c r="S314" i="17"/>
  <c r="S61" i="17" s="1"/>
  <c r="N35" i="17"/>
  <c r="N391" i="17" s="1"/>
  <c r="O35" i="17"/>
  <c r="O391" i="17" s="1"/>
  <c r="Q35" i="17"/>
  <c r="Q391" i="17" s="1"/>
  <c r="T442" i="17"/>
  <c r="T272" i="17"/>
  <c r="T274" i="17" s="1"/>
  <c r="T27" i="17" s="1"/>
  <c r="T383" i="17" s="1"/>
  <c r="T238" i="17"/>
  <c r="T240" i="17" s="1"/>
  <c r="S220" i="17"/>
  <c r="S10" i="17" s="1"/>
  <c r="T64" i="17"/>
  <c r="T65" i="17" s="1"/>
  <c r="T26" i="17" s="1"/>
  <c r="T382" i="17" s="1"/>
  <c r="T216" i="17"/>
  <c r="T239" i="16"/>
  <c r="T235" i="16" s="1"/>
  <c r="S199" i="16"/>
  <c r="T267" i="16"/>
  <c r="T268" i="16" s="1"/>
  <c r="T270" i="16" s="1"/>
  <c r="S218" i="16"/>
  <c r="S219" i="16" s="1"/>
  <c r="T218" i="17" l="1"/>
  <c r="T219" i="17" s="1"/>
  <c r="U267" i="17"/>
  <c r="U268" i="17" s="1"/>
  <c r="U270" i="17" s="1"/>
  <c r="U239" i="17"/>
  <c r="U235" i="17" s="1"/>
  <c r="T199" i="17"/>
  <c r="T237" i="16"/>
  <c r="T102" i="16"/>
  <c r="S313" i="16"/>
  <c r="S103" i="16"/>
  <c r="S209" i="16"/>
  <c r="S310" i="16" s="1"/>
  <c r="S57" i="16"/>
  <c r="S241" i="16"/>
  <c r="S314" i="16" l="1"/>
  <c r="S61" i="16" s="1"/>
  <c r="T313" i="17"/>
  <c r="T209" i="17"/>
  <c r="T310" i="17" s="1"/>
  <c r="T314" i="17" s="1"/>
  <c r="T61" i="17" s="1"/>
  <c r="T103" i="17"/>
  <c r="T57" i="17"/>
  <c r="U237" i="17"/>
  <c r="U102" i="17"/>
  <c r="T241" i="17"/>
  <c r="T64" i="16"/>
  <c r="T65" i="16" s="1"/>
  <c r="T26" i="16" s="1"/>
  <c r="T382" i="16" s="1"/>
  <c r="T216" i="16"/>
  <c r="T442" i="16"/>
  <c r="T272" i="16"/>
  <c r="T274" i="16" s="1"/>
  <c r="T27" i="16" s="1"/>
  <c r="T383" i="16" s="1"/>
  <c r="T238" i="16"/>
  <c r="T240" i="16" s="1"/>
  <c r="S220" i="16"/>
  <c r="S10" i="16" s="1"/>
  <c r="T220" i="17" l="1"/>
  <c r="T10" i="17" s="1"/>
  <c r="U64" i="17"/>
  <c r="U65" i="17" s="1"/>
  <c r="U26" i="17" s="1"/>
  <c r="U382" i="17" s="1"/>
  <c r="U216" i="17"/>
  <c r="U442" i="17"/>
  <c r="U272" i="17"/>
  <c r="U274" i="17" s="1"/>
  <c r="U27" i="17" s="1"/>
  <c r="U383" i="17" s="1"/>
  <c r="U238" i="17"/>
  <c r="U240" i="17" s="1"/>
  <c r="T218" i="16"/>
  <c r="T219" i="16" s="1"/>
  <c r="T199" i="16"/>
  <c r="T241" i="16" s="1"/>
  <c r="U239" i="16"/>
  <c r="U235" i="16" s="1"/>
  <c r="U267" i="16"/>
  <c r="U268" i="16" s="1"/>
  <c r="U270" i="16" s="1"/>
  <c r="V267" i="17" l="1"/>
  <c r="V268" i="17" s="1"/>
  <c r="V270" i="17" s="1"/>
  <c r="V239" i="17"/>
  <c r="V235" i="17" s="1"/>
  <c r="U199" i="17"/>
  <c r="U241" i="17" s="1"/>
  <c r="U218" i="17"/>
  <c r="U219" i="17" s="1"/>
  <c r="T313" i="16"/>
  <c r="T209" i="16"/>
  <c r="T310" i="16" s="1"/>
  <c r="T314" i="16" s="1"/>
  <c r="T61" i="16" s="1"/>
  <c r="T103" i="16"/>
  <c r="T57" i="16"/>
  <c r="U237" i="16"/>
  <c r="U102" i="16"/>
  <c r="T220" i="16" l="1"/>
  <c r="T10" i="16" s="1"/>
  <c r="V237" i="17"/>
  <c r="V102" i="17"/>
  <c r="U313" i="17"/>
  <c r="U209" i="17"/>
  <c r="U310" i="17" s="1"/>
  <c r="U314" i="17" s="1"/>
  <c r="U61" i="17" s="1"/>
  <c r="U57" i="17"/>
  <c r="U103" i="17"/>
  <c r="U64" i="16"/>
  <c r="U65" i="16" s="1"/>
  <c r="U26" i="16" s="1"/>
  <c r="U382" i="16" s="1"/>
  <c r="U216" i="16"/>
  <c r="U442" i="16"/>
  <c r="U272" i="16"/>
  <c r="U274" i="16" s="1"/>
  <c r="U27" i="16" s="1"/>
  <c r="U383" i="16" s="1"/>
  <c r="U238" i="16"/>
  <c r="U240" i="16" s="1"/>
  <c r="U220" i="17" l="1"/>
  <c r="U10" i="17" s="1"/>
  <c r="V64" i="17"/>
  <c r="V65" i="17" s="1"/>
  <c r="V26" i="17" s="1"/>
  <c r="V382" i="17" s="1"/>
  <c r="V216" i="17"/>
  <c r="V442" i="17"/>
  <c r="V272" i="17"/>
  <c r="V274" i="17" s="1"/>
  <c r="V27" i="17" s="1"/>
  <c r="V383" i="17" s="1"/>
  <c r="V238" i="17"/>
  <c r="V240" i="17" s="1"/>
  <c r="V239" i="16"/>
  <c r="V235" i="16" s="1"/>
  <c r="V267" i="16"/>
  <c r="V268" i="16" s="1"/>
  <c r="V270" i="16" s="1"/>
  <c r="U199" i="16"/>
  <c r="U218" i="16"/>
  <c r="U219" i="16" s="1"/>
  <c r="V218" i="17" l="1"/>
  <c r="V219" i="17" s="1"/>
  <c r="W267" i="17"/>
  <c r="W268" i="17" s="1"/>
  <c r="W270" i="17" s="1"/>
  <c r="W239" i="17"/>
  <c r="W235" i="17" s="1"/>
  <c r="V199" i="17"/>
  <c r="V237" i="16"/>
  <c r="V102" i="16"/>
  <c r="U313" i="16"/>
  <c r="U209" i="16"/>
  <c r="U310" i="16" s="1"/>
  <c r="U314" i="16" s="1"/>
  <c r="U61" i="16" s="1"/>
  <c r="U103" i="16"/>
  <c r="U57" i="16"/>
  <c r="U241" i="16"/>
  <c r="V313" i="17" l="1"/>
  <c r="V209" i="17"/>
  <c r="V310" i="17" s="1"/>
  <c r="V103" i="17"/>
  <c r="V57" i="17"/>
  <c r="V241" i="17"/>
  <c r="W237" i="17"/>
  <c r="W102" i="17"/>
  <c r="U220" i="16"/>
  <c r="U10" i="16" s="1"/>
  <c r="V64" i="16"/>
  <c r="V65" i="16" s="1"/>
  <c r="V26" i="16" s="1"/>
  <c r="V382" i="16" s="1"/>
  <c r="V216" i="16"/>
  <c r="V442" i="16"/>
  <c r="V272" i="16"/>
  <c r="V274" i="16" s="1"/>
  <c r="V27" i="16" s="1"/>
  <c r="V383" i="16" s="1"/>
  <c r="V238" i="16"/>
  <c r="V240" i="16" s="1"/>
  <c r="V314" i="17" l="1"/>
  <c r="V61" i="17" s="1"/>
  <c r="W442" i="17"/>
  <c r="W272" i="17"/>
  <c r="W274" i="17" s="1"/>
  <c r="W27" i="17" s="1"/>
  <c r="W383" i="17" s="1"/>
  <c r="W238" i="17"/>
  <c r="W240" i="17" s="1"/>
  <c r="W64" i="17"/>
  <c r="W65" i="17" s="1"/>
  <c r="W26" i="17" s="1"/>
  <c r="W382" i="17" s="1"/>
  <c r="W216" i="17"/>
  <c r="V220" i="17"/>
  <c r="V10" i="17" s="1"/>
  <c r="V218" i="16"/>
  <c r="V219" i="16" s="1"/>
  <c r="W267" i="16"/>
  <c r="W268" i="16" s="1"/>
  <c r="W270" i="16" s="1"/>
  <c r="W239" i="16"/>
  <c r="W235" i="16" s="1"/>
  <c r="V199" i="16"/>
  <c r="W218" i="17" l="1"/>
  <c r="W219" i="17" s="1"/>
  <c r="X239" i="17"/>
  <c r="X235" i="17" s="1"/>
  <c r="X267" i="17"/>
  <c r="X268" i="17" s="1"/>
  <c r="X270" i="17" s="1"/>
  <c r="W199" i="17"/>
  <c r="V209" i="16"/>
  <c r="V310" i="16" s="1"/>
  <c r="V313" i="16"/>
  <c r="V57" i="16"/>
  <c r="V103" i="16"/>
  <c r="V241" i="16"/>
  <c r="W237" i="16"/>
  <c r="W102" i="16"/>
  <c r="V220" i="16" l="1"/>
  <c r="W313" i="17"/>
  <c r="W57" i="17"/>
  <c r="W103" i="17"/>
  <c r="W209" i="17"/>
  <c r="W310" i="17" s="1"/>
  <c r="W314" i="17" s="1"/>
  <c r="W61" i="17" s="1"/>
  <c r="X237" i="17"/>
  <c r="X102" i="17"/>
  <c r="W241" i="17"/>
  <c r="W64" i="16"/>
  <c r="W65" i="16" s="1"/>
  <c r="W26" i="16" s="1"/>
  <c r="W382" i="16" s="1"/>
  <c r="W216" i="16"/>
  <c r="W442" i="16"/>
  <c r="W272" i="16"/>
  <c r="W274" i="16" s="1"/>
  <c r="W27" i="16" s="1"/>
  <c r="W383" i="16" s="1"/>
  <c r="W238" i="16"/>
  <c r="W240" i="16" s="1"/>
  <c r="V10" i="16"/>
  <c r="V314" i="16"/>
  <c r="V61" i="16" s="1"/>
  <c r="W220" i="17" l="1"/>
  <c r="W10" i="17" s="1"/>
  <c r="X64" i="17"/>
  <c r="X65" i="17" s="1"/>
  <c r="X26" i="17" s="1"/>
  <c r="X382" i="17" s="1"/>
  <c r="X216" i="17"/>
  <c r="X442" i="17"/>
  <c r="X272" i="17"/>
  <c r="X274" i="17" s="1"/>
  <c r="X27" i="17" s="1"/>
  <c r="X383" i="17" s="1"/>
  <c r="X238" i="17"/>
  <c r="X240" i="17" s="1"/>
  <c r="X267" i="16"/>
  <c r="X268" i="16" s="1"/>
  <c r="X270" i="16" s="1"/>
  <c r="X239" i="16"/>
  <c r="X235" i="16" s="1"/>
  <c r="W199" i="16"/>
  <c r="W218" i="16"/>
  <c r="W219" i="16" s="1"/>
  <c r="X218" i="17" l="1"/>
  <c r="X219" i="17" s="1"/>
  <c r="Y267" i="17"/>
  <c r="Y268" i="17" s="1"/>
  <c r="Y270" i="17" s="1"/>
  <c r="Y239" i="17"/>
  <c r="Y235" i="17" s="1"/>
  <c r="X199" i="17"/>
  <c r="X241" i="17" s="1"/>
  <c r="W313" i="16"/>
  <c r="W103" i="16"/>
  <c r="W57" i="16"/>
  <c r="W209" i="16"/>
  <c r="W310" i="16" s="1"/>
  <c r="W314" i="16" s="1"/>
  <c r="W61" i="16" s="1"/>
  <c r="X237" i="16"/>
  <c r="X102" i="16"/>
  <c r="W241" i="16"/>
  <c r="Y237" i="17" l="1"/>
  <c r="Y102" i="17"/>
  <c r="X209" i="17"/>
  <c r="X310" i="17" s="1"/>
  <c r="X313" i="17"/>
  <c r="X57" i="17"/>
  <c r="X103" i="17"/>
  <c r="X64" i="16"/>
  <c r="X65" i="16" s="1"/>
  <c r="X26" i="16" s="1"/>
  <c r="X382" i="16" s="1"/>
  <c r="X216" i="16"/>
  <c r="X442" i="16"/>
  <c r="X272" i="16"/>
  <c r="X274" i="16" s="1"/>
  <c r="X27" i="16" s="1"/>
  <c r="X383" i="16" s="1"/>
  <c r="X238" i="16"/>
  <c r="X240" i="16" s="1"/>
  <c r="W220" i="16"/>
  <c r="W10" i="16" s="1"/>
  <c r="X220" i="17" l="1"/>
  <c r="X10" i="17" s="1"/>
  <c r="X314" i="17"/>
  <c r="X61" i="17" s="1"/>
  <c r="Y64" i="17"/>
  <c r="Y65" i="17" s="1"/>
  <c r="Y26" i="17" s="1"/>
  <c r="Y382" i="17" s="1"/>
  <c r="Y216" i="17"/>
  <c r="Y442" i="17"/>
  <c r="Y272" i="17"/>
  <c r="Y274" i="17" s="1"/>
  <c r="Y27" i="17" s="1"/>
  <c r="Y383" i="17" s="1"/>
  <c r="Y238" i="17"/>
  <c r="Y240" i="17" s="1"/>
  <c r="Y267" i="16"/>
  <c r="Y268" i="16" s="1"/>
  <c r="Y270" i="16" s="1"/>
  <c r="Y239" i="16"/>
  <c r="Y235" i="16" s="1"/>
  <c r="X199" i="16"/>
  <c r="X241" i="16" s="1"/>
  <c r="X218" i="16"/>
  <c r="X219" i="16" s="1"/>
  <c r="Z267" i="17" l="1"/>
  <c r="Z268" i="17" s="1"/>
  <c r="Z270" i="17" s="1"/>
  <c r="Z239" i="17"/>
  <c r="Z235" i="17" s="1"/>
  <c r="Y199" i="17"/>
  <c r="Y218" i="17"/>
  <c r="Y219" i="17" s="1"/>
  <c r="X313" i="16"/>
  <c r="X209" i="16"/>
  <c r="X310" i="16" s="1"/>
  <c r="X103" i="16"/>
  <c r="X57" i="16"/>
  <c r="Y237" i="16"/>
  <c r="Y102" i="16"/>
  <c r="X314" i="16" l="1"/>
  <c r="X61" i="16" s="1"/>
  <c r="X220" i="16"/>
  <c r="X10" i="16" s="1"/>
  <c r="Y313" i="17"/>
  <c r="Y209" i="17"/>
  <c r="Y310" i="17" s="1"/>
  <c r="Y314" i="17" s="1"/>
  <c r="Y61" i="17" s="1"/>
  <c r="Y57" i="17"/>
  <c r="Y103" i="17"/>
  <c r="Y241" i="17"/>
  <c r="Z237" i="17"/>
  <c r="Z102" i="17"/>
  <c r="Y64" i="16"/>
  <c r="Y65" i="16" s="1"/>
  <c r="Y26" i="16" s="1"/>
  <c r="Y382" i="16" s="1"/>
  <c r="Y216" i="16"/>
  <c r="Y272" i="16"/>
  <c r="Y274" i="16" s="1"/>
  <c r="Y27" i="16" s="1"/>
  <c r="Y383" i="16" s="1"/>
  <c r="Y442" i="16"/>
  <c r="Y238" i="16"/>
  <c r="Y240" i="16" s="1"/>
  <c r="Z64" i="17" l="1"/>
  <c r="Z65" i="17" s="1"/>
  <c r="Z26" i="17" s="1"/>
  <c r="Z382" i="17" s="1"/>
  <c r="Z216" i="17"/>
  <c r="Z442" i="17"/>
  <c r="Z272" i="17"/>
  <c r="Z274" i="17" s="1"/>
  <c r="Z27" i="17" s="1"/>
  <c r="Z383" i="17" s="1"/>
  <c r="Z238" i="17"/>
  <c r="Z240" i="17" s="1"/>
  <c r="Y220" i="17"/>
  <c r="Y10" i="17" s="1"/>
  <c r="Z267" i="16"/>
  <c r="Z268" i="16" s="1"/>
  <c r="Z270" i="16" s="1"/>
  <c r="Y199" i="16"/>
  <c r="Y241" i="16" s="1"/>
  <c r="Z239" i="16"/>
  <c r="Z235" i="16" s="1"/>
  <c r="Y218" i="16"/>
  <c r="Y219" i="16" s="1"/>
  <c r="Z218" i="17" l="1"/>
  <c r="Z219" i="17" s="1"/>
  <c r="AA267" i="17"/>
  <c r="AA268" i="17" s="1"/>
  <c r="AA270" i="17" s="1"/>
  <c r="AA239" i="17"/>
  <c r="AA235" i="17" s="1"/>
  <c r="Z199" i="17"/>
  <c r="Z241" i="17" s="1"/>
  <c r="Y209" i="16"/>
  <c r="Y310" i="16" s="1"/>
  <c r="Y313" i="16"/>
  <c r="Y103" i="16"/>
  <c r="Y57" i="16"/>
  <c r="Z237" i="16"/>
  <c r="Z102" i="16"/>
  <c r="Y314" i="16" l="1"/>
  <c r="Y61" i="16" s="1"/>
  <c r="Y220" i="16"/>
  <c r="Y10" i="16" s="1"/>
  <c r="Z313" i="17"/>
  <c r="Z209" i="17"/>
  <c r="Z310" i="17" s="1"/>
  <c r="Z314" i="17" s="1"/>
  <c r="Z61" i="17" s="1"/>
  <c r="Z103" i="17"/>
  <c r="Z57" i="17"/>
  <c r="AA237" i="17"/>
  <c r="AA102" i="17"/>
  <c r="Z64" i="16"/>
  <c r="Z65" i="16" s="1"/>
  <c r="Z26" i="16" s="1"/>
  <c r="Z382" i="16" s="1"/>
  <c r="Z216" i="16"/>
  <c r="Z442" i="16"/>
  <c r="Z272" i="16"/>
  <c r="Z274" i="16" s="1"/>
  <c r="Z27" i="16" s="1"/>
  <c r="Z383" i="16" s="1"/>
  <c r="Z238" i="16"/>
  <c r="Z240" i="16" s="1"/>
  <c r="Z220" i="17" l="1"/>
  <c r="Z10" i="17" s="1"/>
  <c r="AA64" i="17"/>
  <c r="AA65" i="17" s="1"/>
  <c r="AA26" i="17" s="1"/>
  <c r="AA382" i="17" s="1"/>
  <c r="AA216" i="17"/>
  <c r="AA442" i="17"/>
  <c r="AA272" i="17"/>
  <c r="AA274" i="17" s="1"/>
  <c r="AA27" i="17" s="1"/>
  <c r="AA383" i="17" s="1"/>
  <c r="AA238" i="17"/>
  <c r="AA240" i="17" s="1"/>
  <c r="Z199" i="16"/>
  <c r="Z241" i="16"/>
  <c r="AA239" i="16"/>
  <c r="AA235" i="16" s="1"/>
  <c r="AA267" i="16"/>
  <c r="AA268" i="16" s="1"/>
  <c r="AA270" i="16" s="1"/>
  <c r="Z218" i="16"/>
  <c r="Z219" i="16" s="1"/>
  <c r="AA199" i="17" l="1"/>
  <c r="AB267" i="17"/>
  <c r="AB268" i="17" s="1"/>
  <c r="AB270" i="17" s="1"/>
  <c r="AA241" i="17"/>
  <c r="AB239" i="17"/>
  <c r="AB235" i="17" s="1"/>
  <c r="AA218" i="17"/>
  <c r="AA219" i="17" s="1"/>
  <c r="AA237" i="16"/>
  <c r="AA102" i="16"/>
  <c r="Z209" i="16"/>
  <c r="Z310" i="16" s="1"/>
  <c r="Z314" i="16" s="1"/>
  <c r="Z61" i="16" s="1"/>
  <c r="Z313" i="16"/>
  <c r="Z103" i="16"/>
  <c r="Z57" i="16"/>
  <c r="AB237" i="17" l="1"/>
  <c r="AB102" i="17"/>
  <c r="AA313" i="17"/>
  <c r="AA209" i="17"/>
  <c r="AA310" i="17" s="1"/>
  <c r="AA314" i="17" s="1"/>
  <c r="AA61" i="17" s="1"/>
  <c r="AA103" i="17"/>
  <c r="AA57" i="17"/>
  <c r="AA64" i="16"/>
  <c r="AA65" i="16" s="1"/>
  <c r="AA26" i="16" s="1"/>
  <c r="AA382" i="16" s="1"/>
  <c r="AA216" i="16"/>
  <c r="AA442" i="16"/>
  <c r="AA272" i="16"/>
  <c r="AA274" i="16" s="1"/>
  <c r="AA27" i="16" s="1"/>
  <c r="AA383" i="16" s="1"/>
  <c r="AA238" i="16"/>
  <c r="AA240" i="16" s="1"/>
  <c r="Z220" i="16"/>
  <c r="Z10" i="16" s="1"/>
  <c r="AB442" i="17" l="1"/>
  <c r="AB272" i="17"/>
  <c r="AB274" i="17" s="1"/>
  <c r="AB27" i="17" s="1"/>
  <c r="AB383" i="17" s="1"/>
  <c r="AB238" i="17"/>
  <c r="AB240" i="17" s="1"/>
  <c r="AB64" i="17"/>
  <c r="AB65" i="17" s="1"/>
  <c r="AB26" i="17" s="1"/>
  <c r="AB382" i="17" s="1"/>
  <c r="AB216" i="17"/>
  <c r="AA220" i="17"/>
  <c r="AA10" i="17" s="1"/>
  <c r="AB239" i="16"/>
  <c r="AB235" i="16" s="1"/>
  <c r="AB267" i="16"/>
  <c r="AB268" i="16" s="1"/>
  <c r="AB270" i="16" s="1"/>
  <c r="AA199" i="16"/>
  <c r="AA218" i="16"/>
  <c r="AA219" i="16" s="1"/>
  <c r="AB218" i="17" l="1"/>
  <c r="AB219" i="17" s="1"/>
  <c r="AC239" i="17"/>
  <c r="AC235" i="17" s="1"/>
  <c r="AC267" i="17"/>
  <c r="AC268" i="17" s="1"/>
  <c r="AC270" i="17" s="1"/>
  <c r="AB199" i="17"/>
  <c r="AA313" i="16"/>
  <c r="AA209" i="16"/>
  <c r="AA310" i="16" s="1"/>
  <c r="AA314" i="16" s="1"/>
  <c r="AA61" i="16" s="1"/>
  <c r="AA103" i="16"/>
  <c r="AA57" i="16"/>
  <c r="AB237" i="16"/>
  <c r="AB102" i="16"/>
  <c r="AA241" i="16"/>
  <c r="AB313" i="17" l="1"/>
  <c r="AB209" i="17"/>
  <c r="AB310" i="17" s="1"/>
  <c r="AB103" i="17"/>
  <c r="AB57" i="17"/>
  <c r="AC237" i="17"/>
  <c r="AC102" i="17"/>
  <c r="L235" i="17"/>
  <c r="L237" i="17" s="1"/>
  <c r="L238" i="17" s="1"/>
  <c r="L240" i="17" s="1"/>
  <c r="AB241" i="17"/>
  <c r="AB64" i="16"/>
  <c r="AB65" i="16" s="1"/>
  <c r="AB26" i="16" s="1"/>
  <c r="AB382" i="16" s="1"/>
  <c r="AB216" i="16"/>
  <c r="AB442" i="16"/>
  <c r="AB272" i="16"/>
  <c r="AB274" i="16" s="1"/>
  <c r="AB27" i="16" s="1"/>
  <c r="AB383" i="16" s="1"/>
  <c r="AB238" i="16"/>
  <c r="AB240" i="16" s="1"/>
  <c r="AA220" i="16"/>
  <c r="AA10" i="16" s="1"/>
  <c r="AB220" i="17" l="1"/>
  <c r="AB10" i="17" s="1"/>
  <c r="AB314" i="17"/>
  <c r="AB61" i="17" s="1"/>
  <c r="AC442" i="17"/>
  <c r="AC272" i="17"/>
  <c r="AC274" i="17" s="1"/>
  <c r="AC27" i="17" s="1"/>
  <c r="AC238" i="17"/>
  <c r="AC240" i="17" s="1"/>
  <c r="AC64" i="17"/>
  <c r="AC216" i="17"/>
  <c r="AC218" i="17" s="1"/>
  <c r="AC219" i="17" s="1"/>
  <c r="AB218" i="16"/>
  <c r="AB219" i="16" s="1"/>
  <c r="AB199" i="16"/>
  <c r="AB241" i="16" s="1"/>
  <c r="AC267" i="16"/>
  <c r="AC268" i="16" s="1"/>
  <c r="AC270" i="16" s="1"/>
  <c r="AC239" i="16"/>
  <c r="AC235" i="16" s="1"/>
  <c r="AC383" i="17" l="1"/>
  <c r="L383" i="17" s="1"/>
  <c r="V358" i="17" s="1"/>
  <c r="L27" i="17"/>
  <c r="P358" i="17" s="1"/>
  <c r="AC65" i="17"/>
  <c r="L64" i="17"/>
  <c r="AC199" i="17"/>
  <c r="AC241" i="17" s="1"/>
  <c r="AC102" i="16"/>
  <c r="AC237" i="16"/>
  <c r="L235" i="16"/>
  <c r="L237" i="16" s="1"/>
  <c r="L238" i="16" s="1"/>
  <c r="L240" i="16" s="1"/>
  <c r="AB313" i="16"/>
  <c r="AB209" i="16"/>
  <c r="AB310" i="16" s="1"/>
  <c r="AB314" i="16" s="1"/>
  <c r="AB61" i="16" s="1"/>
  <c r="AB103" i="16"/>
  <c r="AB57" i="16"/>
  <c r="AC313" i="17" l="1"/>
  <c r="AC209" i="17"/>
  <c r="AC103" i="17"/>
  <c r="AC57" i="17"/>
  <c r="L57" i="17" s="1"/>
  <c r="AC26" i="17"/>
  <c r="L65" i="17"/>
  <c r="AC442" i="16"/>
  <c r="AC272" i="16"/>
  <c r="AC274" i="16" s="1"/>
  <c r="AC27" i="16" s="1"/>
  <c r="AC238" i="16"/>
  <c r="AC240" i="16" s="1"/>
  <c r="AC64" i="16"/>
  <c r="AC216" i="16"/>
  <c r="AC218" i="16" s="1"/>
  <c r="AC219" i="16" s="1"/>
  <c r="AB220" i="16"/>
  <c r="AB10" i="16" s="1"/>
  <c r="K34" i="17" l="1"/>
  <c r="U97" i="17"/>
  <c r="AC310" i="17"/>
  <c r="AC314" i="17" s="1"/>
  <c r="AC220" i="17"/>
  <c r="AC10" i="17" s="1"/>
  <c r="AC382" i="17"/>
  <c r="L382" i="17" s="1"/>
  <c r="L26" i="17"/>
  <c r="AC383" i="16"/>
  <c r="L383" i="16" s="1"/>
  <c r="V358" i="16" s="1"/>
  <c r="L27" i="16"/>
  <c r="P358" i="16" s="1"/>
  <c r="AC65" i="16"/>
  <c r="L64" i="16"/>
  <c r="AC199" i="16"/>
  <c r="AC61" i="17" l="1"/>
  <c r="L61" i="17" s="1"/>
  <c r="L314" i="17"/>
  <c r="AC313" i="16"/>
  <c r="AC103" i="16"/>
  <c r="AC57" i="16"/>
  <c r="L57" i="16" s="1"/>
  <c r="AC209" i="16"/>
  <c r="AC241" i="16"/>
  <c r="AC26" i="16"/>
  <c r="L65" i="16"/>
  <c r="U97" i="16" l="1"/>
  <c r="K34" i="16"/>
  <c r="AC382" i="16"/>
  <c r="L382" i="16" s="1"/>
  <c r="L26" i="16"/>
  <c r="AC310" i="16"/>
  <c r="AC314" i="16" s="1"/>
  <c r="AC220" i="16"/>
  <c r="AC10" i="16" s="1"/>
  <c r="AC61" i="16" l="1"/>
  <c r="L61" i="16" s="1"/>
  <c r="L314" i="16"/>
  <c r="W118" i="1"/>
  <c r="X118" i="1"/>
  <c r="Y118" i="1"/>
  <c r="Z118" i="1"/>
  <c r="AA118" i="1"/>
  <c r="AB118" i="1"/>
  <c r="O118" i="1"/>
  <c r="P118" i="1"/>
  <c r="Q118" i="1"/>
  <c r="R118" i="1"/>
  <c r="S118" i="1"/>
  <c r="T118" i="1"/>
  <c r="U118" i="1"/>
  <c r="V118" i="1"/>
  <c r="N118" i="1"/>
  <c r="O294" i="1" l="1"/>
  <c r="AB294" i="1"/>
  <c r="P294" i="1"/>
  <c r="V294" i="1"/>
  <c r="U294" i="1"/>
  <c r="AA294" i="1"/>
  <c r="T294" i="1"/>
  <c r="Z294" i="1"/>
  <c r="S294" i="1"/>
  <c r="Y294" i="1"/>
  <c r="N294" i="1"/>
  <c r="AC294" i="1"/>
  <c r="R294" i="1"/>
  <c r="X294" i="1"/>
  <c r="Q294" i="1"/>
  <c r="W294" i="1"/>
  <c r="O453" i="8"/>
  <c r="P453" i="8"/>
  <c r="Q453" i="8"/>
  <c r="R453" i="8"/>
  <c r="S453" i="8"/>
  <c r="T453" i="8"/>
  <c r="U453" i="8"/>
  <c r="V453" i="8"/>
  <c r="W453" i="8"/>
  <c r="X453" i="8"/>
  <c r="Y453" i="8"/>
  <c r="Z453" i="8"/>
  <c r="AA453" i="8"/>
  <c r="AB453" i="8"/>
  <c r="AC453" i="8"/>
  <c r="N453" i="8"/>
  <c r="O446" i="8" l="1"/>
  <c r="P446" i="8"/>
  <c r="Q446" i="8"/>
  <c r="R446" i="8"/>
  <c r="S446" i="8"/>
  <c r="T446" i="8"/>
  <c r="U446" i="8"/>
  <c r="V446" i="8"/>
  <c r="W446" i="8"/>
  <c r="X446" i="8"/>
  <c r="Y446" i="8"/>
  <c r="Z446" i="8"/>
  <c r="AA446" i="8"/>
  <c r="AB446" i="8"/>
  <c r="AC446" i="8"/>
  <c r="O447" i="8"/>
  <c r="P447" i="8"/>
  <c r="Q447" i="8"/>
  <c r="R447" i="8"/>
  <c r="S447" i="8"/>
  <c r="T447" i="8"/>
  <c r="U447" i="8"/>
  <c r="V447" i="8"/>
  <c r="W447" i="8"/>
  <c r="X447" i="8"/>
  <c r="Y447" i="8"/>
  <c r="Z447" i="8"/>
  <c r="AA447" i="8"/>
  <c r="AB447" i="8"/>
  <c r="AC447" i="8"/>
  <c r="O448" i="8"/>
  <c r="P448" i="8"/>
  <c r="Q448" i="8"/>
  <c r="R448" i="8"/>
  <c r="S448" i="8"/>
  <c r="T448" i="8"/>
  <c r="U448" i="8"/>
  <c r="V448" i="8"/>
  <c r="W448" i="8"/>
  <c r="X448" i="8"/>
  <c r="Y448" i="8"/>
  <c r="Z448" i="8"/>
  <c r="AA448" i="8"/>
  <c r="AB448" i="8"/>
  <c r="AC448" i="8"/>
  <c r="O449" i="8"/>
  <c r="P449" i="8"/>
  <c r="Q449" i="8"/>
  <c r="R449" i="8"/>
  <c r="S449" i="8"/>
  <c r="T449" i="8"/>
  <c r="U449" i="8"/>
  <c r="V449" i="8"/>
  <c r="W449" i="8"/>
  <c r="X449" i="8"/>
  <c r="Y449" i="8"/>
  <c r="Z449" i="8"/>
  <c r="AA449" i="8"/>
  <c r="AB449" i="8"/>
  <c r="AC449" i="8"/>
  <c r="O450" i="8"/>
  <c r="P450" i="8"/>
  <c r="Q450" i="8"/>
  <c r="R450" i="8"/>
  <c r="S450" i="8"/>
  <c r="T450" i="8"/>
  <c r="U450" i="8"/>
  <c r="V450" i="8"/>
  <c r="W450" i="8"/>
  <c r="X450" i="8"/>
  <c r="Y450" i="8"/>
  <c r="Z450" i="8"/>
  <c r="AA450" i="8"/>
  <c r="AB450" i="8"/>
  <c r="AC450" i="8"/>
  <c r="O451" i="8"/>
  <c r="P451" i="8"/>
  <c r="Q451" i="8"/>
  <c r="R451" i="8"/>
  <c r="S451" i="8"/>
  <c r="T451" i="8"/>
  <c r="U451" i="8"/>
  <c r="V451" i="8"/>
  <c r="W451" i="8"/>
  <c r="X451" i="8"/>
  <c r="Y451" i="8"/>
  <c r="Z451" i="8"/>
  <c r="AA451" i="8"/>
  <c r="AB451" i="8"/>
  <c r="AC451" i="8"/>
  <c r="O452" i="8"/>
  <c r="P452" i="8"/>
  <c r="Q452" i="8"/>
  <c r="R452" i="8"/>
  <c r="S452" i="8"/>
  <c r="T452" i="8"/>
  <c r="U452" i="8"/>
  <c r="V452" i="8"/>
  <c r="W452" i="8"/>
  <c r="X452" i="8"/>
  <c r="Y452" i="8"/>
  <c r="Z452" i="8"/>
  <c r="AA452" i="8"/>
  <c r="AB452" i="8"/>
  <c r="AC452" i="8"/>
  <c r="O446" i="7"/>
  <c r="P446" i="7"/>
  <c r="Q446" i="7"/>
  <c r="R446" i="7"/>
  <c r="S446" i="7"/>
  <c r="T446" i="7"/>
  <c r="U446" i="7"/>
  <c r="V446" i="7"/>
  <c r="W446" i="7"/>
  <c r="X446" i="7"/>
  <c r="Y446" i="7"/>
  <c r="Z446" i="7"/>
  <c r="AA446" i="7"/>
  <c r="AB446" i="7"/>
  <c r="AC446" i="7"/>
  <c r="O447" i="7"/>
  <c r="P447" i="7"/>
  <c r="Q447" i="7"/>
  <c r="R447" i="7"/>
  <c r="S447" i="7"/>
  <c r="T447" i="7"/>
  <c r="U447" i="7"/>
  <c r="V447" i="7"/>
  <c r="W447" i="7"/>
  <c r="X447" i="7"/>
  <c r="Y447" i="7"/>
  <c r="Z447" i="7"/>
  <c r="AA447" i="7"/>
  <c r="AB447" i="7"/>
  <c r="AC447" i="7"/>
  <c r="O448" i="7"/>
  <c r="P448" i="7"/>
  <c r="Q448" i="7"/>
  <c r="R448" i="7"/>
  <c r="S448" i="7"/>
  <c r="T448" i="7"/>
  <c r="U448" i="7"/>
  <c r="V448" i="7"/>
  <c r="W448" i="7"/>
  <c r="X448" i="7"/>
  <c r="Y448" i="7"/>
  <c r="Z448" i="7"/>
  <c r="AA448" i="7"/>
  <c r="AB448" i="7"/>
  <c r="AC448" i="7"/>
  <c r="O449" i="7"/>
  <c r="P449" i="7"/>
  <c r="Q449" i="7"/>
  <c r="R449" i="7"/>
  <c r="S449" i="7"/>
  <c r="T449" i="7"/>
  <c r="U449" i="7"/>
  <c r="V449" i="7"/>
  <c r="W449" i="7"/>
  <c r="X449" i="7"/>
  <c r="Y449" i="7"/>
  <c r="Z449" i="7"/>
  <c r="AA449" i="7"/>
  <c r="AB449" i="7"/>
  <c r="AC449" i="7"/>
  <c r="O450" i="7"/>
  <c r="P450" i="7"/>
  <c r="Q450" i="7"/>
  <c r="R450" i="7"/>
  <c r="S450" i="7"/>
  <c r="T450" i="7"/>
  <c r="U450" i="7"/>
  <c r="V450" i="7"/>
  <c r="W450" i="7"/>
  <c r="X450" i="7"/>
  <c r="Y450" i="7"/>
  <c r="Z450" i="7"/>
  <c r="AA450" i="7"/>
  <c r="AB450" i="7"/>
  <c r="AC450" i="7"/>
  <c r="O451" i="7"/>
  <c r="P451" i="7"/>
  <c r="Q451" i="7"/>
  <c r="R451" i="7"/>
  <c r="S451" i="7"/>
  <c r="T451" i="7"/>
  <c r="U451" i="7"/>
  <c r="V451" i="7"/>
  <c r="W451" i="7"/>
  <c r="X451" i="7"/>
  <c r="Y451" i="7"/>
  <c r="Z451" i="7"/>
  <c r="AA451" i="7"/>
  <c r="AB451" i="7"/>
  <c r="AC451" i="7"/>
  <c r="O452" i="7"/>
  <c r="P452" i="7"/>
  <c r="Q452" i="7"/>
  <c r="R452" i="7"/>
  <c r="S452" i="7"/>
  <c r="T452" i="7"/>
  <c r="U452" i="7"/>
  <c r="V452" i="7"/>
  <c r="W452" i="7"/>
  <c r="X452" i="7"/>
  <c r="Y452" i="7"/>
  <c r="Z452" i="7"/>
  <c r="AA452" i="7"/>
  <c r="AB452" i="7"/>
  <c r="AC452" i="7"/>
  <c r="N447" i="8"/>
  <c r="N448" i="8"/>
  <c r="N449" i="8"/>
  <c r="N450" i="8"/>
  <c r="N451" i="8"/>
  <c r="N447" i="7"/>
  <c r="N448" i="7"/>
  <c r="N449" i="7"/>
  <c r="N450" i="7"/>
  <c r="N451" i="7"/>
  <c r="N446" i="8"/>
  <c r="N446" i="7"/>
  <c r="O434" i="8"/>
  <c r="P434" i="8"/>
  <c r="Q434" i="8"/>
  <c r="R434" i="8"/>
  <c r="S434" i="8"/>
  <c r="T434" i="8"/>
  <c r="U434" i="8"/>
  <c r="V434" i="8"/>
  <c r="W434" i="8"/>
  <c r="X434" i="8"/>
  <c r="Y434" i="8"/>
  <c r="Z434" i="8"/>
  <c r="AA434" i="8"/>
  <c r="AB434" i="8"/>
  <c r="AC434" i="8"/>
  <c r="O435" i="8"/>
  <c r="P435" i="8"/>
  <c r="Q435" i="8"/>
  <c r="R435" i="8"/>
  <c r="S435" i="8"/>
  <c r="T435" i="8"/>
  <c r="U435" i="8"/>
  <c r="V435" i="8"/>
  <c r="W435" i="8"/>
  <c r="X435" i="8"/>
  <c r="Y435" i="8"/>
  <c r="Z435" i="8"/>
  <c r="AA435" i="8"/>
  <c r="AB435" i="8"/>
  <c r="AC435" i="8"/>
  <c r="O436" i="8"/>
  <c r="P436" i="8"/>
  <c r="Q436" i="8"/>
  <c r="R436" i="8"/>
  <c r="S436" i="8"/>
  <c r="T436" i="8"/>
  <c r="U436" i="8"/>
  <c r="V436" i="8"/>
  <c r="W436" i="8"/>
  <c r="X436" i="8"/>
  <c r="Y436" i="8"/>
  <c r="Z436" i="8"/>
  <c r="AA436" i="8"/>
  <c r="AB436" i="8"/>
  <c r="AC436" i="8"/>
  <c r="O437" i="8"/>
  <c r="P437" i="8"/>
  <c r="Q437" i="8"/>
  <c r="R437" i="8"/>
  <c r="S437" i="8"/>
  <c r="T437" i="8"/>
  <c r="U437" i="8"/>
  <c r="V437" i="8"/>
  <c r="W437" i="8"/>
  <c r="X437" i="8"/>
  <c r="Y437" i="8"/>
  <c r="Z437" i="8"/>
  <c r="AA437" i="8"/>
  <c r="AB437" i="8"/>
  <c r="AC437" i="8"/>
  <c r="O440" i="8"/>
  <c r="P440" i="8"/>
  <c r="Q440" i="8"/>
  <c r="R440" i="8"/>
  <c r="S440" i="8"/>
  <c r="T440" i="8"/>
  <c r="U440" i="8"/>
  <c r="V440" i="8"/>
  <c r="W440" i="8"/>
  <c r="X440" i="8"/>
  <c r="Y440" i="8"/>
  <c r="Z440" i="8"/>
  <c r="AA440" i="8"/>
  <c r="AB440" i="8"/>
  <c r="AC440" i="8"/>
  <c r="O441" i="8"/>
  <c r="P441" i="8"/>
  <c r="Q441" i="8"/>
  <c r="R441" i="8"/>
  <c r="S441" i="8"/>
  <c r="T441" i="8"/>
  <c r="U441" i="8"/>
  <c r="V441" i="8"/>
  <c r="W441" i="8"/>
  <c r="X441" i="8"/>
  <c r="Y441" i="8"/>
  <c r="Z441" i="8"/>
  <c r="AA441" i="8"/>
  <c r="AB441" i="8"/>
  <c r="AC441" i="8"/>
  <c r="O442" i="8"/>
  <c r="P442" i="8"/>
  <c r="Q442" i="8"/>
  <c r="R442" i="8"/>
  <c r="S442" i="8"/>
  <c r="T442" i="8"/>
  <c r="U442" i="8"/>
  <c r="V442" i="8"/>
  <c r="W442" i="8"/>
  <c r="X442" i="8"/>
  <c r="Y442" i="8"/>
  <c r="Z442" i="8"/>
  <c r="AA442" i="8"/>
  <c r="AB442" i="8"/>
  <c r="AC442" i="8"/>
  <c r="O434" i="7"/>
  <c r="P434" i="7"/>
  <c r="Q434" i="7"/>
  <c r="R434" i="7"/>
  <c r="S434" i="7"/>
  <c r="T434" i="7"/>
  <c r="U434" i="7"/>
  <c r="V434" i="7"/>
  <c r="W434" i="7"/>
  <c r="X434" i="7"/>
  <c r="Y434" i="7"/>
  <c r="Z434" i="7"/>
  <c r="AA434" i="7"/>
  <c r="AB434" i="7"/>
  <c r="AC434" i="7"/>
  <c r="O435" i="7"/>
  <c r="P435" i="7"/>
  <c r="Q435" i="7"/>
  <c r="R435" i="7"/>
  <c r="S435" i="7"/>
  <c r="T435" i="7"/>
  <c r="U435" i="7"/>
  <c r="V435" i="7"/>
  <c r="W435" i="7"/>
  <c r="X435" i="7"/>
  <c r="Y435" i="7"/>
  <c r="Z435" i="7"/>
  <c r="AA435" i="7"/>
  <c r="AB435" i="7"/>
  <c r="AC435" i="7"/>
  <c r="O436" i="7"/>
  <c r="P436" i="7"/>
  <c r="Q436" i="7"/>
  <c r="R436" i="7"/>
  <c r="S436" i="7"/>
  <c r="T436" i="7"/>
  <c r="U436" i="7"/>
  <c r="V436" i="7"/>
  <c r="W436" i="7"/>
  <c r="X436" i="7"/>
  <c r="Y436" i="7"/>
  <c r="Z436" i="7"/>
  <c r="AA436" i="7"/>
  <c r="AB436" i="7"/>
  <c r="AC436" i="7"/>
  <c r="O437" i="7"/>
  <c r="P437" i="7"/>
  <c r="Q437" i="7"/>
  <c r="R437" i="7"/>
  <c r="S437" i="7"/>
  <c r="T437" i="7"/>
  <c r="U437" i="7"/>
  <c r="V437" i="7"/>
  <c r="W437" i="7"/>
  <c r="X437" i="7"/>
  <c r="Y437" i="7"/>
  <c r="Z437" i="7"/>
  <c r="AA437" i="7"/>
  <c r="AB437" i="7"/>
  <c r="AC437" i="7"/>
  <c r="O440" i="7"/>
  <c r="P440" i="7"/>
  <c r="Q440" i="7"/>
  <c r="R440" i="7"/>
  <c r="S440" i="7"/>
  <c r="T440" i="7"/>
  <c r="U440" i="7"/>
  <c r="V440" i="7"/>
  <c r="W440" i="7"/>
  <c r="X440" i="7"/>
  <c r="Y440" i="7"/>
  <c r="Z440" i="7"/>
  <c r="AA440" i="7"/>
  <c r="AB440" i="7"/>
  <c r="AC440" i="7"/>
  <c r="O441" i="7"/>
  <c r="P441" i="7"/>
  <c r="Q441" i="7"/>
  <c r="R441" i="7"/>
  <c r="S441" i="7"/>
  <c r="T441" i="7"/>
  <c r="U441" i="7"/>
  <c r="V441" i="7"/>
  <c r="W441" i="7"/>
  <c r="X441" i="7"/>
  <c r="Y441" i="7"/>
  <c r="Z441" i="7"/>
  <c r="AA441" i="7"/>
  <c r="AB441" i="7"/>
  <c r="AC441" i="7"/>
  <c r="O442" i="7"/>
  <c r="P442" i="7"/>
  <c r="Q442" i="7"/>
  <c r="R442" i="7"/>
  <c r="S442" i="7"/>
  <c r="T442" i="7"/>
  <c r="U442" i="7"/>
  <c r="V442" i="7"/>
  <c r="W442" i="7"/>
  <c r="X442" i="7"/>
  <c r="Y442" i="7"/>
  <c r="Z442" i="7"/>
  <c r="AA442" i="7"/>
  <c r="AB442" i="7"/>
  <c r="AC442" i="7"/>
  <c r="N442" i="8"/>
  <c r="N442" i="7"/>
  <c r="N441" i="8"/>
  <c r="N441" i="7"/>
  <c r="N440" i="8"/>
  <c r="Q443" i="8" s="1"/>
  <c r="N440" i="7"/>
  <c r="U443" i="7" s="1"/>
  <c r="N452" i="8"/>
  <c r="N452" i="7"/>
  <c r="N437" i="8"/>
  <c r="N437" i="7"/>
  <c r="N436" i="8"/>
  <c r="N436" i="7"/>
  <c r="N435" i="8"/>
  <c r="N435" i="7"/>
  <c r="N434" i="8"/>
  <c r="N434" i="7"/>
  <c r="O433" i="8"/>
  <c r="P433" i="8"/>
  <c r="Q433" i="8"/>
  <c r="R433" i="8"/>
  <c r="S433" i="8"/>
  <c r="T433" i="8"/>
  <c r="U433" i="8"/>
  <c r="V433" i="8"/>
  <c r="W433" i="8"/>
  <c r="X433" i="8"/>
  <c r="Y433" i="8"/>
  <c r="Z433" i="8"/>
  <c r="AA433" i="8"/>
  <c r="AB433" i="8"/>
  <c r="AC433" i="8"/>
  <c r="O433" i="7"/>
  <c r="P433" i="7"/>
  <c r="Q433" i="7"/>
  <c r="R433" i="7"/>
  <c r="S433" i="7"/>
  <c r="T433" i="7"/>
  <c r="U433" i="7"/>
  <c r="V433" i="7"/>
  <c r="W433" i="7"/>
  <c r="X433" i="7"/>
  <c r="Y433" i="7"/>
  <c r="Z433" i="7"/>
  <c r="AA433" i="7"/>
  <c r="AB433" i="7"/>
  <c r="AC433" i="7"/>
  <c r="N433" i="8"/>
  <c r="N433" i="7"/>
  <c r="W443" i="8" l="1"/>
  <c r="X443" i="8"/>
  <c r="Z443" i="7"/>
  <c r="O443" i="7"/>
  <c r="AC443" i="7"/>
  <c r="P443" i="7"/>
  <c r="W443" i="7"/>
  <c r="R443" i="7"/>
  <c r="Y443" i="7"/>
  <c r="X443" i="7"/>
  <c r="T443" i="8"/>
  <c r="N443" i="7"/>
  <c r="V443" i="7"/>
  <c r="S443" i="7"/>
  <c r="AA443" i="7"/>
  <c r="T443" i="7"/>
  <c r="R443" i="8"/>
  <c r="N443" i="8"/>
  <c r="V443" i="8"/>
  <c r="S443" i="8"/>
  <c r="AA443" i="8"/>
  <c r="U443" i="8"/>
  <c r="AC443" i="8"/>
  <c r="AB443" i="7"/>
  <c r="Q443" i="7"/>
  <c r="AB443" i="8"/>
  <c r="P443" i="8"/>
  <c r="Z443" i="8"/>
  <c r="O443" i="8"/>
  <c r="Y443" i="8"/>
  <c r="N364" i="5" l="1"/>
  <c r="N364" i="1"/>
  <c r="Y354" i="1"/>
  <c r="S354" i="1"/>
  <c r="O352" i="1"/>
  <c r="Y354" i="5"/>
  <c r="S354" i="5"/>
  <c r="O352" i="5"/>
  <c r="K405" i="1"/>
  <c r="K387" i="1"/>
  <c r="J383" i="1"/>
  <c r="J382" i="1"/>
  <c r="K380" i="1"/>
  <c r="N368" i="1"/>
  <c r="L368" i="1"/>
  <c r="L367" i="1"/>
  <c r="K405" i="5"/>
  <c r="K387" i="5"/>
  <c r="J383" i="5"/>
  <c r="J382" i="5"/>
  <c r="K380" i="5"/>
  <c r="N368" i="5"/>
  <c r="L368" i="5"/>
  <c r="L367" i="5"/>
  <c r="AC74" i="5" l="1"/>
  <c r="AB74" i="5"/>
  <c r="AA74" i="5"/>
  <c r="Z74" i="5"/>
  <c r="Y74" i="5"/>
  <c r="X74" i="5"/>
  <c r="W74" i="5"/>
  <c r="V74" i="5"/>
  <c r="U74" i="5"/>
  <c r="T74" i="5"/>
  <c r="S74" i="5"/>
  <c r="R74" i="5"/>
  <c r="Q74" i="5"/>
  <c r="P74" i="5"/>
  <c r="O74" i="5"/>
  <c r="J82" i="5"/>
  <c r="AC142" i="1" l="1"/>
  <c r="AB142" i="1"/>
  <c r="AA142" i="1"/>
  <c r="Z142" i="1"/>
  <c r="Y142" i="1"/>
  <c r="X142" i="1"/>
  <c r="W142" i="1"/>
  <c r="V142" i="1"/>
  <c r="U142" i="1"/>
  <c r="T142" i="1"/>
  <c r="S142" i="1"/>
  <c r="R142" i="1"/>
  <c r="Q142" i="1"/>
  <c r="P142" i="1"/>
  <c r="O142" i="1"/>
  <c r="N142" i="1"/>
  <c r="N141" i="5"/>
  <c r="O141" i="5"/>
  <c r="P141" i="5"/>
  <c r="Q141" i="5"/>
  <c r="R141" i="5"/>
  <c r="S141" i="5"/>
  <c r="T141" i="5"/>
  <c r="U141" i="5"/>
  <c r="V141" i="5"/>
  <c r="W141" i="5"/>
  <c r="X141" i="5"/>
  <c r="Y141" i="5"/>
  <c r="Z141" i="5"/>
  <c r="AA141" i="5"/>
  <c r="AB141" i="5"/>
  <c r="AC141" i="5"/>
  <c r="K141" i="5" l="1"/>
  <c r="K141" i="1" l="1"/>
  <c r="AC73" i="1"/>
  <c r="AB73" i="1"/>
  <c r="AA73" i="1"/>
  <c r="W73" i="1"/>
  <c r="U73" i="1"/>
  <c r="T73" i="1"/>
  <c r="S73" i="1"/>
  <c r="O73" i="1"/>
  <c r="Z73" i="1"/>
  <c r="Y73" i="1"/>
  <c r="X73" i="1"/>
  <c r="V73" i="1"/>
  <c r="R73" i="1"/>
  <c r="Q73" i="1"/>
  <c r="P73" i="1"/>
  <c r="P25" i="1" s="1"/>
  <c r="N73" i="1"/>
  <c r="X25" i="1" l="1"/>
  <c r="X381" i="1" s="1"/>
  <c r="Z25" i="1"/>
  <c r="Z381" i="1" s="1"/>
  <c r="U25" i="1"/>
  <c r="U381" i="1" s="1"/>
  <c r="W25" i="1"/>
  <c r="W381" i="1" s="1"/>
  <c r="AA25" i="1"/>
  <c r="AA381" i="1" s="1"/>
  <c r="Q25" i="1"/>
  <c r="Q381" i="1" s="1"/>
  <c r="AB25" i="1"/>
  <c r="AB381" i="1" s="1"/>
  <c r="R25" i="1"/>
  <c r="R381" i="1" s="1"/>
  <c r="AC25" i="1"/>
  <c r="AC381" i="1" s="1"/>
  <c r="S25" i="1"/>
  <c r="S381" i="1" s="1"/>
  <c r="Y25" i="1"/>
  <c r="Y381" i="1" s="1"/>
  <c r="T25" i="1"/>
  <c r="T381" i="1" s="1"/>
  <c r="V25" i="1"/>
  <c r="V381" i="1" s="1"/>
  <c r="O25" i="1"/>
  <c r="O381" i="1" s="1"/>
  <c r="L75" i="1"/>
  <c r="L73" i="1"/>
  <c r="P381" i="1"/>
  <c r="Q78" i="5"/>
  <c r="O78" i="1" l="1"/>
  <c r="AN82" i="1"/>
  <c r="AN83" i="1" s="1"/>
  <c r="AN84" i="1" s="1"/>
  <c r="AN85" i="1" s="1"/>
  <c r="AN86" i="1" s="1"/>
  <c r="AN87" i="1" s="1"/>
  <c r="AN72" i="1"/>
  <c r="AN73" i="1" l="1"/>
  <c r="AN74" i="1" s="1"/>
  <c r="AN75" i="1" s="1"/>
  <c r="AN76" i="1" s="1"/>
  <c r="AN77" i="1" s="1"/>
  <c r="AN78" i="1" s="1"/>
  <c r="AN79" i="1" s="1"/>
  <c r="AR72" i="1"/>
  <c r="AR73" i="1" s="1"/>
  <c r="AR74" i="1" s="1"/>
  <c r="AR75" i="1" s="1"/>
  <c r="AR76" i="1" s="1"/>
  <c r="AR77" i="1" s="1"/>
  <c r="AR78" i="1" s="1"/>
  <c r="AR79" i="1" s="1"/>
  <c r="AR80" i="1" s="1"/>
  <c r="AR81" i="1" s="1"/>
  <c r="AR82" i="1" s="1"/>
  <c r="AR83" i="1" s="1"/>
  <c r="AR84" i="1" s="1"/>
  <c r="AR85" i="1" s="1"/>
  <c r="AR86" i="1" s="1"/>
  <c r="AR87" i="1" s="1"/>
  <c r="O78" i="5"/>
  <c r="N87" i="5"/>
  <c r="O87" i="5"/>
  <c r="P87" i="5"/>
  <c r="Q87" i="5"/>
  <c r="R87" i="5"/>
  <c r="S87" i="5"/>
  <c r="T87" i="5"/>
  <c r="U87" i="5"/>
  <c r="V87" i="5"/>
  <c r="W87" i="5"/>
  <c r="X87" i="5"/>
  <c r="Y87" i="5"/>
  <c r="Z87" i="5"/>
  <c r="AA87" i="5"/>
  <c r="AB87" i="5"/>
  <c r="AC87" i="5"/>
  <c r="AK88" i="1"/>
  <c r="AI88" i="1"/>
  <c r="AL87" i="1"/>
  <c r="AJ87" i="1"/>
  <c r="AL86" i="1"/>
  <c r="AJ86" i="1"/>
  <c r="AE86" i="1"/>
  <c r="AL85" i="1"/>
  <c r="AJ85" i="1"/>
  <c r="AE85" i="1"/>
  <c r="AL84" i="1"/>
  <c r="AJ84" i="1"/>
  <c r="AE84" i="1"/>
  <c r="AL83" i="1"/>
  <c r="AJ83" i="1"/>
  <c r="AE83" i="1"/>
  <c r="AL82" i="1"/>
  <c r="AJ82" i="1"/>
  <c r="AE82" i="1"/>
  <c r="AK80" i="1"/>
  <c r="AJ79" i="1"/>
  <c r="AJ78" i="1"/>
  <c r="AJ77" i="1"/>
  <c r="AJ76" i="1"/>
  <c r="AJ75" i="1"/>
  <c r="AJ74" i="1"/>
  <c r="AJ73" i="1"/>
  <c r="AJ72" i="1"/>
  <c r="AL79" i="1"/>
  <c r="AJ88" i="1" l="1"/>
  <c r="AO85" i="1"/>
  <c r="AO83" i="1"/>
  <c r="AO86" i="1"/>
  <c r="AO82" i="1"/>
  <c r="AJ80" i="1"/>
  <c r="AO84" i="1"/>
  <c r="AL88" i="1"/>
  <c r="AO79" i="1"/>
  <c r="AO87" i="1"/>
  <c r="AL72" i="1"/>
  <c r="AL73" i="1"/>
  <c r="AO73" i="1" s="1"/>
  <c r="AL74" i="1"/>
  <c r="AO74" i="1" s="1"/>
  <c r="AL75" i="1"/>
  <c r="AO75" i="1" s="1"/>
  <c r="AL76" i="1"/>
  <c r="AO76" i="1" s="1"/>
  <c r="AL77" i="1"/>
  <c r="AO77" i="1" s="1"/>
  <c r="AL78" i="1"/>
  <c r="AO78" i="1" s="1"/>
  <c r="AO72" i="1" l="1"/>
  <c r="AL80" i="1"/>
  <c r="AP83" i="1" l="1"/>
  <c r="AP82" i="1"/>
  <c r="AP87" i="1"/>
  <c r="AO88" i="1" s="1"/>
  <c r="AP88" i="1" s="1"/>
  <c r="AP86" i="1"/>
  <c r="AP85" i="1"/>
  <c r="AP79" i="1"/>
  <c r="AO80" i="1" s="1"/>
  <c r="AP80" i="1" s="1"/>
  <c r="AP78" i="1"/>
  <c r="AP77" i="1"/>
  <c r="AP76" i="1"/>
  <c r="AP75" i="1"/>
  <c r="AP74" i="1"/>
  <c r="AP73" i="1"/>
  <c r="AP72" i="1"/>
  <c r="AP84" i="1"/>
  <c r="O183" i="1" l="1"/>
  <c r="P183" i="1"/>
  <c r="Q183" i="1"/>
  <c r="R183" i="1"/>
  <c r="S183" i="1"/>
  <c r="T183" i="1"/>
  <c r="U183" i="1"/>
  <c r="V183" i="1"/>
  <c r="W183" i="1"/>
  <c r="X183" i="1"/>
  <c r="Y183" i="1"/>
  <c r="Z183" i="1"/>
  <c r="AA183" i="1"/>
  <c r="AB183" i="1"/>
  <c r="AC183" i="1"/>
  <c r="O184" i="1"/>
  <c r="P184" i="1"/>
  <c r="Q184" i="1"/>
  <c r="R184" i="1"/>
  <c r="S184" i="1"/>
  <c r="T184" i="1"/>
  <c r="U184" i="1"/>
  <c r="V184" i="1"/>
  <c r="W184" i="1"/>
  <c r="X184" i="1"/>
  <c r="Y184" i="1"/>
  <c r="Z184" i="1"/>
  <c r="AA184" i="1"/>
  <c r="AB184" i="1"/>
  <c r="AC184" i="1"/>
  <c r="O185" i="1"/>
  <c r="P185" i="1"/>
  <c r="Q185" i="1"/>
  <c r="R185" i="1"/>
  <c r="S185" i="1"/>
  <c r="T185" i="1"/>
  <c r="U185" i="1"/>
  <c r="V185" i="1"/>
  <c r="W185" i="1"/>
  <c r="X185" i="1"/>
  <c r="Y185" i="1"/>
  <c r="Z185" i="1"/>
  <c r="AA185" i="1"/>
  <c r="AB185" i="1"/>
  <c r="AC185" i="1"/>
  <c r="O186" i="1"/>
  <c r="P186" i="1"/>
  <c r="Q186" i="1"/>
  <c r="R186" i="1"/>
  <c r="S186" i="1"/>
  <c r="T186" i="1"/>
  <c r="U186" i="1"/>
  <c r="V186" i="1"/>
  <c r="W186" i="1"/>
  <c r="X186" i="1"/>
  <c r="Y186" i="1"/>
  <c r="Z186" i="1"/>
  <c r="AA186" i="1"/>
  <c r="AB186" i="1"/>
  <c r="AC186" i="1"/>
  <c r="O187" i="1"/>
  <c r="P187" i="1"/>
  <c r="Q187" i="1"/>
  <c r="R187" i="1"/>
  <c r="S187" i="1"/>
  <c r="T187" i="1"/>
  <c r="U187" i="1"/>
  <c r="V187" i="1"/>
  <c r="W187" i="1"/>
  <c r="X187" i="1"/>
  <c r="Y187" i="1"/>
  <c r="Z187" i="1"/>
  <c r="AA187" i="1"/>
  <c r="AB187" i="1"/>
  <c r="AC187" i="1"/>
  <c r="O188" i="1"/>
  <c r="P188" i="1"/>
  <c r="Q188" i="1"/>
  <c r="R188" i="1"/>
  <c r="S188" i="1"/>
  <c r="T188" i="1"/>
  <c r="U188" i="1"/>
  <c r="V188" i="1"/>
  <c r="W188" i="1"/>
  <c r="X188" i="1"/>
  <c r="Y188" i="1"/>
  <c r="Z188" i="1"/>
  <c r="AA188" i="1"/>
  <c r="AB188" i="1"/>
  <c r="AC188" i="1"/>
  <c r="O189" i="1"/>
  <c r="P189" i="1"/>
  <c r="Q189" i="1"/>
  <c r="R189" i="1"/>
  <c r="S189" i="1"/>
  <c r="T189" i="1"/>
  <c r="U189" i="1"/>
  <c r="V189" i="1"/>
  <c r="W189" i="1"/>
  <c r="X189" i="1"/>
  <c r="Y189" i="1"/>
  <c r="Z189" i="1"/>
  <c r="AA189" i="1"/>
  <c r="AB189" i="1"/>
  <c r="AC189" i="1"/>
  <c r="O190" i="1"/>
  <c r="P190" i="1"/>
  <c r="Q190" i="1"/>
  <c r="R190" i="1"/>
  <c r="S190" i="1"/>
  <c r="T190" i="1"/>
  <c r="U190" i="1"/>
  <c r="V190" i="1"/>
  <c r="W190" i="1"/>
  <c r="X190" i="1"/>
  <c r="Y190" i="1"/>
  <c r="Z190" i="1"/>
  <c r="AA190" i="1"/>
  <c r="AB190" i="1"/>
  <c r="AC190" i="1"/>
  <c r="N192" i="1"/>
  <c r="N190" i="1"/>
  <c r="N189" i="1"/>
  <c r="N188" i="1"/>
  <c r="N187" i="1"/>
  <c r="N186" i="1"/>
  <c r="N185" i="1"/>
  <c r="N184" i="1"/>
  <c r="N183" i="1"/>
  <c r="N11" i="1" l="1"/>
  <c r="N91" i="1" s="1"/>
  <c r="N11" i="5"/>
  <c r="Q347" i="5"/>
  <c r="P347" i="5"/>
  <c r="P345" i="5"/>
  <c r="P344" i="5"/>
  <c r="P343" i="5"/>
  <c r="P342" i="5"/>
  <c r="P341" i="5"/>
  <c r="P340" i="5"/>
  <c r="P339" i="5"/>
  <c r="P338" i="5"/>
  <c r="P337" i="5"/>
  <c r="P336" i="5"/>
  <c r="P335" i="5"/>
  <c r="P334" i="5"/>
  <c r="Q347" i="1"/>
  <c r="P347" i="1"/>
  <c r="P348" i="1" s="1"/>
  <c r="P345" i="1"/>
  <c r="P344" i="1"/>
  <c r="P343" i="1"/>
  <c r="P342" i="1"/>
  <c r="P341" i="1"/>
  <c r="P340" i="1"/>
  <c r="P339" i="1"/>
  <c r="P338" i="1"/>
  <c r="P337" i="1"/>
  <c r="P336" i="1"/>
  <c r="P335" i="1"/>
  <c r="P334" i="1"/>
  <c r="N433" i="5" l="1"/>
  <c r="N91" i="5"/>
  <c r="N433" i="1"/>
  <c r="N307" i="1"/>
  <c r="N367" i="1"/>
  <c r="N258" i="5"/>
  <c r="N367" i="5"/>
  <c r="N258" i="1"/>
  <c r="P348" i="5"/>
  <c r="Q348" i="5" s="1"/>
  <c r="Q348" i="1"/>
  <c r="N277" i="1"/>
  <c r="N243" i="1"/>
  <c r="N223" i="1"/>
  <c r="N173" i="1"/>
  <c r="N197" i="1"/>
  <c r="N113" i="1"/>
  <c r="N51" i="1"/>
  <c r="N67" i="1"/>
  <c r="AS72" i="1" l="1"/>
  <c r="AT72" i="1" s="1"/>
  <c r="L10" i="5"/>
  <c r="L10" i="1"/>
  <c r="N262" i="1" l="1"/>
  <c r="J82" i="1" l="1"/>
  <c r="O84" i="1" l="1"/>
  <c r="O204" i="1" s="1"/>
  <c r="O45" i="1" s="1"/>
  <c r="O401" i="1" s="1"/>
  <c r="O83" i="1"/>
  <c r="O203" i="1" s="1"/>
  <c r="O44" i="1" s="1"/>
  <c r="O400" i="1" s="1"/>
  <c r="O82" i="1"/>
  <c r="O202" i="1" s="1"/>
  <c r="O43" i="1" s="1"/>
  <c r="O399" i="1" s="1"/>
  <c r="O81" i="1"/>
  <c r="O201" i="1" s="1"/>
  <c r="O280" i="1" s="1"/>
  <c r="O282" i="1" l="1"/>
  <c r="O283" i="1"/>
  <c r="O281" i="1"/>
  <c r="P81" i="1"/>
  <c r="Q81" i="1" s="1"/>
  <c r="R81" i="1" s="1"/>
  <c r="S81" i="1" s="1"/>
  <c r="T81" i="1" s="1"/>
  <c r="U81" i="1" s="1"/>
  <c r="V81" i="1" s="1"/>
  <c r="W81" i="1" s="1"/>
  <c r="P82" i="1"/>
  <c r="Q82" i="1" s="1"/>
  <c r="R82" i="1" s="1"/>
  <c r="S82" i="1" s="1"/>
  <c r="T82" i="1" s="1"/>
  <c r="U82" i="1" s="1"/>
  <c r="V82" i="1" s="1"/>
  <c r="W82" i="1" s="1"/>
  <c r="X82" i="1" s="1"/>
  <c r="Y82" i="1" s="1"/>
  <c r="Z82" i="1" s="1"/>
  <c r="AA82" i="1" s="1"/>
  <c r="AB82" i="1" s="1"/>
  <c r="AC82" i="1" s="1"/>
  <c r="P83" i="1"/>
  <c r="Q83" i="1" s="1"/>
  <c r="R83" i="1" s="1"/>
  <c r="S83" i="1" s="1"/>
  <c r="T83" i="1" s="1"/>
  <c r="U83" i="1" s="1"/>
  <c r="V83" i="1" s="1"/>
  <c r="W83" i="1" s="1"/>
  <c r="X83" i="1" s="1"/>
  <c r="Y83" i="1" s="1"/>
  <c r="Z83" i="1" s="1"/>
  <c r="AA83" i="1" s="1"/>
  <c r="AB83" i="1" s="1"/>
  <c r="AC83" i="1" s="1"/>
  <c r="P84" i="1"/>
  <c r="Q84" i="1" s="1"/>
  <c r="R84" i="1" s="1"/>
  <c r="S84" i="1" s="1"/>
  <c r="T84" i="1" s="1"/>
  <c r="U84" i="1" s="1"/>
  <c r="V84" i="1" s="1"/>
  <c r="W84" i="1" s="1"/>
  <c r="X84" i="1" s="1"/>
  <c r="Y84" i="1" s="1"/>
  <c r="Z84" i="1" s="1"/>
  <c r="AA84" i="1" s="1"/>
  <c r="AB84" i="1" s="1"/>
  <c r="AC84" i="1" s="1"/>
  <c r="AC115" i="5"/>
  <c r="AB115" i="5"/>
  <c r="AA115" i="5"/>
  <c r="Z115" i="5"/>
  <c r="Y115" i="5"/>
  <c r="X115" i="5"/>
  <c r="W115" i="5"/>
  <c r="V115" i="5"/>
  <c r="U115" i="5"/>
  <c r="T115" i="5"/>
  <c r="S115" i="5"/>
  <c r="R115" i="5"/>
  <c r="Q115" i="5"/>
  <c r="P115" i="5"/>
  <c r="O115" i="5"/>
  <c r="K115" i="1"/>
  <c r="X81" i="1" l="1"/>
  <c r="Y81" i="1" s="1"/>
  <c r="Z81" i="1" s="1"/>
  <c r="AA81" i="1" s="1"/>
  <c r="AB81" i="1" s="1"/>
  <c r="AC81" i="1" s="1"/>
  <c r="L83" i="1"/>
  <c r="L84" i="1"/>
  <c r="L82" i="1"/>
  <c r="L81" i="1" l="1"/>
  <c r="R78" i="5"/>
  <c r="S78" i="5" s="1"/>
  <c r="T78" i="5" s="1"/>
  <c r="U78" i="5" s="1"/>
  <c r="V78" i="5" s="1"/>
  <c r="W78" i="5" s="1"/>
  <c r="X78" i="5" s="1"/>
  <c r="Y78" i="5" s="1"/>
  <c r="Z78" i="5" s="1"/>
  <c r="AA78" i="5" s="1"/>
  <c r="AB78" i="5" s="1"/>
  <c r="AC78" i="5" s="1"/>
  <c r="N202" i="1" l="1"/>
  <c r="N201" i="1"/>
  <c r="N280" i="1" s="1"/>
  <c r="N204" i="1"/>
  <c r="N203" i="1"/>
  <c r="N101" i="5"/>
  <c r="AC140" i="5"/>
  <c r="AB140" i="5"/>
  <c r="AA140" i="5"/>
  <c r="Z140" i="5"/>
  <c r="Y140" i="5"/>
  <c r="X140" i="5"/>
  <c r="W140" i="5"/>
  <c r="V140" i="5"/>
  <c r="U140" i="5"/>
  <c r="T140" i="5"/>
  <c r="S140" i="5"/>
  <c r="R140" i="5"/>
  <c r="Q140" i="5"/>
  <c r="P140" i="5"/>
  <c r="O140" i="5"/>
  <c r="N140" i="5"/>
  <c r="AC137" i="5"/>
  <c r="AB137" i="5"/>
  <c r="AA137" i="5"/>
  <c r="Z137" i="5"/>
  <c r="Y137" i="5"/>
  <c r="X137" i="5"/>
  <c r="W137" i="5"/>
  <c r="V137" i="5"/>
  <c r="U137" i="5"/>
  <c r="O137" i="5"/>
  <c r="AC136" i="5"/>
  <c r="AB136" i="5"/>
  <c r="AA136" i="5"/>
  <c r="Z136" i="5"/>
  <c r="Y136" i="5"/>
  <c r="X136" i="5"/>
  <c r="W136" i="5"/>
  <c r="V136" i="5"/>
  <c r="U136" i="5"/>
  <c r="O136" i="5"/>
  <c r="AC135" i="5"/>
  <c r="AB135" i="5"/>
  <c r="AA135" i="5"/>
  <c r="Z135" i="5"/>
  <c r="Y135" i="5"/>
  <c r="X135" i="5"/>
  <c r="W135" i="5"/>
  <c r="V135" i="5"/>
  <c r="U135" i="5"/>
  <c r="T135" i="5"/>
  <c r="S135" i="5"/>
  <c r="R135" i="5"/>
  <c r="Q135" i="5"/>
  <c r="P135" i="5"/>
  <c r="O135" i="5"/>
  <c r="N135" i="5"/>
  <c r="AC132" i="5"/>
  <c r="AB132" i="5"/>
  <c r="AA132" i="5"/>
  <c r="Z132" i="5"/>
  <c r="Y132" i="5"/>
  <c r="X132" i="5"/>
  <c r="W132" i="5"/>
  <c r="V132" i="5"/>
  <c r="U132" i="5"/>
  <c r="AC131" i="5"/>
  <c r="AB131" i="5"/>
  <c r="AA131" i="5"/>
  <c r="Z131" i="5"/>
  <c r="Y131" i="5"/>
  <c r="X131" i="5"/>
  <c r="W131" i="5"/>
  <c r="V131" i="5"/>
  <c r="U131" i="5"/>
  <c r="T131" i="5"/>
  <c r="S131" i="5"/>
  <c r="R131" i="5"/>
  <c r="Q131" i="5"/>
  <c r="P131" i="5"/>
  <c r="O131" i="5"/>
  <c r="N131" i="5"/>
  <c r="AC130" i="5"/>
  <c r="AB130" i="5"/>
  <c r="AA130" i="5"/>
  <c r="Z130" i="5"/>
  <c r="Y130" i="5"/>
  <c r="X130" i="5"/>
  <c r="W130" i="5"/>
  <c r="V130" i="5"/>
  <c r="U130" i="5"/>
  <c r="O130" i="5"/>
  <c r="AC129" i="5"/>
  <c r="AB129" i="5"/>
  <c r="AA129" i="5"/>
  <c r="Z129" i="5"/>
  <c r="Y129" i="5"/>
  <c r="X129" i="5"/>
  <c r="W129" i="5"/>
  <c r="V129" i="5"/>
  <c r="U129" i="5"/>
  <c r="AC128" i="5"/>
  <c r="AB128" i="5"/>
  <c r="AA128" i="5"/>
  <c r="Z128" i="5"/>
  <c r="Y128" i="5"/>
  <c r="X128" i="5"/>
  <c r="W128" i="5"/>
  <c r="V128" i="5"/>
  <c r="U128" i="5"/>
  <c r="AC127" i="5"/>
  <c r="AB127" i="5"/>
  <c r="AA127" i="5"/>
  <c r="Z127" i="5"/>
  <c r="Y127" i="5"/>
  <c r="X127" i="5"/>
  <c r="W127" i="5"/>
  <c r="V127" i="5"/>
  <c r="U127" i="5"/>
  <c r="AC123" i="5"/>
  <c r="AB123" i="5"/>
  <c r="AA123" i="5"/>
  <c r="Z123" i="5"/>
  <c r="Y123" i="5"/>
  <c r="X123" i="5"/>
  <c r="W123" i="5"/>
  <c r="V123" i="5"/>
  <c r="U123" i="5"/>
  <c r="AC122" i="5"/>
  <c r="AB122" i="5"/>
  <c r="AA122" i="5"/>
  <c r="Z122" i="5"/>
  <c r="Y122" i="5"/>
  <c r="X122" i="5"/>
  <c r="W122" i="5"/>
  <c r="V122" i="5"/>
  <c r="U122" i="5"/>
  <c r="AC121" i="5"/>
  <c r="AB121" i="5"/>
  <c r="AA121" i="5"/>
  <c r="Z121" i="5"/>
  <c r="Y121" i="5"/>
  <c r="X121" i="5"/>
  <c r="W121" i="5"/>
  <c r="V121" i="5"/>
  <c r="U121" i="5"/>
  <c r="AC120" i="5"/>
  <c r="AB120" i="5"/>
  <c r="AA120" i="5"/>
  <c r="Z120" i="5"/>
  <c r="Y120" i="5"/>
  <c r="X120" i="5"/>
  <c r="W120" i="5"/>
  <c r="V120" i="5"/>
  <c r="U120" i="5"/>
  <c r="AC119" i="5"/>
  <c r="AB119" i="5"/>
  <c r="AA119" i="5"/>
  <c r="Z119" i="5"/>
  <c r="Y119" i="5"/>
  <c r="X119" i="5"/>
  <c r="W119" i="5"/>
  <c r="V119" i="5"/>
  <c r="U119" i="5"/>
  <c r="AC158" i="5"/>
  <c r="AB158" i="5"/>
  <c r="AA158" i="5"/>
  <c r="Z158" i="5"/>
  <c r="Y158" i="5"/>
  <c r="X158" i="5"/>
  <c r="W158" i="5"/>
  <c r="V158" i="5"/>
  <c r="U158" i="5"/>
  <c r="T158" i="5"/>
  <c r="S158" i="5"/>
  <c r="R158" i="5"/>
  <c r="Q158" i="5"/>
  <c r="P158" i="5"/>
  <c r="O158" i="5"/>
  <c r="N158" i="5"/>
  <c r="AC157" i="5"/>
  <c r="AB157" i="5"/>
  <c r="AA157" i="5"/>
  <c r="Z157" i="5"/>
  <c r="Y157" i="5"/>
  <c r="X157" i="5"/>
  <c r="W157" i="5"/>
  <c r="V157" i="5"/>
  <c r="U157" i="5"/>
  <c r="T157" i="5"/>
  <c r="S157" i="5"/>
  <c r="R157" i="5"/>
  <c r="Q157" i="5"/>
  <c r="P157" i="5"/>
  <c r="O157" i="5"/>
  <c r="N157" i="5"/>
  <c r="AC156" i="5"/>
  <c r="AB156" i="5"/>
  <c r="AA156" i="5"/>
  <c r="Z156" i="5"/>
  <c r="Y156" i="5"/>
  <c r="X156" i="5"/>
  <c r="W156" i="5"/>
  <c r="V156" i="5"/>
  <c r="U156" i="5"/>
  <c r="T156" i="5"/>
  <c r="S156" i="5"/>
  <c r="R156" i="5"/>
  <c r="Q156" i="5"/>
  <c r="P156" i="5"/>
  <c r="O156" i="5"/>
  <c r="N156" i="5"/>
  <c r="AC152" i="5"/>
  <c r="AB152" i="5"/>
  <c r="AA152" i="5"/>
  <c r="Z152" i="5"/>
  <c r="Y152" i="5"/>
  <c r="X152" i="5"/>
  <c r="W152" i="5"/>
  <c r="V152" i="5"/>
  <c r="U152" i="5"/>
  <c r="T152" i="5"/>
  <c r="S152" i="5"/>
  <c r="R152" i="5"/>
  <c r="Q152" i="5"/>
  <c r="P152" i="5"/>
  <c r="O152" i="5"/>
  <c r="N152" i="5"/>
  <c r="AC151" i="5"/>
  <c r="AB151" i="5"/>
  <c r="AA151" i="5"/>
  <c r="Z151" i="5"/>
  <c r="Y151" i="5"/>
  <c r="X151" i="5"/>
  <c r="W151" i="5"/>
  <c r="V151" i="5"/>
  <c r="U151" i="5"/>
  <c r="T151" i="5"/>
  <c r="S151" i="5"/>
  <c r="R151" i="5"/>
  <c r="Q151" i="5"/>
  <c r="P151" i="5"/>
  <c r="O151" i="5"/>
  <c r="N151" i="5"/>
  <c r="AC150" i="5"/>
  <c r="AB150" i="5"/>
  <c r="AA150" i="5"/>
  <c r="Z150" i="5"/>
  <c r="Y150" i="5"/>
  <c r="X150" i="5"/>
  <c r="W150" i="5"/>
  <c r="V150" i="5"/>
  <c r="U150" i="5"/>
  <c r="T150" i="5"/>
  <c r="S150" i="5"/>
  <c r="R150" i="5"/>
  <c r="Q150" i="5"/>
  <c r="P150" i="5"/>
  <c r="O150" i="5"/>
  <c r="N150" i="5"/>
  <c r="AC149" i="5"/>
  <c r="AB149" i="5"/>
  <c r="AA149" i="5"/>
  <c r="Z149" i="5"/>
  <c r="Y149" i="5"/>
  <c r="X149" i="5"/>
  <c r="W149" i="5"/>
  <c r="V149" i="5"/>
  <c r="U149" i="5"/>
  <c r="T149" i="5"/>
  <c r="S149" i="5"/>
  <c r="R149" i="5"/>
  <c r="Q149" i="5"/>
  <c r="P149" i="5"/>
  <c r="O149" i="5"/>
  <c r="N149" i="5"/>
  <c r="AC148" i="5"/>
  <c r="AB148" i="5"/>
  <c r="AA148" i="5"/>
  <c r="Z148" i="5"/>
  <c r="Y148" i="5"/>
  <c r="X148" i="5"/>
  <c r="W148" i="5"/>
  <c r="V148" i="5"/>
  <c r="U148" i="5"/>
  <c r="T148" i="5"/>
  <c r="S148" i="5"/>
  <c r="R148" i="5"/>
  <c r="Q148" i="5"/>
  <c r="P148" i="5"/>
  <c r="O148" i="5"/>
  <c r="N148" i="5"/>
  <c r="AC234" i="5"/>
  <c r="AB234" i="5"/>
  <c r="AA234" i="5"/>
  <c r="Z234" i="5"/>
  <c r="Y234" i="5"/>
  <c r="X234" i="5"/>
  <c r="W234" i="5"/>
  <c r="V234" i="5"/>
  <c r="U234" i="5"/>
  <c r="T234" i="5"/>
  <c r="S234" i="5"/>
  <c r="R234" i="5"/>
  <c r="Q234" i="5"/>
  <c r="P234" i="5"/>
  <c r="O234" i="5"/>
  <c r="N234" i="5"/>
  <c r="AC75" i="5"/>
  <c r="AB75" i="5"/>
  <c r="AA75" i="5"/>
  <c r="Z75" i="5"/>
  <c r="Y75" i="5"/>
  <c r="X75" i="5"/>
  <c r="W75" i="5"/>
  <c r="V75" i="5"/>
  <c r="U75" i="5"/>
  <c r="T75" i="5"/>
  <c r="S75" i="5"/>
  <c r="R75" i="5"/>
  <c r="Q75" i="5"/>
  <c r="P75" i="5"/>
  <c r="O75" i="5"/>
  <c r="AC72" i="5"/>
  <c r="AB72" i="5"/>
  <c r="AA72" i="5"/>
  <c r="Z72" i="5"/>
  <c r="Y72" i="5"/>
  <c r="X72" i="5"/>
  <c r="W72" i="5"/>
  <c r="V72" i="5"/>
  <c r="U72" i="5"/>
  <c r="T72" i="5"/>
  <c r="S72" i="5"/>
  <c r="R72" i="5"/>
  <c r="Q72" i="5"/>
  <c r="P72" i="5"/>
  <c r="O72" i="5"/>
  <c r="N72" i="5"/>
  <c r="AC71" i="5"/>
  <c r="AB71" i="5"/>
  <c r="AA71" i="5"/>
  <c r="Z71" i="5"/>
  <c r="Y71" i="5"/>
  <c r="X71" i="5"/>
  <c r="W71" i="5"/>
  <c r="V71" i="5"/>
  <c r="U71" i="5"/>
  <c r="T71" i="5"/>
  <c r="S71" i="5"/>
  <c r="R71" i="5"/>
  <c r="Q71" i="5"/>
  <c r="P71" i="5"/>
  <c r="O71" i="5"/>
  <c r="N71" i="5"/>
  <c r="N291" i="5"/>
  <c r="AC118" i="5"/>
  <c r="AC116" i="5" s="1"/>
  <c r="AB118" i="5"/>
  <c r="AB116" i="5" s="1"/>
  <c r="AA118" i="5"/>
  <c r="AA116" i="5" s="1"/>
  <c r="Z118" i="5"/>
  <c r="Z116" i="5" s="1"/>
  <c r="Y118" i="5"/>
  <c r="Y116" i="5" s="1"/>
  <c r="X118" i="5"/>
  <c r="X116" i="5" s="1"/>
  <c r="W118" i="5"/>
  <c r="W116" i="5" s="1"/>
  <c r="V118" i="5"/>
  <c r="V116" i="5" s="1"/>
  <c r="U118" i="5"/>
  <c r="U116" i="5" s="1"/>
  <c r="O118" i="5"/>
  <c r="O116" i="5" s="1"/>
  <c r="AA187" i="5" l="1"/>
  <c r="AA184" i="5"/>
  <c r="AA185" i="5"/>
  <c r="AA186" i="5"/>
  <c r="AA188" i="5"/>
  <c r="AA189" i="5"/>
  <c r="AA190" i="5"/>
  <c r="AB187" i="5"/>
  <c r="AB184" i="5"/>
  <c r="AB185" i="5"/>
  <c r="AB186" i="5"/>
  <c r="AB188" i="5"/>
  <c r="AB189" i="5"/>
  <c r="AB190" i="5"/>
  <c r="U187" i="5"/>
  <c r="AC187" i="5"/>
  <c r="U184" i="5"/>
  <c r="AC184" i="5"/>
  <c r="U185" i="5"/>
  <c r="AC185" i="5"/>
  <c r="U186" i="5"/>
  <c r="AC186" i="5"/>
  <c r="U188" i="5"/>
  <c r="AC188" i="5"/>
  <c r="U189" i="5"/>
  <c r="AC189" i="5"/>
  <c r="U190" i="5"/>
  <c r="AC190" i="5"/>
  <c r="V187" i="5"/>
  <c r="V184" i="5"/>
  <c r="V185" i="5"/>
  <c r="V186" i="5"/>
  <c r="V188" i="5"/>
  <c r="V189" i="5"/>
  <c r="V190" i="5"/>
  <c r="O187" i="5"/>
  <c r="W187" i="5"/>
  <c r="W184" i="5"/>
  <c r="W185" i="5"/>
  <c r="W186" i="5"/>
  <c r="O188" i="5"/>
  <c r="W188" i="5"/>
  <c r="O189" i="5"/>
  <c r="W189" i="5"/>
  <c r="W190" i="5"/>
  <c r="Z187" i="5"/>
  <c r="X187" i="5"/>
  <c r="X184" i="5"/>
  <c r="X185" i="5"/>
  <c r="X186" i="5"/>
  <c r="X188" i="5"/>
  <c r="X189" i="5"/>
  <c r="X190" i="5"/>
  <c r="Y187" i="5"/>
  <c r="Y184" i="5"/>
  <c r="Y185" i="5"/>
  <c r="Y186" i="5"/>
  <c r="Y188" i="5"/>
  <c r="Y189" i="5"/>
  <c r="Y190" i="5"/>
  <c r="Z184" i="5"/>
  <c r="Z185" i="5"/>
  <c r="Z186" i="5"/>
  <c r="Z188" i="5"/>
  <c r="Z189" i="5"/>
  <c r="Z190" i="5"/>
  <c r="N282" i="1"/>
  <c r="N44" i="1"/>
  <c r="N283" i="1"/>
  <c r="N45" i="1"/>
  <c r="N281" i="1"/>
  <c r="N43" i="1"/>
  <c r="N321" i="5"/>
  <c r="O320" i="5"/>
  <c r="P320" i="5" s="1"/>
  <c r="AC307" i="5"/>
  <c r="N302" i="5"/>
  <c r="N303" i="5" s="1"/>
  <c r="AC298" i="5"/>
  <c r="AB298" i="5"/>
  <c r="AA298" i="5"/>
  <c r="Z298" i="5"/>
  <c r="Y298" i="5"/>
  <c r="X298" i="5"/>
  <c r="W298" i="5"/>
  <c r="V298" i="5"/>
  <c r="U298" i="5"/>
  <c r="T298" i="5"/>
  <c r="S298" i="5"/>
  <c r="R298" i="5"/>
  <c r="Q298" i="5"/>
  <c r="P298" i="5"/>
  <c r="O298" i="5"/>
  <c r="N298" i="5"/>
  <c r="AC194" i="5"/>
  <c r="AB194" i="5"/>
  <c r="AA194" i="5"/>
  <c r="Z194" i="5"/>
  <c r="Y194" i="5"/>
  <c r="X194" i="5"/>
  <c r="W194" i="5"/>
  <c r="V194" i="5"/>
  <c r="U194" i="5"/>
  <c r="O194" i="5"/>
  <c r="AC193" i="5"/>
  <c r="AB193" i="5"/>
  <c r="AA193" i="5"/>
  <c r="Z193" i="5"/>
  <c r="Y193" i="5"/>
  <c r="X193" i="5"/>
  <c r="W193" i="5"/>
  <c r="V193" i="5"/>
  <c r="U193" i="5"/>
  <c r="O193" i="5"/>
  <c r="K191" i="5"/>
  <c r="K195" i="5" s="1"/>
  <c r="AC181" i="5"/>
  <c r="AB181" i="5"/>
  <c r="AA181" i="5"/>
  <c r="Z181" i="5"/>
  <c r="Y181" i="5"/>
  <c r="X181" i="5"/>
  <c r="W181" i="5"/>
  <c r="V181" i="5"/>
  <c r="U181" i="5"/>
  <c r="AC180" i="5"/>
  <c r="AB180" i="5"/>
  <c r="AA180" i="5"/>
  <c r="Z180" i="5"/>
  <c r="Y180" i="5"/>
  <c r="X180" i="5"/>
  <c r="W180" i="5"/>
  <c r="V180" i="5"/>
  <c r="U180" i="5"/>
  <c r="AC179" i="5"/>
  <c r="AB179" i="5"/>
  <c r="AA179" i="5"/>
  <c r="Z179" i="5"/>
  <c r="Y179" i="5"/>
  <c r="X179" i="5"/>
  <c r="W179" i="5"/>
  <c r="V179" i="5"/>
  <c r="U179" i="5"/>
  <c r="AC178" i="5"/>
  <c r="AB178" i="5"/>
  <c r="AA178" i="5"/>
  <c r="Z178" i="5"/>
  <c r="Y178" i="5"/>
  <c r="X178" i="5"/>
  <c r="W178" i="5"/>
  <c r="V178" i="5"/>
  <c r="U178" i="5"/>
  <c r="AC177" i="5"/>
  <c r="AB177" i="5"/>
  <c r="AA177" i="5"/>
  <c r="Z177" i="5"/>
  <c r="Y177" i="5"/>
  <c r="X177" i="5"/>
  <c r="W177" i="5"/>
  <c r="V177" i="5"/>
  <c r="U177" i="5"/>
  <c r="AC176" i="5"/>
  <c r="AB176" i="5"/>
  <c r="AA176" i="5"/>
  <c r="Z176" i="5"/>
  <c r="Y176" i="5"/>
  <c r="X176" i="5"/>
  <c r="W176" i="5"/>
  <c r="V176" i="5"/>
  <c r="U176" i="5"/>
  <c r="O176" i="5"/>
  <c r="K158" i="5"/>
  <c r="K157" i="5"/>
  <c r="K156" i="5"/>
  <c r="K152" i="5"/>
  <c r="K151" i="5"/>
  <c r="K150" i="5"/>
  <c r="K149" i="5"/>
  <c r="K148" i="5"/>
  <c r="K140" i="5"/>
  <c r="K135" i="5"/>
  <c r="K131" i="5"/>
  <c r="AC124" i="5"/>
  <c r="AC182" i="5" s="1"/>
  <c r="AB124" i="5"/>
  <c r="AB182" i="5" s="1"/>
  <c r="AA124" i="5"/>
  <c r="AA182" i="5" s="1"/>
  <c r="Z124" i="5"/>
  <c r="Z182" i="5" s="1"/>
  <c r="Y124" i="5"/>
  <c r="Y182" i="5" s="1"/>
  <c r="X124" i="5"/>
  <c r="X182" i="5" s="1"/>
  <c r="W124" i="5"/>
  <c r="W182" i="5" s="1"/>
  <c r="V124" i="5"/>
  <c r="V182" i="5" s="1"/>
  <c r="U124" i="5"/>
  <c r="U182" i="5" s="1"/>
  <c r="Q97" i="5"/>
  <c r="L72" i="5"/>
  <c r="L71" i="5"/>
  <c r="AC70" i="5"/>
  <c r="AC24" i="5" s="1"/>
  <c r="AB70" i="5"/>
  <c r="AA70" i="5"/>
  <c r="AA24" i="5" s="1"/>
  <c r="Z70" i="5"/>
  <c r="Z24" i="5" s="1"/>
  <c r="Y70" i="5"/>
  <c r="X70" i="5"/>
  <c r="X24" i="5" s="1"/>
  <c r="W70" i="5"/>
  <c r="W24" i="5" s="1"/>
  <c r="V70" i="5"/>
  <c r="V24" i="5" s="1"/>
  <c r="U70" i="5"/>
  <c r="U24" i="5" s="1"/>
  <c r="T70" i="5"/>
  <c r="S70" i="5"/>
  <c r="S24" i="5" s="1"/>
  <c r="R70" i="5"/>
  <c r="R24" i="5" s="1"/>
  <c r="Q70" i="5"/>
  <c r="P70" i="5"/>
  <c r="P24" i="5" s="1"/>
  <c r="O70" i="5"/>
  <c r="O24" i="5" s="1"/>
  <c r="N70" i="5"/>
  <c r="N24" i="5" s="1"/>
  <c r="N63" i="5"/>
  <c r="K31" i="5"/>
  <c r="AC30" i="5"/>
  <c r="AC386" i="5" s="1"/>
  <c r="AB30" i="5"/>
  <c r="AB386" i="5" s="1"/>
  <c r="AA30" i="5"/>
  <c r="AA386" i="5" s="1"/>
  <c r="Z30" i="5"/>
  <c r="Z386" i="5" s="1"/>
  <c r="Y30" i="5"/>
  <c r="Y386" i="5" s="1"/>
  <c r="X30" i="5"/>
  <c r="X386" i="5" s="1"/>
  <c r="W30" i="5"/>
  <c r="W386" i="5" s="1"/>
  <c r="V30" i="5"/>
  <c r="V386" i="5" s="1"/>
  <c r="U30" i="5"/>
  <c r="U386" i="5" s="1"/>
  <c r="AC16" i="5"/>
  <c r="AC372" i="5" s="1"/>
  <c r="AC434" i="5" s="1"/>
  <c r="AB16" i="5"/>
  <c r="AB372" i="5" s="1"/>
  <c r="AB434" i="5" s="1"/>
  <c r="AA16" i="5"/>
  <c r="AA372" i="5" s="1"/>
  <c r="AA434" i="5" s="1"/>
  <c r="Z16" i="5"/>
  <c r="Z372" i="5" s="1"/>
  <c r="Z434" i="5" s="1"/>
  <c r="Y16" i="5"/>
  <c r="Y372" i="5" s="1"/>
  <c r="Y434" i="5" s="1"/>
  <c r="X16" i="5"/>
  <c r="X372" i="5" s="1"/>
  <c r="X434" i="5" s="1"/>
  <c r="W16" i="5"/>
  <c r="W372" i="5" s="1"/>
  <c r="W434" i="5" s="1"/>
  <c r="V16" i="5"/>
  <c r="V372" i="5" s="1"/>
  <c r="V434" i="5" s="1"/>
  <c r="U16" i="5"/>
  <c r="U372" i="5" s="1"/>
  <c r="U434" i="5" s="1"/>
  <c r="O16" i="5"/>
  <c r="O372" i="5" s="1"/>
  <c r="O434" i="5" s="1"/>
  <c r="O12" i="5"/>
  <c r="K135" i="1"/>
  <c r="N321" i="1"/>
  <c r="O320" i="1"/>
  <c r="P320" i="1" s="1"/>
  <c r="P321" i="1" s="1"/>
  <c r="AC302" i="1"/>
  <c r="AB302" i="1"/>
  <c r="AA302" i="1"/>
  <c r="Z302" i="1"/>
  <c r="Y302" i="1"/>
  <c r="X302" i="1"/>
  <c r="W302" i="1"/>
  <c r="V302" i="1"/>
  <c r="U302" i="1"/>
  <c r="T302" i="1"/>
  <c r="S302" i="1"/>
  <c r="R302" i="1"/>
  <c r="Q302" i="1"/>
  <c r="P302" i="1"/>
  <c r="O302" i="1"/>
  <c r="N302" i="1"/>
  <c r="N303" i="1" s="1"/>
  <c r="N304" i="1" s="1"/>
  <c r="AC298" i="1"/>
  <c r="AB298" i="1"/>
  <c r="AA298" i="1"/>
  <c r="Z298" i="1"/>
  <c r="Y298" i="1"/>
  <c r="X298" i="1"/>
  <c r="N267" i="1"/>
  <c r="N266" i="1"/>
  <c r="AC247" i="1"/>
  <c r="AB247" i="1"/>
  <c r="AA247" i="1"/>
  <c r="Z247" i="1"/>
  <c r="Y247" i="1"/>
  <c r="X247" i="1"/>
  <c r="AC236" i="1"/>
  <c r="AB236" i="1"/>
  <c r="AA236" i="1"/>
  <c r="Z236" i="1"/>
  <c r="Y236" i="1"/>
  <c r="X236" i="1"/>
  <c r="W236" i="1"/>
  <c r="V236" i="1"/>
  <c r="U236" i="1"/>
  <c r="T236" i="1"/>
  <c r="S236" i="1"/>
  <c r="R236" i="1"/>
  <c r="Q236" i="1"/>
  <c r="P236" i="1"/>
  <c r="O236" i="1"/>
  <c r="N236" i="1"/>
  <c r="AC231" i="1"/>
  <c r="AB231" i="1"/>
  <c r="AA231" i="1"/>
  <c r="Z231" i="1"/>
  <c r="Y231" i="1"/>
  <c r="X231" i="1"/>
  <c r="W231" i="1"/>
  <c r="V231" i="1"/>
  <c r="U231" i="1"/>
  <c r="T231" i="1"/>
  <c r="S231" i="1"/>
  <c r="R231" i="1"/>
  <c r="Q231" i="1"/>
  <c r="P231" i="1"/>
  <c r="O231" i="1"/>
  <c r="N231" i="1"/>
  <c r="AC194" i="1"/>
  <c r="AB194" i="1"/>
  <c r="AA194" i="1"/>
  <c r="Z194" i="1"/>
  <c r="Y194" i="1"/>
  <c r="X194" i="1"/>
  <c r="V194" i="1"/>
  <c r="T194" i="1"/>
  <c r="N194" i="1"/>
  <c r="AC193" i="1"/>
  <c r="AB193" i="1"/>
  <c r="AA193" i="1"/>
  <c r="Z193" i="1"/>
  <c r="Y193" i="1"/>
  <c r="X193" i="1"/>
  <c r="AC192" i="1"/>
  <c r="AB192" i="1"/>
  <c r="AA192" i="1"/>
  <c r="Z192" i="1"/>
  <c r="Y192" i="1"/>
  <c r="X192" i="1"/>
  <c r="K191" i="1"/>
  <c r="K195" i="1" s="1"/>
  <c r="AC181" i="1"/>
  <c r="AB181" i="1"/>
  <c r="AA181" i="1"/>
  <c r="Z181" i="1"/>
  <c r="Y181" i="1"/>
  <c r="X181" i="1"/>
  <c r="V181" i="1"/>
  <c r="T181" i="1"/>
  <c r="AC180" i="1"/>
  <c r="AB180" i="1"/>
  <c r="AA180" i="1"/>
  <c r="Z180" i="1"/>
  <c r="Y180" i="1"/>
  <c r="X180" i="1"/>
  <c r="AC179" i="1"/>
  <c r="AB179" i="1"/>
  <c r="AA179" i="1"/>
  <c r="Z179" i="1"/>
  <c r="Y179" i="1"/>
  <c r="X179" i="1"/>
  <c r="AC178" i="1"/>
  <c r="AB178" i="1"/>
  <c r="AA178" i="1"/>
  <c r="Z178" i="1"/>
  <c r="Y178" i="1"/>
  <c r="X178" i="1"/>
  <c r="AC177" i="1"/>
  <c r="AB177" i="1"/>
  <c r="AA177" i="1"/>
  <c r="Z177" i="1"/>
  <c r="Y177" i="1"/>
  <c r="X177" i="1"/>
  <c r="T177" i="1"/>
  <c r="AC176" i="1"/>
  <c r="AB176" i="1"/>
  <c r="AA176" i="1"/>
  <c r="Z176" i="1"/>
  <c r="Y176" i="1"/>
  <c r="X176" i="1"/>
  <c r="V176" i="1"/>
  <c r="T176" i="1"/>
  <c r="AC167" i="1"/>
  <c r="AB167" i="1"/>
  <c r="AA167" i="1"/>
  <c r="Z167" i="1"/>
  <c r="Y167" i="1"/>
  <c r="X167" i="1"/>
  <c r="W167" i="1"/>
  <c r="V167" i="1"/>
  <c r="U167" i="1"/>
  <c r="T167" i="1"/>
  <c r="S167" i="1"/>
  <c r="R167" i="1"/>
  <c r="Q167" i="1"/>
  <c r="P167" i="1"/>
  <c r="O167" i="1"/>
  <c r="N167" i="1"/>
  <c r="K161" i="1"/>
  <c r="K158" i="1"/>
  <c r="K157" i="1"/>
  <c r="K156" i="1"/>
  <c r="K152" i="1"/>
  <c r="K151" i="1"/>
  <c r="K150" i="1"/>
  <c r="K149" i="1"/>
  <c r="K148" i="1"/>
  <c r="K140" i="1"/>
  <c r="K139" i="1"/>
  <c r="Q194" i="1"/>
  <c r="O194" i="1"/>
  <c r="V193" i="1"/>
  <c r="N193" i="1"/>
  <c r="V192" i="1"/>
  <c r="K132" i="1"/>
  <c r="S298" i="1"/>
  <c r="K131" i="1"/>
  <c r="N74" i="1" s="1"/>
  <c r="N25" i="1" s="1"/>
  <c r="K130" i="1"/>
  <c r="K128" i="1"/>
  <c r="K127" i="1"/>
  <c r="AC124" i="1"/>
  <c r="AC182" i="1" s="1"/>
  <c r="AB124" i="1"/>
  <c r="AB182" i="1" s="1"/>
  <c r="AA124" i="1"/>
  <c r="AA182" i="1" s="1"/>
  <c r="Z124" i="1"/>
  <c r="Z182" i="1" s="1"/>
  <c r="Y124" i="1"/>
  <c r="Y182" i="1" s="1"/>
  <c r="X124" i="1"/>
  <c r="X182" i="1" s="1"/>
  <c r="W124" i="1"/>
  <c r="W182" i="1" s="1"/>
  <c r="O124" i="1"/>
  <c r="O182" i="1" s="1"/>
  <c r="R181" i="1"/>
  <c r="P181" i="1"/>
  <c r="N181" i="1"/>
  <c r="W180" i="1"/>
  <c r="V180" i="1"/>
  <c r="T180" i="1"/>
  <c r="R180" i="1"/>
  <c r="Q180" i="1"/>
  <c r="O180" i="1"/>
  <c r="N180" i="1"/>
  <c r="V124" i="1"/>
  <c r="V182" i="1" s="1"/>
  <c r="T179" i="1"/>
  <c r="R179" i="1"/>
  <c r="P179" i="1"/>
  <c r="N179" i="1"/>
  <c r="V178" i="1"/>
  <c r="T178" i="1"/>
  <c r="R178" i="1"/>
  <c r="P178" i="1"/>
  <c r="N178" i="1"/>
  <c r="K120" i="1"/>
  <c r="K119" i="1"/>
  <c r="U16" i="1"/>
  <c r="U372" i="1" s="1"/>
  <c r="U434" i="1" s="1"/>
  <c r="S180" i="1"/>
  <c r="R177" i="1"/>
  <c r="Q124" i="1"/>
  <c r="Q182" i="1" s="1"/>
  <c r="P180" i="1"/>
  <c r="N176" i="1"/>
  <c r="K118" i="1"/>
  <c r="L101" i="1"/>
  <c r="O100" i="1"/>
  <c r="O101" i="5" s="1"/>
  <c r="O302" i="5" s="1"/>
  <c r="Q97" i="1"/>
  <c r="O95" i="1"/>
  <c r="P95" i="1" s="1"/>
  <c r="O94" i="1"/>
  <c r="P94" i="1" s="1"/>
  <c r="Q94" i="1" s="1"/>
  <c r="R94" i="1" s="1"/>
  <c r="O89" i="1"/>
  <c r="O212" i="1" s="1"/>
  <c r="O88" i="1"/>
  <c r="O211" i="1" s="1"/>
  <c r="O85" i="1"/>
  <c r="P85" i="1" s="1"/>
  <c r="Q85" i="1" s="1"/>
  <c r="R85" i="1" s="1"/>
  <c r="S85" i="1" s="1"/>
  <c r="T85" i="1" s="1"/>
  <c r="O79" i="1"/>
  <c r="P79" i="1" s="1"/>
  <c r="Q79" i="1" s="1"/>
  <c r="R79" i="1" s="1"/>
  <c r="S79" i="1" s="1"/>
  <c r="T79" i="1" s="1"/>
  <c r="U79" i="1" s="1"/>
  <c r="V79" i="1" s="1"/>
  <c r="W79" i="1" s="1"/>
  <c r="X79" i="1" s="1"/>
  <c r="Y79" i="1" s="1"/>
  <c r="Z79" i="1" s="1"/>
  <c r="AA79" i="1" s="1"/>
  <c r="AB79" i="1" s="1"/>
  <c r="AC79" i="1" s="1"/>
  <c r="J26" i="1"/>
  <c r="L72" i="1"/>
  <c r="U70" i="1"/>
  <c r="U24" i="1" s="1"/>
  <c r="S70" i="1"/>
  <c r="S24" i="1" s="1"/>
  <c r="Q70" i="1"/>
  <c r="Q24" i="1" s="1"/>
  <c r="N70" i="1"/>
  <c r="N24" i="1" s="1"/>
  <c r="L71" i="1"/>
  <c r="AC70" i="1"/>
  <c r="AB70" i="1"/>
  <c r="AB24" i="1" s="1"/>
  <c r="AA70" i="1"/>
  <c r="AA24" i="1" s="1"/>
  <c r="Z70" i="1"/>
  <c r="Z24" i="1" s="1"/>
  <c r="Y70" i="1"/>
  <c r="Y24" i="1" s="1"/>
  <c r="X70" i="1"/>
  <c r="W70" i="1"/>
  <c r="W24" i="1" s="1"/>
  <c r="V70" i="1"/>
  <c r="V24" i="1" s="1"/>
  <c r="T70" i="1"/>
  <c r="T24" i="1" s="1"/>
  <c r="R70" i="1"/>
  <c r="R24" i="1" s="1"/>
  <c r="P70" i="1"/>
  <c r="O70" i="1"/>
  <c r="O24" i="1" s="1"/>
  <c r="AC63" i="1"/>
  <c r="AB63" i="1"/>
  <c r="AA63" i="1"/>
  <c r="Z63" i="1"/>
  <c r="Y63" i="1"/>
  <c r="X63" i="1"/>
  <c r="W63" i="1"/>
  <c r="V63" i="1"/>
  <c r="U63" i="1"/>
  <c r="T63" i="1"/>
  <c r="S63" i="1"/>
  <c r="R63" i="1"/>
  <c r="Q63" i="1"/>
  <c r="P63" i="1"/>
  <c r="O63" i="1"/>
  <c r="N63" i="1"/>
  <c r="K31" i="1"/>
  <c r="AC30" i="1"/>
  <c r="AC386" i="1" s="1"/>
  <c r="AB30" i="1"/>
  <c r="AB386" i="1" s="1"/>
  <c r="AA30" i="1"/>
  <c r="AA386" i="1" s="1"/>
  <c r="Z30" i="1"/>
  <c r="Z386" i="1" s="1"/>
  <c r="Y30" i="1"/>
  <c r="Y386" i="1" s="1"/>
  <c r="X30" i="1"/>
  <c r="X386" i="1" s="1"/>
  <c r="W30" i="1"/>
  <c r="W386" i="1" s="1"/>
  <c r="V30" i="1"/>
  <c r="V386" i="1" s="1"/>
  <c r="U30" i="1"/>
  <c r="U386" i="1" s="1"/>
  <c r="T30" i="1"/>
  <c r="T386" i="1" s="1"/>
  <c r="S30" i="1"/>
  <c r="S386" i="1" s="1"/>
  <c r="R30" i="1"/>
  <c r="R386" i="1" s="1"/>
  <c r="Q30" i="1"/>
  <c r="Q386" i="1" s="1"/>
  <c r="P30" i="1"/>
  <c r="P386" i="1" s="1"/>
  <c r="O30" i="1"/>
  <c r="O386" i="1" s="1"/>
  <c r="N30" i="1"/>
  <c r="N386" i="1" s="1"/>
  <c r="AC16" i="1"/>
  <c r="AC372" i="1" s="1"/>
  <c r="AC434" i="1" s="1"/>
  <c r="AB16" i="1"/>
  <c r="AB372" i="1" s="1"/>
  <c r="AB434" i="1" s="1"/>
  <c r="AA16" i="1"/>
  <c r="AA372" i="1" s="1"/>
  <c r="AA434" i="1" s="1"/>
  <c r="Z16" i="1"/>
  <c r="Z372" i="1" s="1"/>
  <c r="Z434" i="1" s="1"/>
  <c r="Y16" i="1"/>
  <c r="Y372" i="1" s="1"/>
  <c r="Y434" i="1" s="1"/>
  <c r="X16" i="1"/>
  <c r="X372" i="1" s="1"/>
  <c r="X434" i="1" s="1"/>
  <c r="W16" i="1"/>
  <c r="W372" i="1" s="1"/>
  <c r="W434" i="1" s="1"/>
  <c r="V16" i="1"/>
  <c r="V372" i="1" s="1"/>
  <c r="V434" i="1" s="1"/>
  <c r="T16" i="1"/>
  <c r="T372" i="1" s="1"/>
  <c r="T434" i="1" s="1"/>
  <c r="R16" i="1"/>
  <c r="R372" i="1" s="1"/>
  <c r="R434" i="1" s="1"/>
  <c r="Q16" i="1"/>
  <c r="Q372" i="1" s="1"/>
  <c r="Q434" i="1" s="1"/>
  <c r="P16" i="1"/>
  <c r="P372" i="1" s="1"/>
  <c r="P434" i="1" s="1"/>
  <c r="O16" i="1"/>
  <c r="O372" i="1" s="1"/>
  <c r="O434" i="1" s="1"/>
  <c r="N16" i="1"/>
  <c r="O12" i="1"/>
  <c r="P292" i="1" l="1"/>
  <c r="P24" i="1"/>
  <c r="AC292" i="1"/>
  <c r="AC24" i="1"/>
  <c r="X292" i="1"/>
  <c r="X24" i="1"/>
  <c r="T292" i="5"/>
  <c r="T24" i="5"/>
  <c r="AB292" i="5"/>
  <c r="AB24" i="5"/>
  <c r="Q292" i="5"/>
  <c r="Q24" i="5"/>
  <c r="Y292" i="5"/>
  <c r="Y24" i="5"/>
  <c r="L386" i="1"/>
  <c r="N399" i="1"/>
  <c r="N400" i="1"/>
  <c r="N401" i="1"/>
  <c r="N74" i="5"/>
  <c r="L74" i="5" s="1"/>
  <c r="N372" i="1"/>
  <c r="N434" i="1" s="1"/>
  <c r="P12" i="1"/>
  <c r="O368" i="1"/>
  <c r="P12" i="5"/>
  <c r="O368" i="5"/>
  <c r="K142" i="1"/>
  <c r="L142" i="1" s="1"/>
  <c r="K116" i="1"/>
  <c r="L141" i="1"/>
  <c r="L74" i="1"/>
  <c r="AA160" i="1"/>
  <c r="AA69" i="1"/>
  <c r="R292" i="5"/>
  <c r="Z292" i="5"/>
  <c r="Y160" i="1"/>
  <c r="Y161" i="5" s="1"/>
  <c r="W292" i="1"/>
  <c r="S160" i="1"/>
  <c r="S69" i="1"/>
  <c r="Q292" i="1"/>
  <c r="N75" i="5"/>
  <c r="L75" i="5" s="1"/>
  <c r="J27" i="5" s="1"/>
  <c r="T160" i="1"/>
  <c r="T161" i="5" s="1"/>
  <c r="T69" i="1"/>
  <c r="AB160" i="1"/>
  <c r="AB161" i="5" s="1"/>
  <c r="Z160" i="1"/>
  <c r="Z161" i="5" s="1"/>
  <c r="Z69" i="1"/>
  <c r="AC160" i="1"/>
  <c r="AC161" i="5" s="1"/>
  <c r="AC69" i="1"/>
  <c r="U292" i="5"/>
  <c r="AC292" i="5"/>
  <c r="AA292" i="1"/>
  <c r="V292" i="5"/>
  <c r="Q160" i="1"/>
  <c r="Q161" i="5" s="1"/>
  <c r="Q69" i="1"/>
  <c r="R160" i="1"/>
  <c r="R161" i="5" s="1"/>
  <c r="R69" i="1"/>
  <c r="Y292" i="1"/>
  <c r="Y69" i="1"/>
  <c r="S292" i="1"/>
  <c r="U160" i="1"/>
  <c r="U161" i="5" s="1"/>
  <c r="U69" i="1"/>
  <c r="O292" i="1"/>
  <c r="V160" i="1"/>
  <c r="V161" i="5" s="1"/>
  <c r="V69" i="1"/>
  <c r="O160" i="1"/>
  <c r="O69" i="1"/>
  <c r="W160" i="1"/>
  <c r="W69" i="1"/>
  <c r="AB69" i="1"/>
  <c r="P160" i="1"/>
  <c r="P161" i="5" s="1"/>
  <c r="P69" i="1"/>
  <c r="X160" i="1"/>
  <c r="X161" i="5" s="1"/>
  <c r="X69" i="1"/>
  <c r="P292" i="5"/>
  <c r="X292" i="5"/>
  <c r="O63" i="5"/>
  <c r="S161" i="5"/>
  <c r="AA161" i="5"/>
  <c r="O161" i="5"/>
  <c r="W161" i="5"/>
  <c r="N277" i="5"/>
  <c r="N243" i="5"/>
  <c r="N223" i="5"/>
  <c r="N173" i="5"/>
  <c r="N197" i="5"/>
  <c r="N113" i="5"/>
  <c r="N51" i="5"/>
  <c r="N67" i="5"/>
  <c r="Q78" i="1"/>
  <c r="Q200" i="1" s="1"/>
  <c r="P204" i="1"/>
  <c r="P45" i="1" s="1"/>
  <c r="P401" i="1" s="1"/>
  <c r="P203" i="1"/>
  <c r="P44" i="1" s="1"/>
  <c r="P400" i="1" s="1"/>
  <c r="P202" i="1"/>
  <c r="P43" i="1" s="1"/>
  <c r="P399" i="1" s="1"/>
  <c r="P201" i="1"/>
  <c r="P280" i="1" s="1"/>
  <c r="Z247" i="5"/>
  <c r="N266" i="5"/>
  <c r="Y247" i="5"/>
  <c r="AA247" i="5"/>
  <c r="AB247" i="5"/>
  <c r="N267" i="5"/>
  <c r="AC247" i="5"/>
  <c r="X247" i="5"/>
  <c r="N168" i="1"/>
  <c r="V31" i="1"/>
  <c r="V387" i="1" s="1"/>
  <c r="AC31" i="1"/>
  <c r="AC387" i="1" s="1"/>
  <c r="U31" i="1"/>
  <c r="U387" i="1" s="1"/>
  <c r="W31" i="1"/>
  <c r="W387" i="1" s="1"/>
  <c r="X31" i="1"/>
  <c r="X387" i="1" s="1"/>
  <c r="Q31" i="1"/>
  <c r="Q387" i="1" s="1"/>
  <c r="Y31" i="1"/>
  <c r="Y387" i="1" s="1"/>
  <c r="R31" i="1"/>
  <c r="R387" i="1" s="1"/>
  <c r="Z31" i="1"/>
  <c r="Z387" i="1" s="1"/>
  <c r="S31" i="1"/>
  <c r="S387" i="1" s="1"/>
  <c r="AA31" i="1"/>
  <c r="AA387" i="1" s="1"/>
  <c r="T31" i="1"/>
  <c r="T387" i="1" s="1"/>
  <c r="AB31" i="1"/>
  <c r="AB387" i="1" s="1"/>
  <c r="P31" i="1"/>
  <c r="P387" i="1" s="1"/>
  <c r="O46" i="1"/>
  <c r="O449" i="1" s="1"/>
  <c r="O287" i="1"/>
  <c r="O31" i="1"/>
  <c r="O387" i="1" s="1"/>
  <c r="N31" i="1"/>
  <c r="N387" i="1" s="1"/>
  <c r="L298" i="5"/>
  <c r="AB125" i="5"/>
  <c r="W125" i="5"/>
  <c r="V125" i="5"/>
  <c r="U125" i="5"/>
  <c r="S292" i="5"/>
  <c r="O11" i="5"/>
  <c r="O292" i="5"/>
  <c r="L70" i="5"/>
  <c r="W292" i="5"/>
  <c r="AC125" i="5"/>
  <c r="AA292" i="5"/>
  <c r="O301" i="5"/>
  <c r="O303" i="5" s="1"/>
  <c r="X125" i="5"/>
  <c r="Q320" i="5"/>
  <c r="P321" i="5"/>
  <c r="Y125" i="5"/>
  <c r="Z125" i="5"/>
  <c r="AA125" i="5"/>
  <c r="O321" i="5"/>
  <c r="L135" i="1"/>
  <c r="Q320" i="1"/>
  <c r="R320" i="1" s="1"/>
  <c r="P88" i="1"/>
  <c r="Q88" i="1" s="1"/>
  <c r="R88" i="1" s="1"/>
  <c r="S88" i="1" s="1"/>
  <c r="T88" i="1" s="1"/>
  <c r="U88" i="1" s="1"/>
  <c r="V88" i="1" s="1"/>
  <c r="W88" i="1" s="1"/>
  <c r="X88" i="1" s="1"/>
  <c r="Y88" i="1" s="1"/>
  <c r="Z88" i="1" s="1"/>
  <c r="AA88" i="1" s="1"/>
  <c r="AB88" i="1" s="1"/>
  <c r="AC88" i="1" s="1"/>
  <c r="J27" i="1"/>
  <c r="L231" i="1"/>
  <c r="O11" i="1"/>
  <c r="O91" i="1" s="1"/>
  <c r="L156" i="1"/>
  <c r="L119" i="1"/>
  <c r="L139" i="1"/>
  <c r="L132" i="1"/>
  <c r="L190" i="1" s="1"/>
  <c r="L140" i="1"/>
  <c r="P89" i="1"/>
  <c r="L130" i="1"/>
  <c r="L188" i="1" s="1"/>
  <c r="AC125" i="1"/>
  <c r="AC126" i="5" s="1"/>
  <c r="AC183" i="5" s="1"/>
  <c r="L236" i="1"/>
  <c r="O321" i="1"/>
  <c r="O42" i="1"/>
  <c r="L127" i="1"/>
  <c r="L184" i="1" s="1"/>
  <c r="L128" i="1"/>
  <c r="L185" i="1" s="1"/>
  <c r="N268" i="1"/>
  <c r="L149" i="1"/>
  <c r="L30" i="1"/>
  <c r="W125" i="1"/>
  <c r="W126" i="5" s="1"/>
  <c r="W183" i="5" s="1"/>
  <c r="AA125" i="1"/>
  <c r="AA126" i="5" s="1"/>
  <c r="AA183" i="5" s="1"/>
  <c r="AA133" i="1"/>
  <c r="AC133" i="1"/>
  <c r="K167" i="1"/>
  <c r="L167" i="1" s="1"/>
  <c r="U292" i="1"/>
  <c r="N292" i="1"/>
  <c r="N293" i="1" s="1"/>
  <c r="L70" i="1"/>
  <c r="Q133" i="1"/>
  <c r="Q125" i="1"/>
  <c r="L131" i="1"/>
  <c r="L189" i="1" s="1"/>
  <c r="L63" i="1"/>
  <c r="T205" i="1"/>
  <c r="T284" i="1" s="1"/>
  <c r="U85" i="1"/>
  <c r="V85" i="1" s="1"/>
  <c r="W85" i="1" s="1"/>
  <c r="X85" i="1" s="1"/>
  <c r="S94" i="1"/>
  <c r="T94" i="1" s="1"/>
  <c r="U94" i="1" s="1"/>
  <c r="V94" i="1" s="1"/>
  <c r="W94" i="1" s="1"/>
  <c r="X94" i="1" s="1"/>
  <c r="Y94" i="1" s="1"/>
  <c r="Z94" i="1" s="1"/>
  <c r="AA94" i="1" s="1"/>
  <c r="AB94" i="1" s="1"/>
  <c r="AC94" i="1" s="1"/>
  <c r="V133" i="1"/>
  <c r="V134" i="5" s="1"/>
  <c r="V192" i="5" s="1"/>
  <c r="V125" i="1"/>
  <c r="V126" i="5" s="1"/>
  <c r="V183" i="5" s="1"/>
  <c r="V292" i="1"/>
  <c r="L79" i="1"/>
  <c r="Q95" i="1"/>
  <c r="R95" i="1" s="1"/>
  <c r="S95" i="1" s="1"/>
  <c r="T95" i="1" s="1"/>
  <c r="U95" i="1" s="1"/>
  <c r="V95" i="1" s="1"/>
  <c r="W95" i="1" s="1"/>
  <c r="X95" i="1" s="1"/>
  <c r="Y95" i="1" s="1"/>
  <c r="Z95" i="1" s="1"/>
  <c r="AA95" i="1" s="1"/>
  <c r="AB95" i="1" s="1"/>
  <c r="AC95" i="1" s="1"/>
  <c r="S181" i="1"/>
  <c r="P124" i="1"/>
  <c r="P182" i="1" s="1"/>
  <c r="Z133" i="1"/>
  <c r="Z134" i="5" s="1"/>
  <c r="Z192" i="5" s="1"/>
  <c r="Z125" i="1"/>
  <c r="Z126" i="5" s="1"/>
  <c r="Z183" i="5" s="1"/>
  <c r="Q298" i="1"/>
  <c r="R194" i="1"/>
  <c r="S16" i="1"/>
  <c r="Y352" i="1" s="1"/>
  <c r="O177" i="1"/>
  <c r="O176" i="1"/>
  <c r="O193" i="1"/>
  <c r="O205" i="1"/>
  <c r="O284" i="1" s="1"/>
  <c r="O247" i="1"/>
  <c r="O247" i="5" s="1"/>
  <c r="O200" i="1"/>
  <c r="O192" i="1"/>
  <c r="I118" i="1"/>
  <c r="W177" i="1"/>
  <c r="W176" i="1"/>
  <c r="W192" i="1"/>
  <c r="W247" i="1"/>
  <c r="W247" i="5" s="1"/>
  <c r="W193" i="1"/>
  <c r="W194" i="1"/>
  <c r="O178" i="1"/>
  <c r="W178" i="1"/>
  <c r="S179" i="1"/>
  <c r="K123" i="1"/>
  <c r="L123" i="1" s="1"/>
  <c r="K126" i="1"/>
  <c r="L126" i="1" s="1"/>
  <c r="L183" i="1" s="1"/>
  <c r="R298" i="1"/>
  <c r="S194" i="1"/>
  <c r="N86" i="1"/>
  <c r="N206" i="1" s="1"/>
  <c r="U176" i="1"/>
  <c r="N177" i="1"/>
  <c r="K121" i="1"/>
  <c r="L121" i="1" s="1"/>
  <c r="AB133" i="1"/>
  <c r="AB134" i="5" s="1"/>
  <c r="AB192" i="5" s="1"/>
  <c r="AB125" i="1"/>
  <c r="AB126" i="5" s="1"/>
  <c r="AB183" i="5" s="1"/>
  <c r="L150" i="1"/>
  <c r="P177" i="1"/>
  <c r="U179" i="1"/>
  <c r="P205" i="1"/>
  <c r="P284" i="1" s="1"/>
  <c r="P200" i="1"/>
  <c r="P247" i="1"/>
  <c r="P192" i="1"/>
  <c r="P193" i="1"/>
  <c r="U181" i="1"/>
  <c r="R124" i="1"/>
  <c r="R182" i="1" s="1"/>
  <c r="K134" i="1"/>
  <c r="L134" i="1" s="1"/>
  <c r="K137" i="1"/>
  <c r="L137" i="1" s="1"/>
  <c r="L194" i="1" s="1"/>
  <c r="Z292" i="1"/>
  <c r="Q177" i="1"/>
  <c r="Q176" i="1"/>
  <c r="Q247" i="1"/>
  <c r="Q193" i="1"/>
  <c r="Q205" i="1"/>
  <c r="Q284" i="1" s="1"/>
  <c r="Q192" i="1"/>
  <c r="Q178" i="1"/>
  <c r="T124" i="1"/>
  <c r="T182" i="1" s="1"/>
  <c r="T298" i="1"/>
  <c r="V179" i="1"/>
  <c r="R292" i="1"/>
  <c r="R192" i="1"/>
  <c r="R205" i="1"/>
  <c r="R284" i="1" s="1"/>
  <c r="R247" i="1"/>
  <c r="R176" i="1"/>
  <c r="R193" i="1"/>
  <c r="W133" i="1"/>
  <c r="W134" i="5" s="1"/>
  <c r="W192" i="5" s="1"/>
  <c r="L151" i="1"/>
  <c r="T292" i="1"/>
  <c r="AB292" i="1"/>
  <c r="N211" i="1"/>
  <c r="S247" i="1"/>
  <c r="S193" i="1"/>
  <c r="S192" i="1"/>
  <c r="S205" i="1"/>
  <c r="S284" i="1" s="1"/>
  <c r="S177" i="1"/>
  <c r="S124" i="1"/>
  <c r="S182" i="1" s="1"/>
  <c r="X125" i="1"/>
  <c r="X126" i="5" s="1"/>
  <c r="X183" i="5" s="1"/>
  <c r="K129" i="1"/>
  <c r="L129" i="1" s="1"/>
  <c r="L186" i="1" s="1"/>
  <c r="N298" i="1"/>
  <c r="V298" i="1"/>
  <c r="X133" i="1"/>
  <c r="X134" i="5" s="1"/>
  <c r="X192" i="5" s="1"/>
  <c r="L157" i="1"/>
  <c r="L176" i="1"/>
  <c r="V177" i="1"/>
  <c r="O286" i="1"/>
  <c r="P100" i="1"/>
  <c r="P101" i="5" s="1"/>
  <c r="K122" i="1"/>
  <c r="L122" i="1" s="1"/>
  <c r="N124" i="1"/>
  <c r="N182" i="1" s="1"/>
  <c r="O125" i="1"/>
  <c r="Y125" i="1"/>
  <c r="Y126" i="5" s="1"/>
  <c r="Y183" i="5" s="1"/>
  <c r="O298" i="1"/>
  <c r="W298" i="1"/>
  <c r="O133" i="1"/>
  <c r="O134" i="5" s="1"/>
  <c r="O192" i="5" s="1"/>
  <c r="Y133" i="1"/>
  <c r="Y134" i="5" s="1"/>
  <c r="Y192" i="5" s="1"/>
  <c r="K136" i="1"/>
  <c r="L136" i="1" s="1"/>
  <c r="L148" i="1"/>
  <c r="L152" i="1"/>
  <c r="P176" i="1"/>
  <c r="S178" i="1"/>
  <c r="U247" i="1"/>
  <c r="U247" i="5" s="1"/>
  <c r="U192" i="1"/>
  <c r="U193" i="1"/>
  <c r="U194" i="1"/>
  <c r="U177" i="1"/>
  <c r="U124" i="1"/>
  <c r="U182" i="1" s="1"/>
  <c r="U180" i="1"/>
  <c r="L120" i="1"/>
  <c r="P298" i="1"/>
  <c r="L158" i="1"/>
  <c r="S176" i="1"/>
  <c r="U178" i="1"/>
  <c r="T247" i="1"/>
  <c r="T192" i="1"/>
  <c r="O179" i="1"/>
  <c r="W179" i="1"/>
  <c r="O181" i="1"/>
  <c r="W181" i="1"/>
  <c r="N247" i="1"/>
  <c r="N212" i="1"/>
  <c r="N205" i="1"/>
  <c r="N200" i="1"/>
  <c r="V247" i="1"/>
  <c r="V247" i="5" s="1"/>
  <c r="Q179" i="1"/>
  <c r="Q181" i="1"/>
  <c r="U298" i="1"/>
  <c r="P194" i="1"/>
  <c r="L161" i="1"/>
  <c r="T193" i="1"/>
  <c r="N213" i="1"/>
  <c r="O301" i="1"/>
  <c r="O303" i="1" s="1"/>
  <c r="O433" i="5" l="1"/>
  <c r="O91" i="5"/>
  <c r="O433" i="1"/>
  <c r="O307" i="1"/>
  <c r="O402" i="1"/>
  <c r="O367" i="1"/>
  <c r="P354" i="1"/>
  <c r="S352" i="1"/>
  <c r="L387" i="1"/>
  <c r="O258" i="5"/>
  <c r="O367" i="5"/>
  <c r="L16" i="1"/>
  <c r="P353" i="1" s="1"/>
  <c r="S372" i="1"/>
  <c r="S434" i="1" s="1"/>
  <c r="O41" i="1"/>
  <c r="O448" i="1" s="1"/>
  <c r="O398" i="1"/>
  <c r="L25" i="1"/>
  <c r="P357" i="1" s="1"/>
  <c r="N381" i="1"/>
  <c r="L381" i="1" s="1"/>
  <c r="V357" i="1" s="1"/>
  <c r="Q12" i="5"/>
  <c r="P368" i="5"/>
  <c r="Q12" i="1"/>
  <c r="P368" i="1"/>
  <c r="J26" i="5"/>
  <c r="U230" i="1"/>
  <c r="U380" i="1"/>
  <c r="Z230" i="1"/>
  <c r="Z380" i="1"/>
  <c r="R230" i="1"/>
  <c r="R380" i="1"/>
  <c r="W230" i="1"/>
  <c r="W380" i="1"/>
  <c r="S230" i="1"/>
  <c r="S380" i="1"/>
  <c r="AA230" i="1"/>
  <c r="AA380" i="1"/>
  <c r="X230" i="1"/>
  <c r="X323" i="1" s="1"/>
  <c r="X380" i="1"/>
  <c r="V230" i="1"/>
  <c r="V380" i="1"/>
  <c r="Y230" i="1"/>
  <c r="Y380" i="1"/>
  <c r="Q230" i="1"/>
  <c r="Q232" i="1" s="1"/>
  <c r="Q441" i="1" s="1"/>
  <c r="Q380" i="1"/>
  <c r="O230" i="1"/>
  <c r="O232" i="1" s="1"/>
  <c r="O441" i="1" s="1"/>
  <c r="O380" i="1"/>
  <c r="P230" i="1"/>
  <c r="P232" i="1" s="1"/>
  <c r="P441" i="1" s="1"/>
  <c r="P380" i="1"/>
  <c r="T230" i="1"/>
  <c r="T380" i="1"/>
  <c r="AC230" i="1"/>
  <c r="AC323" i="1" s="1"/>
  <c r="AC380" i="1"/>
  <c r="AB230" i="1"/>
  <c r="AB380" i="1"/>
  <c r="O258" i="1"/>
  <c r="N160" i="1"/>
  <c r="N161" i="5" s="1"/>
  <c r="K161" i="5" s="1"/>
  <c r="N292" i="5"/>
  <c r="N293" i="5" s="1"/>
  <c r="O291" i="5" s="1"/>
  <c r="O293" i="5" s="1"/>
  <c r="AC133" i="5"/>
  <c r="AC138" i="1"/>
  <c r="AC143" i="1" s="1"/>
  <c r="AC144" i="1" s="1"/>
  <c r="AC134" i="5"/>
  <c r="AC192" i="5" s="1"/>
  <c r="AA153" i="1"/>
  <c r="AA159" i="1" s="1"/>
  <c r="AA134" i="5"/>
  <c r="AA192" i="5" s="1"/>
  <c r="O212" i="5"/>
  <c r="O89" i="5" s="1"/>
  <c r="X133" i="5"/>
  <c r="V133" i="5"/>
  <c r="V153" i="5" s="1"/>
  <c r="AA133" i="5"/>
  <c r="AA153" i="5" s="1"/>
  <c r="AA18" i="5" s="1"/>
  <c r="Y133" i="5"/>
  <c r="AB133" i="5"/>
  <c r="P302" i="5"/>
  <c r="P63" i="5"/>
  <c r="AC231" i="5"/>
  <c r="W133" i="5"/>
  <c r="Z133" i="5"/>
  <c r="Z153" i="5" s="1"/>
  <c r="Z154" i="5" s="1"/>
  <c r="O277" i="1"/>
  <c r="O243" i="1"/>
  <c r="O223" i="1"/>
  <c r="O173" i="1"/>
  <c r="O197" i="1"/>
  <c r="O113" i="1"/>
  <c r="O51" i="1"/>
  <c r="O67" i="1"/>
  <c r="O67" i="5"/>
  <c r="O277" i="5"/>
  <c r="O243" i="5"/>
  <c r="O223" i="5"/>
  <c r="O173" i="5"/>
  <c r="O197" i="5"/>
  <c r="O113" i="5"/>
  <c r="O51" i="5"/>
  <c r="P281" i="1"/>
  <c r="P282" i="1"/>
  <c r="P283" i="1"/>
  <c r="R78" i="1"/>
  <c r="R211" i="1" s="1"/>
  <c r="R286" i="1" s="1"/>
  <c r="Q204" i="1"/>
  <c r="Q45" i="1" s="1"/>
  <c r="Q401" i="1" s="1"/>
  <c r="Q203" i="1"/>
  <c r="Q44" i="1" s="1"/>
  <c r="Q400" i="1" s="1"/>
  <c r="Q202" i="1"/>
  <c r="Q43" i="1" s="1"/>
  <c r="Q399" i="1" s="1"/>
  <c r="Q201" i="1"/>
  <c r="Q280" i="1" s="1"/>
  <c r="N268" i="5"/>
  <c r="AA138" i="1"/>
  <c r="AA143" i="1" s="1"/>
  <c r="AA144" i="1" s="1"/>
  <c r="N304" i="5"/>
  <c r="U205" i="1"/>
  <c r="U284" i="1" s="1"/>
  <c r="P211" i="1"/>
  <c r="P286" i="1" s="1"/>
  <c r="N164" i="1"/>
  <c r="N284" i="1"/>
  <c r="Q321" i="1"/>
  <c r="N309" i="1"/>
  <c r="N213" i="5"/>
  <c r="N309" i="5" s="1"/>
  <c r="N297" i="5"/>
  <c r="N299" i="5" s="1"/>
  <c r="R297" i="5"/>
  <c r="R299" i="5" s="1"/>
  <c r="V297" i="5"/>
  <c r="V299" i="5" s="1"/>
  <c r="Z297" i="5"/>
  <c r="Z299" i="5" s="1"/>
  <c r="W297" i="5"/>
  <c r="W299" i="5" s="1"/>
  <c r="AA297" i="5"/>
  <c r="AA299" i="5" s="1"/>
  <c r="S297" i="5"/>
  <c r="S299" i="5" s="1"/>
  <c r="P297" i="5"/>
  <c r="P299" i="5" s="1"/>
  <c r="AC297" i="5"/>
  <c r="AC299" i="5" s="1"/>
  <c r="X297" i="5"/>
  <c r="X299" i="5" s="1"/>
  <c r="AB297" i="5"/>
  <c r="AB299" i="5" s="1"/>
  <c r="T297" i="5"/>
  <c r="T299" i="5" s="1"/>
  <c r="Q297" i="5"/>
  <c r="Q299" i="5" s="1"/>
  <c r="O297" i="5"/>
  <c r="O299" i="5" s="1"/>
  <c r="U297" i="5"/>
  <c r="U299" i="5" s="1"/>
  <c r="Y297" i="5"/>
  <c r="Y299" i="5" s="1"/>
  <c r="L31" i="1"/>
  <c r="O48" i="1"/>
  <c r="O451" i="1" s="1"/>
  <c r="N287" i="1"/>
  <c r="W191" i="5"/>
  <c r="W195" i="5" s="1"/>
  <c r="W17" i="5"/>
  <c r="W373" i="5" s="1"/>
  <c r="AB191" i="5"/>
  <c r="AB195" i="5" s="1"/>
  <c r="AB17" i="5"/>
  <c r="AB373" i="5" s="1"/>
  <c r="U17" i="5"/>
  <c r="U373" i="5" s="1"/>
  <c r="X191" i="5"/>
  <c r="X195" i="5" s="1"/>
  <c r="X17" i="5"/>
  <c r="X373" i="5" s="1"/>
  <c r="N307" i="5"/>
  <c r="P11" i="5"/>
  <c r="V191" i="5"/>
  <c r="V195" i="5" s="1"/>
  <c r="V17" i="5"/>
  <c r="V373" i="5" s="1"/>
  <c r="Q321" i="5"/>
  <c r="R320" i="5"/>
  <c r="P301" i="5"/>
  <c r="AC191" i="5"/>
  <c r="AC17" i="5"/>
  <c r="AC373" i="5" s="1"/>
  <c r="AA191" i="5"/>
  <c r="AA17" i="5"/>
  <c r="AA373" i="5" s="1"/>
  <c r="Z191" i="5"/>
  <c r="Z195" i="5" s="1"/>
  <c r="Z17" i="5"/>
  <c r="Z373" i="5" s="1"/>
  <c r="Y191" i="5"/>
  <c r="Y195" i="5" s="1"/>
  <c r="Y17" i="5"/>
  <c r="Y373" i="5" s="1"/>
  <c r="P231" i="5"/>
  <c r="Q231" i="5"/>
  <c r="O231" i="5"/>
  <c r="X231" i="5"/>
  <c r="V205" i="1"/>
  <c r="V284" i="1" s="1"/>
  <c r="L192" i="1"/>
  <c r="L95" i="1"/>
  <c r="Q211" i="1"/>
  <c r="P11" i="1"/>
  <c r="P91" i="1" s="1"/>
  <c r="AC191" i="1"/>
  <c r="AC195" i="1" s="1"/>
  <c r="AC17" i="1"/>
  <c r="AC373" i="1" s="1"/>
  <c r="Y231" i="5"/>
  <c r="L88" i="1"/>
  <c r="P212" i="1"/>
  <c r="Q89" i="1"/>
  <c r="L94" i="1"/>
  <c r="L193" i="1"/>
  <c r="AC153" i="1"/>
  <c r="AC159" i="1" s="1"/>
  <c r="N109" i="1"/>
  <c r="AA191" i="1"/>
  <c r="AA195" i="1" s="1"/>
  <c r="AA17" i="1"/>
  <c r="AA373" i="1" s="1"/>
  <c r="W191" i="1"/>
  <c r="W195" i="1" s="1"/>
  <c r="W17" i="1"/>
  <c r="W373" i="1" s="1"/>
  <c r="R321" i="1"/>
  <c r="S320" i="1"/>
  <c r="U133" i="1"/>
  <c r="U134" i="5" s="1"/>
  <c r="U192" i="5" s="1"/>
  <c r="U125" i="1"/>
  <c r="U126" i="5" s="1"/>
  <c r="U183" i="5" s="1"/>
  <c r="Q279" i="1"/>
  <c r="Q108" i="1"/>
  <c r="Q40" i="1"/>
  <c r="Q447" i="1" s="1"/>
  <c r="L298" i="1"/>
  <c r="T231" i="5"/>
  <c r="W138" i="1"/>
  <c r="W143" i="1" s="1"/>
  <c r="W144" i="1" s="1"/>
  <c r="W153" i="1"/>
  <c r="O279" i="1"/>
  <c r="O108" i="1"/>
  <c r="O40" i="1"/>
  <c r="O447" i="1" s="1"/>
  <c r="P133" i="1"/>
  <c r="P125" i="1"/>
  <c r="R231" i="5"/>
  <c r="T133" i="1"/>
  <c r="T125" i="1"/>
  <c r="Z231" i="5"/>
  <c r="L315" i="1"/>
  <c r="Q191" i="1"/>
  <c r="Q195" i="1" s="1"/>
  <c r="Q17" i="1"/>
  <c r="Q373" i="1" s="1"/>
  <c r="N279" i="1"/>
  <c r="N108" i="1"/>
  <c r="N40" i="1"/>
  <c r="N447" i="1" s="1"/>
  <c r="X191" i="1"/>
  <c r="X195" i="1" s="1"/>
  <c r="X17" i="1"/>
  <c r="X373" i="1" s="1"/>
  <c r="R133" i="1"/>
  <c r="R125" i="1"/>
  <c r="K160" i="1"/>
  <c r="L160" i="1" s="1"/>
  <c r="W205" i="1"/>
  <c r="W284" i="1" s="1"/>
  <c r="V191" i="1"/>
  <c r="V195" i="1" s="1"/>
  <c r="V17" i="1"/>
  <c r="V373" i="1" s="1"/>
  <c r="AB297" i="1"/>
  <c r="AB299" i="1" s="1"/>
  <c r="AB207" i="1" s="1"/>
  <c r="T297" i="1"/>
  <c r="T299" i="1" s="1"/>
  <c r="T207" i="1" s="1"/>
  <c r="Z297" i="1"/>
  <c r="Z299" i="1" s="1"/>
  <c r="Z207" i="1" s="1"/>
  <c r="R297" i="1"/>
  <c r="R299" i="1" s="1"/>
  <c r="R207" i="1" s="1"/>
  <c r="W297" i="1"/>
  <c r="W299" i="1" s="1"/>
  <c r="W207" i="1" s="1"/>
  <c r="O297" i="1"/>
  <c r="O299" i="1" s="1"/>
  <c r="O207" i="1" s="1"/>
  <c r="V297" i="1"/>
  <c r="V299" i="1" s="1"/>
  <c r="V207" i="1" s="1"/>
  <c r="N297" i="1"/>
  <c r="AC297" i="1"/>
  <c r="AC299" i="1" s="1"/>
  <c r="AC207" i="1" s="1"/>
  <c r="U297" i="1"/>
  <c r="U299" i="1" s="1"/>
  <c r="U207" i="1" s="1"/>
  <c r="P297" i="1"/>
  <c r="P299" i="1" s="1"/>
  <c r="P207" i="1" s="1"/>
  <c r="X297" i="1"/>
  <c r="X299" i="1" s="1"/>
  <c r="X207" i="1" s="1"/>
  <c r="S297" i="1"/>
  <c r="S299" i="1" s="1"/>
  <c r="S207" i="1" s="1"/>
  <c r="Q297" i="1"/>
  <c r="Q299" i="1" s="1"/>
  <c r="Q207" i="1" s="1"/>
  <c r="AA297" i="1"/>
  <c r="AA299" i="1" s="1"/>
  <c r="AA207" i="1" s="1"/>
  <c r="Y297" i="1"/>
  <c r="Y299" i="1" s="1"/>
  <c r="Y207" i="1" s="1"/>
  <c r="Q153" i="1"/>
  <c r="Q138" i="1"/>
  <c r="Q143" i="1" s="1"/>
  <c r="Q144" i="1" s="1"/>
  <c r="N48" i="1"/>
  <c r="N451" i="1" s="1"/>
  <c r="Y191" i="1"/>
  <c r="Y195" i="1" s="1"/>
  <c r="Y17" i="1"/>
  <c r="Y373" i="1" s="1"/>
  <c r="Q100" i="1"/>
  <c r="Q101" i="5" s="1"/>
  <c r="K124" i="1"/>
  <c r="N42" i="1"/>
  <c r="V153" i="1"/>
  <c r="V138" i="1"/>
  <c r="V143" i="1" s="1"/>
  <c r="V144" i="1" s="1"/>
  <c r="O291" i="1"/>
  <c r="O293" i="1" s="1"/>
  <c r="N286" i="1"/>
  <c r="N214" i="1"/>
  <c r="N46" i="1"/>
  <c r="N449" i="1" s="1"/>
  <c r="Y153" i="1"/>
  <c r="Y138" i="1"/>
  <c r="Y143" i="1" s="1"/>
  <c r="Y144" i="1" s="1"/>
  <c r="O191" i="1"/>
  <c r="O195" i="1" s="1"/>
  <c r="O17" i="1"/>
  <c r="O373" i="1" s="1"/>
  <c r="O304" i="1"/>
  <c r="X138" i="1"/>
  <c r="X143" i="1" s="1"/>
  <c r="X144" i="1" s="1"/>
  <c r="X153" i="1"/>
  <c r="P279" i="1"/>
  <c r="P108" i="1"/>
  <c r="P40" i="1"/>
  <c r="P447" i="1" s="1"/>
  <c r="AB191" i="1"/>
  <c r="AB195" i="1" s="1"/>
  <c r="AB17" i="1"/>
  <c r="AB373" i="1" s="1"/>
  <c r="X205" i="1"/>
  <c r="X284" i="1" s="1"/>
  <c r="Y85" i="1"/>
  <c r="AB138" i="1"/>
  <c r="AB143" i="1" s="1"/>
  <c r="AB144" i="1" s="1"/>
  <c r="AB153" i="1"/>
  <c r="O109" i="1"/>
  <c r="Z191" i="1"/>
  <c r="Z195" i="1" s="1"/>
  <c r="Z17" i="1"/>
  <c r="Z373" i="1" s="1"/>
  <c r="S133" i="1"/>
  <c r="S125" i="1"/>
  <c r="I160" i="1"/>
  <c r="I142" i="1"/>
  <c r="I130" i="1"/>
  <c r="I161" i="1"/>
  <c r="I114" i="1"/>
  <c r="I140" i="1"/>
  <c r="I119" i="1"/>
  <c r="I137" i="1"/>
  <c r="I134" i="1"/>
  <c r="I139" i="1"/>
  <c r="Z138" i="1"/>
  <c r="Z143" i="1" s="1"/>
  <c r="Z144" i="1" s="1"/>
  <c r="Z153" i="1"/>
  <c r="K16" i="1"/>
  <c r="O138" i="1"/>
  <c r="O143" i="1" s="1"/>
  <c r="O144" i="1" s="1"/>
  <c r="O153" i="1"/>
  <c r="AB231" i="5"/>
  <c r="L247" i="1"/>
  <c r="S231" i="5"/>
  <c r="U231" i="5"/>
  <c r="N133" i="1"/>
  <c r="N125" i="1"/>
  <c r="P301" i="1"/>
  <c r="P303" i="1" s="1"/>
  <c r="O213" i="1"/>
  <c r="P433" i="5" l="1"/>
  <c r="P91" i="5"/>
  <c r="O263" i="1"/>
  <c r="P433" i="1"/>
  <c r="P307" i="1"/>
  <c r="P396" i="1"/>
  <c r="O404" i="1"/>
  <c r="O397" i="1"/>
  <c r="O396" i="1"/>
  <c r="Q396" i="1"/>
  <c r="N402" i="1"/>
  <c r="AC232" i="1"/>
  <c r="AC441" i="1" s="1"/>
  <c r="N404" i="1"/>
  <c r="N396" i="1"/>
  <c r="O54" i="1"/>
  <c r="Q263" i="1"/>
  <c r="P263" i="1"/>
  <c r="P367" i="1"/>
  <c r="Y353" i="1"/>
  <c r="S353" i="1"/>
  <c r="K372" i="1"/>
  <c r="V354" i="1"/>
  <c r="L372" i="1"/>
  <c r="V353" i="1" s="1"/>
  <c r="P323" i="1"/>
  <c r="R12" i="1"/>
  <c r="Q368" i="1"/>
  <c r="R12" i="5"/>
  <c r="Q368" i="5"/>
  <c r="P258" i="5"/>
  <c r="P367" i="5"/>
  <c r="N41" i="1"/>
  <c r="N448" i="1" s="1"/>
  <c r="N398" i="1"/>
  <c r="AA19" i="5"/>
  <c r="AA374" i="5"/>
  <c r="AA375" i="5" s="1"/>
  <c r="Q54" i="1"/>
  <c r="P303" i="5"/>
  <c r="Q301" i="5" s="1"/>
  <c r="X232" i="1"/>
  <c r="X441" i="1" s="1"/>
  <c r="J164" i="1"/>
  <c r="K24" i="1"/>
  <c r="P54" i="1"/>
  <c r="O323" i="1"/>
  <c r="Q323" i="1"/>
  <c r="V138" i="5"/>
  <c r="Z18" i="5"/>
  <c r="Z159" i="5"/>
  <c r="Z138" i="5"/>
  <c r="P258" i="1"/>
  <c r="AS73" i="1"/>
  <c r="O86" i="1" s="1"/>
  <c r="O206" i="1" s="1"/>
  <c r="AA18" i="1"/>
  <c r="AA154" i="1"/>
  <c r="N69" i="1"/>
  <c r="N167" i="5"/>
  <c r="AA139" i="5"/>
  <c r="AA142" i="5" s="1"/>
  <c r="AC139" i="5"/>
  <c r="AC142" i="5" s="1"/>
  <c r="W153" i="5"/>
  <c r="W138" i="5"/>
  <c r="Y162" i="1"/>
  <c r="Y139" i="5"/>
  <c r="Y142" i="5" s="1"/>
  <c r="AC153" i="5"/>
  <c r="AC138" i="5"/>
  <c r="AB162" i="1"/>
  <c r="AB139" i="5"/>
  <c r="AB142" i="5" s="1"/>
  <c r="Z139" i="5"/>
  <c r="Z142" i="5" s="1"/>
  <c r="W231" i="5"/>
  <c r="AA138" i="5"/>
  <c r="Y153" i="5"/>
  <c r="Y138" i="5"/>
  <c r="Q162" i="1"/>
  <c r="Q139" i="5"/>
  <c r="Q142" i="5" s="1"/>
  <c r="U191" i="5"/>
  <c r="U195" i="5" s="1"/>
  <c r="U133" i="5"/>
  <c r="O287" i="5"/>
  <c r="O162" i="1"/>
  <c r="O139" i="5"/>
  <c r="O142" i="5" s="1"/>
  <c r="V139" i="5"/>
  <c r="V142" i="5" s="1"/>
  <c r="V231" i="5"/>
  <c r="W139" i="5"/>
  <c r="W142" i="5" s="1"/>
  <c r="AA231" i="5"/>
  <c r="X153" i="5"/>
  <c r="X138" i="5"/>
  <c r="X162" i="1"/>
  <c r="X139" i="5"/>
  <c r="X142" i="5" s="1"/>
  <c r="AC195" i="5"/>
  <c r="Q302" i="5"/>
  <c r="Q63" i="5"/>
  <c r="AA195" i="5"/>
  <c r="AB138" i="5"/>
  <c r="AB153" i="5"/>
  <c r="P277" i="1"/>
  <c r="P243" i="1"/>
  <c r="P223" i="1"/>
  <c r="P173" i="1"/>
  <c r="P197" i="1"/>
  <c r="P113" i="1"/>
  <c r="P51" i="1"/>
  <c r="P67" i="1"/>
  <c r="P67" i="5"/>
  <c r="P277" i="5"/>
  <c r="P243" i="5"/>
  <c r="P223" i="5"/>
  <c r="P173" i="5"/>
  <c r="P197" i="5"/>
  <c r="P113" i="5"/>
  <c r="P51" i="5"/>
  <c r="N295" i="1"/>
  <c r="O295" i="1" s="1"/>
  <c r="Q281" i="1"/>
  <c r="Q282" i="1"/>
  <c r="Q283" i="1"/>
  <c r="R204" i="1"/>
  <c r="R45" i="1" s="1"/>
  <c r="R401" i="1" s="1"/>
  <c r="R203" i="1"/>
  <c r="R44" i="1" s="1"/>
  <c r="R400" i="1" s="1"/>
  <c r="R202" i="1"/>
  <c r="R43" i="1" s="1"/>
  <c r="R399" i="1" s="1"/>
  <c r="R201" i="1"/>
  <c r="R280" i="1" s="1"/>
  <c r="R200" i="1"/>
  <c r="S78" i="1"/>
  <c r="P46" i="1"/>
  <c r="P449" i="1" s="1"/>
  <c r="N168" i="5"/>
  <c r="N100" i="5" s="1"/>
  <c r="O108" i="5"/>
  <c r="N226" i="1"/>
  <c r="O304" i="5"/>
  <c r="O279" i="5"/>
  <c r="AA159" i="5"/>
  <c r="AA154" i="5"/>
  <c r="O213" i="5"/>
  <c r="O309" i="5" s="1"/>
  <c r="L297" i="5"/>
  <c r="K298" i="5" s="1"/>
  <c r="K297" i="5" s="1"/>
  <c r="K49" i="5" s="1"/>
  <c r="P49" i="1"/>
  <c r="P452" i="1" s="1"/>
  <c r="U49" i="1"/>
  <c r="U452" i="1" s="1"/>
  <c r="T49" i="1"/>
  <c r="T452" i="1" s="1"/>
  <c r="AC49" i="1"/>
  <c r="AC452" i="1" s="1"/>
  <c r="AB49" i="1"/>
  <c r="AB452" i="1" s="1"/>
  <c r="Y49" i="1"/>
  <c r="Y452" i="1" s="1"/>
  <c r="AA49" i="1"/>
  <c r="AA452" i="1" s="1"/>
  <c r="V49" i="1"/>
  <c r="V452" i="1" s="1"/>
  <c r="Q49" i="1"/>
  <c r="Q452" i="1" s="1"/>
  <c r="O49" i="1"/>
  <c r="O452" i="1" s="1"/>
  <c r="S49" i="1"/>
  <c r="S452" i="1" s="1"/>
  <c r="W49" i="1"/>
  <c r="W452" i="1" s="1"/>
  <c r="Z49" i="1"/>
  <c r="Z452" i="1" s="1"/>
  <c r="X49" i="1"/>
  <c r="X452" i="1" s="1"/>
  <c r="R49" i="1"/>
  <c r="R452" i="1" s="1"/>
  <c r="Q286" i="1"/>
  <c r="R46" i="1"/>
  <c r="R449" i="1" s="1"/>
  <c r="Q42" i="1"/>
  <c r="P109" i="1"/>
  <c r="P287" i="1"/>
  <c r="P291" i="5"/>
  <c r="P293" i="5" s="1"/>
  <c r="V159" i="5"/>
  <c r="V154" i="5"/>
  <c r="V18" i="5"/>
  <c r="O307" i="5"/>
  <c r="Q11" i="5"/>
  <c r="R321" i="5"/>
  <c r="S320" i="5"/>
  <c r="Q46" i="1"/>
  <c r="Q449" i="1" s="1"/>
  <c r="P48" i="1"/>
  <c r="P451" i="1" s="1"/>
  <c r="Q109" i="1"/>
  <c r="Q11" i="1"/>
  <c r="Q91" i="1" s="1"/>
  <c r="Q212" i="1"/>
  <c r="R89" i="1"/>
  <c r="Y323" i="1"/>
  <c r="Y232" i="1"/>
  <c r="Y441" i="1" s="1"/>
  <c r="AC154" i="1"/>
  <c r="AA323" i="1"/>
  <c r="AA232" i="1"/>
  <c r="AA441" i="1" s="1"/>
  <c r="AC18" i="1"/>
  <c r="N191" i="1"/>
  <c r="N195" i="1" s="1"/>
  <c r="N17" i="1"/>
  <c r="N373" i="1" s="1"/>
  <c r="Z162" i="1"/>
  <c r="P291" i="1"/>
  <c r="P293" i="1" s="1"/>
  <c r="Q154" i="1"/>
  <c r="Q159" i="1"/>
  <c r="Q18" i="1"/>
  <c r="N248" i="1"/>
  <c r="Z323" i="1"/>
  <c r="Z232" i="1"/>
  <c r="Z441" i="1" s="1"/>
  <c r="U191" i="1"/>
  <c r="U195" i="1" s="1"/>
  <c r="U17" i="1"/>
  <c r="U373" i="1" s="1"/>
  <c r="AB159" i="1"/>
  <c r="AB154" i="1"/>
  <c r="AB18" i="1"/>
  <c r="W323" i="1"/>
  <c r="W232" i="1"/>
  <c r="W441" i="1" s="1"/>
  <c r="K133" i="1"/>
  <c r="L124" i="1"/>
  <c r="L182" i="1" s="1"/>
  <c r="L191" i="1" s="1"/>
  <c r="L195" i="1" s="1"/>
  <c r="K125" i="1"/>
  <c r="L17" i="1" s="1"/>
  <c r="T191" i="1"/>
  <c r="T195" i="1" s="1"/>
  <c r="T17" i="1"/>
  <c r="T373" i="1" s="1"/>
  <c r="O110" i="1"/>
  <c r="U138" i="1"/>
  <c r="U143" i="1" s="1"/>
  <c r="U144" i="1" s="1"/>
  <c r="U153" i="1"/>
  <c r="R323" i="1"/>
  <c r="R232" i="1"/>
  <c r="R441" i="1" s="1"/>
  <c r="O309" i="1"/>
  <c r="O214" i="1"/>
  <c r="U323" i="1"/>
  <c r="U232" i="1"/>
  <c r="U441" i="1" s="1"/>
  <c r="L297" i="1"/>
  <c r="K298" i="1" s="1"/>
  <c r="K297" i="1" s="1"/>
  <c r="K49" i="1" s="1"/>
  <c r="N299" i="1"/>
  <c r="N207" i="1" s="1"/>
  <c r="T153" i="1"/>
  <c r="T138" i="1"/>
  <c r="T143" i="1" s="1"/>
  <c r="T144" i="1" s="1"/>
  <c r="P42" i="1"/>
  <c r="V323" i="1"/>
  <c r="V232" i="1"/>
  <c r="V441" i="1" s="1"/>
  <c r="O248" i="1"/>
  <c r="S323" i="1"/>
  <c r="S232" i="1"/>
  <c r="S441" i="1" s="1"/>
  <c r="W159" i="1"/>
  <c r="W154" i="1"/>
  <c r="W18" i="1"/>
  <c r="W162" i="1"/>
  <c r="AB323" i="1"/>
  <c r="AB232" i="1"/>
  <c r="AB441" i="1" s="1"/>
  <c r="Q301" i="1"/>
  <c r="Q303" i="1" s="1"/>
  <c r="P213" i="1"/>
  <c r="O154" i="1"/>
  <c r="O159" i="1"/>
  <c r="O18" i="1"/>
  <c r="O168" i="1"/>
  <c r="T320" i="1"/>
  <c r="S321" i="1"/>
  <c r="S153" i="1"/>
  <c r="S138" i="1"/>
  <c r="S143" i="1" s="1"/>
  <c r="S144" i="1" s="1"/>
  <c r="P248" i="1"/>
  <c r="V159" i="1"/>
  <c r="V154" i="1"/>
  <c r="V18" i="1"/>
  <c r="P191" i="1"/>
  <c r="P195" i="1" s="1"/>
  <c r="P17" i="1"/>
  <c r="P373" i="1" s="1"/>
  <c r="Y205" i="1"/>
  <c r="Y284" i="1" s="1"/>
  <c r="Z85" i="1"/>
  <c r="X154" i="1"/>
  <c r="X159" i="1"/>
  <c r="X18" i="1"/>
  <c r="R100" i="1"/>
  <c r="R101" i="5" s="1"/>
  <c r="R191" i="1"/>
  <c r="R195" i="1" s="1"/>
  <c r="R17" i="1"/>
  <c r="R373" i="1" s="1"/>
  <c r="P138" i="1"/>
  <c r="P143" i="1" s="1"/>
  <c r="P144" i="1" s="1"/>
  <c r="P153" i="1"/>
  <c r="S191" i="1"/>
  <c r="S195" i="1" s="1"/>
  <c r="S17" i="1"/>
  <c r="S373" i="1" s="1"/>
  <c r="N138" i="1"/>
  <c r="N143" i="1" s="1"/>
  <c r="N144" i="1" s="1"/>
  <c r="N153" i="1"/>
  <c r="Z154" i="1"/>
  <c r="Z159" i="1"/>
  <c r="Z18" i="1"/>
  <c r="Y154" i="1"/>
  <c r="Y159" i="1"/>
  <c r="Y18" i="1"/>
  <c r="P304" i="1"/>
  <c r="R138" i="1"/>
  <c r="R143" i="1" s="1"/>
  <c r="R144" i="1" s="1"/>
  <c r="R153" i="1"/>
  <c r="N110" i="1"/>
  <c r="T323" i="1"/>
  <c r="T232" i="1"/>
  <c r="T441" i="1" s="1"/>
  <c r="Q248" i="1"/>
  <c r="AC54" i="1" l="1"/>
  <c r="Q433" i="5"/>
  <c r="Q91" i="5"/>
  <c r="Q433" i="1"/>
  <c r="Q307" i="1"/>
  <c r="P164" i="1"/>
  <c r="P404" i="1"/>
  <c r="AA405" i="1"/>
  <c r="X405" i="1"/>
  <c r="Y405" i="1"/>
  <c r="Z405" i="1"/>
  <c r="AB405" i="1"/>
  <c r="P402" i="1"/>
  <c r="W405" i="1"/>
  <c r="AC405" i="1"/>
  <c r="R405" i="1"/>
  <c r="S405" i="1"/>
  <c r="T405" i="1"/>
  <c r="O405" i="1"/>
  <c r="U405" i="1"/>
  <c r="R402" i="1"/>
  <c r="Q405" i="1"/>
  <c r="P405" i="1"/>
  <c r="Q402" i="1"/>
  <c r="V405" i="1"/>
  <c r="AC263" i="1"/>
  <c r="N397" i="1"/>
  <c r="X263" i="1"/>
  <c r="Q367" i="1"/>
  <c r="Y355" i="1"/>
  <c r="S355" i="1"/>
  <c r="X54" i="1"/>
  <c r="X19" i="1"/>
  <c r="X374" i="1"/>
  <c r="X375" i="1" s="1"/>
  <c r="P41" i="1"/>
  <c r="P448" i="1" s="1"/>
  <c r="P398" i="1"/>
  <c r="L373" i="1"/>
  <c r="V19" i="5"/>
  <c r="V374" i="5"/>
  <c r="V375" i="5" s="1"/>
  <c r="Q41" i="1"/>
  <c r="Q448" i="1" s="1"/>
  <c r="Q398" i="1"/>
  <c r="Z19" i="5"/>
  <c r="Z374" i="5"/>
  <c r="Z375" i="5" s="1"/>
  <c r="AA19" i="1"/>
  <c r="AA374" i="1"/>
  <c r="AA375" i="1" s="1"/>
  <c r="S12" i="5"/>
  <c r="R368" i="5"/>
  <c r="W19" i="1"/>
  <c r="W374" i="1"/>
  <c r="W375" i="1" s="1"/>
  <c r="AB19" i="1"/>
  <c r="AB374" i="1"/>
  <c r="AB375" i="1" s="1"/>
  <c r="Q19" i="1"/>
  <c r="Q374" i="1"/>
  <c r="Q375" i="1" s="1"/>
  <c r="Q258" i="5"/>
  <c r="Q367" i="5"/>
  <c r="O19" i="1"/>
  <c r="O374" i="1"/>
  <c r="O375" i="1" s="1"/>
  <c r="Y19" i="1"/>
  <c r="Y374" i="1"/>
  <c r="Y375" i="1" s="1"/>
  <c r="S12" i="1"/>
  <c r="R368" i="1"/>
  <c r="Z19" i="1"/>
  <c r="Z374" i="1"/>
  <c r="Z375" i="1" s="1"/>
  <c r="AC19" i="1"/>
  <c r="AC374" i="1"/>
  <c r="AC375" i="1" s="1"/>
  <c r="V19" i="1"/>
  <c r="V374" i="1"/>
  <c r="V375" i="1" s="1"/>
  <c r="AA143" i="5"/>
  <c r="W143" i="5"/>
  <c r="Y143" i="5"/>
  <c r="Y162" i="5" s="1"/>
  <c r="AC143" i="5"/>
  <c r="X143" i="5"/>
  <c r="X162" i="5" s="1"/>
  <c r="Z143" i="5"/>
  <c r="V143" i="5"/>
  <c r="AB143" i="5"/>
  <c r="AB162" i="5" s="1"/>
  <c r="AT73" i="1"/>
  <c r="O262" i="1" s="1"/>
  <c r="Q303" i="5"/>
  <c r="R301" i="5" s="1"/>
  <c r="Q258" i="1"/>
  <c r="AS74" i="1"/>
  <c r="AT74" i="1" s="1"/>
  <c r="W160" i="5"/>
  <c r="W73" i="5"/>
  <c r="W25" i="5" s="1"/>
  <c r="Y160" i="5"/>
  <c r="Y73" i="5"/>
  <c r="Y25" i="5" s="1"/>
  <c r="AA160" i="5"/>
  <c r="AA73" i="5"/>
  <c r="AA25" i="5" s="1"/>
  <c r="Z160" i="5"/>
  <c r="Z73" i="5"/>
  <c r="Z25" i="5" s="1"/>
  <c r="V160" i="5"/>
  <c r="V73" i="5"/>
  <c r="V25" i="5" s="1"/>
  <c r="Q160" i="5"/>
  <c r="Q73" i="5"/>
  <c r="Q25" i="5" s="1"/>
  <c r="X160" i="5"/>
  <c r="X73" i="5"/>
  <c r="X25" i="5" s="1"/>
  <c r="AB160" i="5"/>
  <c r="AB73" i="5"/>
  <c r="AB25" i="5" s="1"/>
  <c r="O160" i="5"/>
  <c r="O73" i="5"/>
  <c r="O25" i="5" s="1"/>
  <c r="AC160" i="5"/>
  <c r="AC73" i="5"/>
  <c r="AC25" i="5" s="1"/>
  <c r="N230" i="1"/>
  <c r="L230" i="1" s="1"/>
  <c r="L232" i="1" s="1"/>
  <c r="L69" i="1"/>
  <c r="V162" i="1"/>
  <c r="V20" i="1" s="1"/>
  <c r="V21" i="1" s="1"/>
  <c r="V377" i="1" s="1"/>
  <c r="V436" i="1" s="1"/>
  <c r="P139" i="5"/>
  <c r="P142" i="5" s="1"/>
  <c r="AB159" i="5"/>
  <c r="AB154" i="5"/>
  <c r="AB18" i="5"/>
  <c r="X159" i="5"/>
  <c r="X154" i="5"/>
  <c r="X18" i="5"/>
  <c r="Y159" i="5"/>
  <c r="Y18" i="5"/>
  <c r="Y154" i="5"/>
  <c r="N139" i="5"/>
  <c r="N142" i="5" s="1"/>
  <c r="AA162" i="1"/>
  <c r="T139" i="5"/>
  <c r="T142" i="5" s="1"/>
  <c r="N31" i="5"/>
  <c r="N387" i="5" s="1"/>
  <c r="S162" i="1"/>
  <c r="S139" i="5"/>
  <c r="S142" i="5" s="1"/>
  <c r="U153" i="5"/>
  <c r="U138" i="5"/>
  <c r="W159" i="5"/>
  <c r="W154" i="5"/>
  <c r="W18" i="5"/>
  <c r="R139" i="5"/>
  <c r="R142" i="5" s="1"/>
  <c r="N231" i="5"/>
  <c r="L231" i="5" s="1"/>
  <c r="AC18" i="5"/>
  <c r="AC159" i="5"/>
  <c r="AC154" i="5"/>
  <c r="R302" i="5"/>
  <c r="R63" i="5"/>
  <c r="U162" i="1"/>
  <c r="U139" i="5"/>
  <c r="U142" i="5" s="1"/>
  <c r="AC162" i="1"/>
  <c r="Q277" i="1"/>
  <c r="Q243" i="1"/>
  <c r="Q223" i="1"/>
  <c r="Q173" i="1"/>
  <c r="Q197" i="1"/>
  <c r="Q113" i="1"/>
  <c r="Q51" i="1"/>
  <c r="Q67" i="1"/>
  <c r="Q277" i="5"/>
  <c r="Q243" i="5"/>
  <c r="Q223" i="5"/>
  <c r="Q173" i="5"/>
  <c r="Q197" i="5"/>
  <c r="Q113" i="5"/>
  <c r="Q51" i="5"/>
  <c r="Q67" i="5"/>
  <c r="O164" i="1"/>
  <c r="N60" i="1"/>
  <c r="N208" i="1"/>
  <c r="R42" i="1"/>
  <c r="R109" i="1"/>
  <c r="R108" i="1"/>
  <c r="R40" i="1"/>
  <c r="R447" i="1" s="1"/>
  <c r="R279" i="1"/>
  <c r="R248" i="1" s="1"/>
  <c r="R249" i="1" s="1"/>
  <c r="S200" i="1"/>
  <c r="S204" i="1"/>
  <c r="S45" i="1" s="1"/>
  <c r="S401" i="1" s="1"/>
  <c r="S203" i="1"/>
  <c r="S44" i="1" s="1"/>
  <c r="S400" i="1" s="1"/>
  <c r="S202" i="1"/>
  <c r="S43" i="1" s="1"/>
  <c r="S399" i="1" s="1"/>
  <c r="S201" i="1"/>
  <c r="S211" i="1"/>
  <c r="T78" i="1"/>
  <c r="R281" i="1"/>
  <c r="R282" i="1"/>
  <c r="R283" i="1"/>
  <c r="P304" i="5"/>
  <c r="P213" i="5"/>
  <c r="P110" i="1"/>
  <c r="P111" i="1" s="1"/>
  <c r="O168" i="5"/>
  <c r="O100" i="5" s="1"/>
  <c r="N49" i="1"/>
  <c r="N452" i="1" s="1"/>
  <c r="Q110" i="1"/>
  <c r="Q111" i="1" s="1"/>
  <c r="O111" i="1"/>
  <c r="N111" i="1"/>
  <c r="Q291" i="5"/>
  <c r="Q293" i="5" s="1"/>
  <c r="T320" i="5"/>
  <c r="S321" i="5"/>
  <c r="P307" i="5"/>
  <c r="R11" i="5"/>
  <c r="R11" i="1"/>
  <c r="R91" i="1" s="1"/>
  <c r="R212" i="1"/>
  <c r="S89" i="1"/>
  <c r="AA263" i="1"/>
  <c r="AA54" i="1"/>
  <c r="Q287" i="1"/>
  <c r="Q48" i="1"/>
  <c r="Q451" i="1" s="1"/>
  <c r="Y263" i="1"/>
  <c r="Y54" i="1"/>
  <c r="P168" i="1"/>
  <c r="P159" i="1"/>
  <c r="P154" i="1"/>
  <c r="P18" i="1"/>
  <c r="Q266" i="1"/>
  <c r="P249" i="1"/>
  <c r="T159" i="1"/>
  <c r="T154" i="1"/>
  <c r="T18" i="1"/>
  <c r="N154" i="1"/>
  <c r="N159" i="1"/>
  <c r="N18" i="1"/>
  <c r="N374" i="1" s="1"/>
  <c r="V263" i="1"/>
  <c r="V54" i="1"/>
  <c r="U159" i="1"/>
  <c r="U154" i="1"/>
  <c r="U18" i="1"/>
  <c r="X163" i="1"/>
  <c r="X20" i="1"/>
  <c r="X21" i="1" s="1"/>
  <c r="X377" i="1" s="1"/>
  <c r="X436" i="1" s="1"/>
  <c r="Q304" i="1"/>
  <c r="U263" i="1"/>
  <c r="U54" i="1"/>
  <c r="AB163" i="1"/>
  <c r="AB20" i="1"/>
  <c r="AB21" i="1" s="1"/>
  <c r="AB377" i="1" s="1"/>
  <c r="AB436" i="1" s="1"/>
  <c r="Z205" i="1"/>
  <c r="Z284" i="1" s="1"/>
  <c r="AA85" i="1"/>
  <c r="T263" i="1"/>
  <c r="T54" i="1"/>
  <c r="R263" i="1"/>
  <c r="R54" i="1"/>
  <c r="R301" i="1"/>
  <c r="R303" i="1" s="1"/>
  <c r="Q213" i="1"/>
  <c r="W163" i="1"/>
  <c r="W20" i="1"/>
  <c r="W21" i="1" s="1"/>
  <c r="W377" i="1" s="1"/>
  <c r="W436" i="1" s="1"/>
  <c r="W263" i="1"/>
  <c r="W54" i="1"/>
  <c r="P309" i="1"/>
  <c r="P214" i="1"/>
  <c r="R162" i="1"/>
  <c r="O163" i="1"/>
  <c r="O20" i="1"/>
  <c r="O21" i="1" s="1"/>
  <c r="O377" i="1" s="1"/>
  <c r="O436" i="1" s="1"/>
  <c r="S100" i="1"/>
  <c r="P295" i="1"/>
  <c r="Q291" i="1"/>
  <c r="Q293" i="1" s="1"/>
  <c r="Q163" i="1"/>
  <c r="Q20" i="1"/>
  <c r="Q21" i="1" s="1"/>
  <c r="Q377" i="1" s="1"/>
  <c r="Q436" i="1" s="1"/>
  <c r="R266" i="1"/>
  <c r="Q249" i="1"/>
  <c r="U320" i="1"/>
  <c r="T321" i="1"/>
  <c r="S263" i="1"/>
  <c r="S54" i="1"/>
  <c r="K153" i="1"/>
  <c r="L133" i="1"/>
  <c r="K138" i="1"/>
  <c r="K143" i="1" s="1"/>
  <c r="I133" i="1"/>
  <c r="Z163" i="1"/>
  <c r="Z20" i="1"/>
  <c r="Z21" i="1" s="1"/>
  <c r="Z377" i="1" s="1"/>
  <c r="Z436" i="1" s="1"/>
  <c r="Y163" i="1"/>
  <c r="Y20" i="1"/>
  <c r="Y21" i="1" s="1"/>
  <c r="Y377" i="1" s="1"/>
  <c r="Y436" i="1" s="1"/>
  <c r="P266" i="1"/>
  <c r="O249" i="1"/>
  <c r="Z263" i="1"/>
  <c r="Z54" i="1"/>
  <c r="R159" i="1"/>
  <c r="R154" i="1"/>
  <c r="R18" i="1"/>
  <c r="S159" i="1"/>
  <c r="S18" i="1"/>
  <c r="S154" i="1"/>
  <c r="AB263" i="1"/>
  <c r="AB54" i="1"/>
  <c r="O266" i="1"/>
  <c r="N249" i="1"/>
  <c r="O208" i="1"/>
  <c r="O60" i="1"/>
  <c r="R433" i="5" l="1"/>
  <c r="R91" i="5"/>
  <c r="R433" i="1"/>
  <c r="R307" i="1"/>
  <c r="Q295" i="1"/>
  <c r="P397" i="1"/>
  <c r="Q404" i="1"/>
  <c r="R396" i="1"/>
  <c r="Q397" i="1"/>
  <c r="R367" i="1"/>
  <c r="Y376" i="1"/>
  <c r="Y435" i="1" s="1"/>
  <c r="N375" i="1"/>
  <c r="P19" i="1"/>
  <c r="P374" i="1"/>
  <c r="P375" i="1" s="1"/>
  <c r="Y19" i="5"/>
  <c r="Y374" i="5"/>
  <c r="Y375" i="5" s="1"/>
  <c r="V376" i="1"/>
  <c r="V435" i="1" s="1"/>
  <c r="L24" i="1"/>
  <c r="P356" i="1" s="1"/>
  <c r="N380" i="1"/>
  <c r="L380" i="1" s="1"/>
  <c r="V356" i="1" s="1"/>
  <c r="T12" i="1"/>
  <c r="S368" i="1"/>
  <c r="R41" i="1"/>
  <c r="R448" i="1" s="1"/>
  <c r="R398" i="1"/>
  <c r="X19" i="5"/>
  <c r="X374" i="5"/>
  <c r="X375" i="5" s="1"/>
  <c r="R19" i="1"/>
  <c r="R374" i="1"/>
  <c r="R375" i="1" s="1"/>
  <c r="W376" i="1"/>
  <c r="W435" i="1" s="1"/>
  <c r="W19" i="5"/>
  <c r="W374" i="5"/>
  <c r="W375" i="5" s="1"/>
  <c r="AB19" i="5"/>
  <c r="AB374" i="5"/>
  <c r="AB375" i="5" s="1"/>
  <c r="T12" i="5"/>
  <c r="S368" i="5"/>
  <c r="X376" i="1"/>
  <c r="X435" i="1" s="1"/>
  <c r="R258" i="5"/>
  <c r="R367" i="5"/>
  <c r="S19" i="1"/>
  <c r="S374" i="1"/>
  <c r="S375" i="1" s="1"/>
  <c r="Z376" i="1"/>
  <c r="Z435" i="1" s="1"/>
  <c r="T19" i="1"/>
  <c r="T374" i="1"/>
  <c r="T375" i="1" s="1"/>
  <c r="L49" i="1"/>
  <c r="N405" i="1"/>
  <c r="L405" i="1" s="1"/>
  <c r="O376" i="1"/>
  <c r="O435" i="1" s="1"/>
  <c r="U19" i="1"/>
  <c r="U374" i="1"/>
  <c r="U375" i="1" s="1"/>
  <c r="AB376" i="1"/>
  <c r="AB435" i="1" s="1"/>
  <c r="Q376" i="1"/>
  <c r="Q435" i="1" s="1"/>
  <c r="AC19" i="5"/>
  <c r="AC374" i="5"/>
  <c r="AC375" i="5" s="1"/>
  <c r="L143" i="1"/>
  <c r="K144" i="1"/>
  <c r="U143" i="5"/>
  <c r="U162" i="5" s="1"/>
  <c r="AB69" i="5"/>
  <c r="AB380" i="5" s="1"/>
  <c r="AB381" i="5"/>
  <c r="X69" i="5"/>
  <c r="X380" i="5" s="1"/>
  <c r="X381" i="5"/>
  <c r="Z69" i="5"/>
  <c r="Z380" i="5" s="1"/>
  <c r="Z381" i="5"/>
  <c r="Y69" i="5"/>
  <c r="Y380" i="5" s="1"/>
  <c r="Y381" i="5"/>
  <c r="AC69" i="5"/>
  <c r="AC380" i="5" s="1"/>
  <c r="AC381" i="5"/>
  <c r="Q69" i="5"/>
  <c r="Q380" i="5" s="1"/>
  <c r="Q381" i="5"/>
  <c r="W69" i="5"/>
  <c r="W380" i="5" s="1"/>
  <c r="W381" i="5"/>
  <c r="AA69" i="5"/>
  <c r="AA380" i="5" s="1"/>
  <c r="AA381" i="5"/>
  <c r="O69" i="5"/>
  <c r="O380" i="5" s="1"/>
  <c r="O381" i="5"/>
  <c r="V69" i="5"/>
  <c r="V380" i="5" s="1"/>
  <c r="V381" i="5"/>
  <c r="O167" i="5"/>
  <c r="O31" i="5" s="1"/>
  <c r="O387" i="5" s="1"/>
  <c r="O165" i="1"/>
  <c r="T162" i="1"/>
  <c r="T20" i="1" s="1"/>
  <c r="T21" i="1" s="1"/>
  <c r="T377" i="1" s="1"/>
  <c r="T436" i="1" s="1"/>
  <c r="Y263" i="5"/>
  <c r="N232" i="1"/>
  <c r="N441" i="1" s="1"/>
  <c r="N323" i="1"/>
  <c r="L323" i="1" s="1"/>
  <c r="X263" i="5"/>
  <c r="P162" i="1"/>
  <c r="P165" i="1" s="1"/>
  <c r="P169" i="1" s="1"/>
  <c r="P86" i="1"/>
  <c r="P206" i="1" s="1"/>
  <c r="N162" i="1"/>
  <c r="N165" i="1" s="1"/>
  <c r="AC263" i="5"/>
  <c r="V163" i="1"/>
  <c r="S266" i="1"/>
  <c r="R303" i="5"/>
  <c r="S301" i="5" s="1"/>
  <c r="P262" i="1"/>
  <c r="AS75" i="1"/>
  <c r="Q86" i="1" s="1"/>
  <c r="Q206" i="1" s="1"/>
  <c r="R258" i="1"/>
  <c r="AB144" i="5"/>
  <c r="X144" i="5"/>
  <c r="Z162" i="5"/>
  <c r="Z144" i="5"/>
  <c r="S160" i="5"/>
  <c r="S73" i="5"/>
  <c r="S25" i="5" s="1"/>
  <c r="U160" i="5"/>
  <c r="U73" i="5"/>
  <c r="U25" i="5" s="1"/>
  <c r="T160" i="5"/>
  <c r="T73" i="5"/>
  <c r="T25" i="5" s="1"/>
  <c r="R160" i="5"/>
  <c r="R73" i="5"/>
  <c r="R25" i="5" s="1"/>
  <c r="P160" i="5"/>
  <c r="P73" i="5"/>
  <c r="P25" i="5" s="1"/>
  <c r="U263" i="5"/>
  <c r="Z263" i="5"/>
  <c r="AB263" i="5"/>
  <c r="W263" i="5"/>
  <c r="Y144" i="5"/>
  <c r="AA263" i="5"/>
  <c r="V263" i="5"/>
  <c r="AC162" i="5"/>
  <c r="AC144" i="5"/>
  <c r="O226" i="1"/>
  <c r="AA162" i="5"/>
  <c r="AA144" i="5"/>
  <c r="Y163" i="5"/>
  <c r="Y20" i="5"/>
  <c r="S101" i="5"/>
  <c r="U18" i="5"/>
  <c r="U159" i="5"/>
  <c r="U154" i="5"/>
  <c r="V144" i="5"/>
  <c r="V162" i="5"/>
  <c r="W162" i="5"/>
  <c r="W144" i="5"/>
  <c r="K139" i="5"/>
  <c r="X20" i="5"/>
  <c r="X163" i="5"/>
  <c r="AB20" i="5"/>
  <c r="AB163" i="5"/>
  <c r="AC163" i="1"/>
  <c r="AC20" i="1"/>
  <c r="AC21" i="1" s="1"/>
  <c r="AC377" i="1" s="1"/>
  <c r="AC436" i="1" s="1"/>
  <c r="AA163" i="1"/>
  <c r="AA20" i="1"/>
  <c r="AA21" i="1" s="1"/>
  <c r="AA377" i="1" s="1"/>
  <c r="AA436" i="1" s="1"/>
  <c r="R277" i="1"/>
  <c r="R243" i="1"/>
  <c r="R223" i="1"/>
  <c r="R173" i="1"/>
  <c r="R197" i="1"/>
  <c r="R113" i="1"/>
  <c r="R51" i="1"/>
  <c r="R67" i="1"/>
  <c r="R277" i="5"/>
  <c r="R243" i="5"/>
  <c r="R223" i="5"/>
  <c r="R173" i="5"/>
  <c r="R197" i="5"/>
  <c r="R113" i="5"/>
  <c r="R51" i="5"/>
  <c r="R67" i="5"/>
  <c r="R110" i="1"/>
  <c r="R111" i="1" s="1"/>
  <c r="P309" i="5"/>
  <c r="S286" i="1"/>
  <c r="S46" i="1"/>
  <c r="S449" i="1" s="1"/>
  <c r="S280" i="1"/>
  <c r="S42" i="1"/>
  <c r="S281" i="1"/>
  <c r="T204" i="1"/>
  <c r="T45" i="1" s="1"/>
  <c r="T401" i="1" s="1"/>
  <c r="T203" i="1"/>
  <c r="T44" i="1" s="1"/>
  <c r="T400" i="1" s="1"/>
  <c r="T202" i="1"/>
  <c r="T43" i="1" s="1"/>
  <c r="T399" i="1" s="1"/>
  <c r="T201" i="1"/>
  <c r="U78" i="1"/>
  <c r="T211" i="1"/>
  <c r="T200" i="1"/>
  <c r="S282" i="1"/>
  <c r="S109" i="1"/>
  <c r="S283" i="1"/>
  <c r="S279" i="1"/>
  <c r="S248" i="1" s="1"/>
  <c r="S40" i="1"/>
  <c r="S447" i="1" s="1"/>
  <c r="S108" i="1"/>
  <c r="Q304" i="5"/>
  <c r="P168" i="5"/>
  <c r="P100" i="5" s="1"/>
  <c r="Q213" i="5"/>
  <c r="P226" i="1"/>
  <c r="R291" i="5"/>
  <c r="R293" i="5" s="1"/>
  <c r="Q307" i="5"/>
  <c r="S11" i="5"/>
  <c r="U320" i="5"/>
  <c r="T321" i="5"/>
  <c r="S11" i="1"/>
  <c r="S91" i="1" s="1"/>
  <c r="S212" i="1"/>
  <c r="T89" i="1"/>
  <c r="R287" i="1"/>
  <c r="R48" i="1"/>
  <c r="R451" i="1" s="1"/>
  <c r="T100" i="1"/>
  <c r="R304" i="1"/>
  <c r="S163" i="1"/>
  <c r="S20" i="1"/>
  <c r="S21" i="1" s="1"/>
  <c r="S377" i="1" s="1"/>
  <c r="S436" i="1" s="1"/>
  <c r="N19" i="1"/>
  <c r="L18" i="1"/>
  <c r="L19" i="1" s="1"/>
  <c r="R291" i="1"/>
  <c r="R293" i="1" s="1"/>
  <c r="L138" i="1"/>
  <c r="I138" i="1"/>
  <c r="Q309" i="1"/>
  <c r="Q214" i="1"/>
  <c r="Q168" i="1"/>
  <c r="K154" i="1"/>
  <c r="K159" i="1"/>
  <c r="L153" i="1"/>
  <c r="I153" i="1"/>
  <c r="P208" i="1"/>
  <c r="P60" i="1"/>
  <c r="R163" i="1"/>
  <c r="R20" i="1"/>
  <c r="R21" i="1" s="1"/>
  <c r="R377" i="1" s="1"/>
  <c r="R436" i="1" s="1"/>
  <c r="U163" i="1"/>
  <c r="U20" i="1"/>
  <c r="U21" i="1" s="1"/>
  <c r="U377" i="1" s="1"/>
  <c r="U436" i="1" s="1"/>
  <c r="V320" i="1"/>
  <c r="U321" i="1"/>
  <c r="S301" i="1"/>
  <c r="S303" i="1" s="1"/>
  <c r="R213" i="1"/>
  <c r="AA205" i="1"/>
  <c r="AA284" i="1" s="1"/>
  <c r="AB85" i="1"/>
  <c r="S433" i="5" l="1"/>
  <c r="S91" i="5"/>
  <c r="S433" i="1"/>
  <c r="S307" i="1"/>
  <c r="X21" i="5"/>
  <c r="X377" i="5" s="1"/>
  <c r="X436" i="5" s="1"/>
  <c r="Y21" i="5"/>
  <c r="Y377" i="5" s="1"/>
  <c r="Y436" i="5" s="1"/>
  <c r="AB21" i="5"/>
  <c r="AB377" i="5" s="1"/>
  <c r="AB436" i="5" s="1"/>
  <c r="Q164" i="1"/>
  <c r="Q165" i="1" s="1"/>
  <c r="Q166" i="1" s="1"/>
  <c r="Q22" i="1" s="1"/>
  <c r="Q378" i="1" s="1"/>
  <c r="Q437" i="1" s="1"/>
  <c r="S402" i="1"/>
  <c r="S396" i="1"/>
  <c r="R397" i="1"/>
  <c r="R404" i="1"/>
  <c r="N263" i="1"/>
  <c r="S367" i="1"/>
  <c r="T163" i="1"/>
  <c r="Y356" i="1"/>
  <c r="S356" i="1"/>
  <c r="L374" i="1"/>
  <c r="L375" i="1" s="1"/>
  <c r="AC376" i="1"/>
  <c r="AC435" i="1" s="1"/>
  <c r="S258" i="5"/>
  <c r="S367" i="5"/>
  <c r="U19" i="5"/>
  <c r="U374" i="5"/>
  <c r="U375" i="5" s="1"/>
  <c r="U12" i="5"/>
  <c r="T368" i="5"/>
  <c r="U12" i="1"/>
  <c r="T368" i="1"/>
  <c r="AA376" i="1"/>
  <c r="AA435" i="1" s="1"/>
  <c r="AB376" i="5"/>
  <c r="AB435" i="5" s="1"/>
  <c r="Y376" i="5"/>
  <c r="Y435" i="5" s="1"/>
  <c r="T376" i="1"/>
  <c r="T435" i="1" s="1"/>
  <c r="U376" i="1"/>
  <c r="U435" i="1" s="1"/>
  <c r="R376" i="1"/>
  <c r="R435" i="1" s="1"/>
  <c r="S376" i="1"/>
  <c r="S435" i="1" s="1"/>
  <c r="X376" i="5"/>
  <c r="X435" i="5" s="1"/>
  <c r="S41" i="1"/>
  <c r="S448" i="1" s="1"/>
  <c r="S398" i="1"/>
  <c r="W230" i="5"/>
  <c r="W232" i="5" s="1"/>
  <c r="W441" i="5" s="1"/>
  <c r="N54" i="1"/>
  <c r="L54" i="1" s="1"/>
  <c r="P20" i="1"/>
  <c r="P21" i="1" s="1"/>
  <c r="P377" i="1" s="1"/>
  <c r="P436" i="1" s="1"/>
  <c r="P163" i="1"/>
  <c r="P166" i="1"/>
  <c r="P22" i="1" s="1"/>
  <c r="P378" i="1" s="1"/>
  <c r="P437" i="1" s="1"/>
  <c r="AA230" i="5"/>
  <c r="AA232" i="5" s="1"/>
  <c r="AA441" i="5" s="1"/>
  <c r="AB230" i="5"/>
  <c r="AB232" i="5" s="1"/>
  <c r="AB441" i="5" s="1"/>
  <c r="X230" i="5"/>
  <c r="X232" i="5" s="1"/>
  <c r="X441" i="5" s="1"/>
  <c r="Z230" i="5"/>
  <c r="Z232" i="5" s="1"/>
  <c r="Z441" i="5" s="1"/>
  <c r="Y230" i="5"/>
  <c r="Y232" i="5" s="1"/>
  <c r="Y441" i="5" s="1"/>
  <c r="V230" i="5"/>
  <c r="V232" i="5" s="1"/>
  <c r="V441" i="5" s="1"/>
  <c r="R69" i="5"/>
  <c r="R380" i="5" s="1"/>
  <c r="R381" i="5"/>
  <c r="O230" i="5"/>
  <c r="O232" i="5" s="1"/>
  <c r="O441" i="5" s="1"/>
  <c r="U69" i="5"/>
  <c r="U380" i="5" s="1"/>
  <c r="U381" i="5"/>
  <c r="P69" i="5"/>
  <c r="P380" i="5" s="1"/>
  <c r="P381" i="5"/>
  <c r="Q230" i="5"/>
  <c r="Q232" i="5" s="1"/>
  <c r="Q441" i="5" s="1"/>
  <c r="AC230" i="5"/>
  <c r="AC232" i="5" s="1"/>
  <c r="AC441" i="5" s="1"/>
  <c r="S69" i="5"/>
  <c r="S380" i="5" s="1"/>
  <c r="S381" i="5"/>
  <c r="T69" i="5"/>
  <c r="T380" i="5" s="1"/>
  <c r="T381" i="5"/>
  <c r="N166" i="1"/>
  <c r="N22" i="1" s="1"/>
  <c r="N378" i="1" s="1"/>
  <c r="N437" i="1" s="1"/>
  <c r="N169" i="1"/>
  <c r="N170" i="1" s="1"/>
  <c r="N171" i="1" s="1"/>
  <c r="O166" i="1"/>
  <c r="O22" i="1" s="1"/>
  <c r="O378" i="1" s="1"/>
  <c r="O437" i="1" s="1"/>
  <c r="O169" i="1"/>
  <c r="AT75" i="1"/>
  <c r="Q262" i="1" s="1"/>
  <c r="N20" i="1"/>
  <c r="N21" i="1" s="1"/>
  <c r="N377" i="1" s="1"/>
  <c r="N436" i="1" s="1"/>
  <c r="N163" i="1"/>
  <c r="S258" i="1"/>
  <c r="AS76" i="1"/>
  <c r="AT76" i="1" s="1"/>
  <c r="Z163" i="5"/>
  <c r="Z20" i="5"/>
  <c r="N160" i="5"/>
  <c r="N73" i="5"/>
  <c r="N25" i="5" s="1"/>
  <c r="U144" i="5"/>
  <c r="V163" i="5"/>
  <c r="V20" i="5"/>
  <c r="AA163" i="5"/>
  <c r="AA20" i="5"/>
  <c r="K142" i="5"/>
  <c r="AC163" i="5"/>
  <c r="AC20" i="5"/>
  <c r="S302" i="5"/>
  <c r="S303" i="5" s="1"/>
  <c r="T301" i="5" s="1"/>
  <c r="S63" i="5"/>
  <c r="U163" i="5"/>
  <c r="U20" i="5"/>
  <c r="T101" i="5"/>
  <c r="P167" i="5"/>
  <c r="W163" i="5"/>
  <c r="W20" i="5"/>
  <c r="S277" i="1"/>
  <c r="S243" i="1"/>
  <c r="S223" i="1"/>
  <c r="S173" i="1"/>
  <c r="S197" i="1"/>
  <c r="S113" i="1"/>
  <c r="S51" i="1"/>
  <c r="S67" i="1"/>
  <c r="S277" i="5"/>
  <c r="S243" i="5"/>
  <c r="S223" i="5"/>
  <c r="S173" i="5"/>
  <c r="S197" i="5"/>
  <c r="S113" i="5"/>
  <c r="S51" i="5"/>
  <c r="S67" i="5"/>
  <c r="T280" i="1"/>
  <c r="T42" i="1"/>
  <c r="T281" i="1"/>
  <c r="T282" i="1"/>
  <c r="U204" i="1"/>
  <c r="U45" i="1" s="1"/>
  <c r="U401" i="1" s="1"/>
  <c r="U203" i="1"/>
  <c r="U44" i="1" s="1"/>
  <c r="U400" i="1" s="1"/>
  <c r="U202" i="1"/>
  <c r="U43" i="1" s="1"/>
  <c r="U399" i="1" s="1"/>
  <c r="U201" i="1"/>
  <c r="U211" i="1"/>
  <c r="V78" i="1"/>
  <c r="U200" i="1"/>
  <c r="T283" i="1"/>
  <c r="S110" i="1"/>
  <c r="S111" i="1" s="1"/>
  <c r="T108" i="1"/>
  <c r="T279" i="1"/>
  <c r="T248" i="1" s="1"/>
  <c r="U266" i="1" s="1"/>
  <c r="T40" i="1"/>
  <c r="T447" i="1" s="1"/>
  <c r="T266" i="1"/>
  <c r="S249" i="1"/>
  <c r="T286" i="1"/>
  <c r="T46" i="1"/>
  <c r="T449" i="1" s="1"/>
  <c r="T109" i="1"/>
  <c r="R304" i="5"/>
  <c r="R164" i="1"/>
  <c r="R165" i="1" s="1"/>
  <c r="Q309" i="5"/>
  <c r="R213" i="5"/>
  <c r="R309" i="5" s="1"/>
  <c r="Q168" i="5"/>
  <c r="Q100" i="5" s="1"/>
  <c r="V320" i="5"/>
  <c r="U321" i="5"/>
  <c r="S291" i="5"/>
  <c r="S293" i="5" s="1"/>
  <c r="R307" i="5"/>
  <c r="T11" i="5"/>
  <c r="T11" i="1"/>
  <c r="T91" i="1" s="1"/>
  <c r="T212" i="1"/>
  <c r="U89" i="1"/>
  <c r="S287" i="1"/>
  <c r="S48" i="1"/>
  <c r="S451" i="1" s="1"/>
  <c r="U100" i="1"/>
  <c r="U101" i="5" s="1"/>
  <c r="R309" i="1"/>
  <c r="R214" i="1"/>
  <c r="K162" i="1"/>
  <c r="I143" i="1"/>
  <c r="L159" i="1"/>
  <c r="I159" i="1"/>
  <c r="Q208" i="1"/>
  <c r="Q60" i="1"/>
  <c r="T301" i="1"/>
  <c r="T303" i="1" s="1"/>
  <c r="S213" i="1"/>
  <c r="AB205" i="1"/>
  <c r="AB284" i="1" s="1"/>
  <c r="AC85" i="1"/>
  <c r="AC205" i="1" s="1"/>
  <c r="AC284" i="1" s="1"/>
  <c r="V321" i="1"/>
  <c r="W320" i="1"/>
  <c r="S291" i="1"/>
  <c r="S293" i="1" s="1"/>
  <c r="P170" i="1"/>
  <c r="P171" i="1" s="1"/>
  <c r="S304" i="1"/>
  <c r="R168" i="1"/>
  <c r="T433" i="5" l="1"/>
  <c r="T91" i="5"/>
  <c r="Q169" i="1"/>
  <c r="Q170" i="1" s="1"/>
  <c r="Q226" i="1"/>
  <c r="T433" i="1"/>
  <c r="T307" i="1"/>
  <c r="W21" i="5"/>
  <c r="W377" i="5" s="1"/>
  <c r="W436" i="5" s="1"/>
  <c r="AC21" i="5"/>
  <c r="AC377" i="5" s="1"/>
  <c r="AC436" i="5" s="1"/>
  <c r="AA21" i="5"/>
  <c r="AA377" i="5" s="1"/>
  <c r="AA436" i="5" s="1"/>
  <c r="U21" i="5"/>
  <c r="U377" i="5" s="1"/>
  <c r="U436" i="5" s="1"/>
  <c r="V21" i="5"/>
  <c r="V377" i="5" s="1"/>
  <c r="V436" i="5" s="1"/>
  <c r="Z21" i="5"/>
  <c r="Z377" i="5" s="1"/>
  <c r="Z436" i="5" s="1"/>
  <c r="S404" i="1"/>
  <c r="S397" i="1"/>
  <c r="T402" i="1"/>
  <c r="T396" i="1"/>
  <c r="AC54" i="5"/>
  <c r="Q54" i="5"/>
  <c r="V54" i="5"/>
  <c r="AA54" i="5"/>
  <c r="Y54" i="5"/>
  <c r="Z54" i="5"/>
  <c r="W54" i="5"/>
  <c r="X54" i="5"/>
  <c r="O54" i="5"/>
  <c r="AB54" i="5"/>
  <c r="T367" i="1"/>
  <c r="T41" i="1"/>
  <c r="T448" i="1" s="1"/>
  <c r="T398" i="1"/>
  <c r="AC376" i="5"/>
  <c r="AC435" i="5" s="1"/>
  <c r="V12" i="1"/>
  <c r="U368" i="1"/>
  <c r="V376" i="5"/>
  <c r="V435" i="5" s="1"/>
  <c r="W376" i="5"/>
  <c r="W435" i="5" s="1"/>
  <c r="T258" i="5"/>
  <c r="T367" i="5"/>
  <c r="AA376" i="5"/>
  <c r="AA435" i="5" s="1"/>
  <c r="P376" i="1"/>
  <c r="P435" i="1" s="1"/>
  <c r="V12" i="5"/>
  <c r="U368" i="5"/>
  <c r="U376" i="5"/>
  <c r="U435" i="5" s="1"/>
  <c r="Z376" i="5"/>
  <c r="Z435" i="5" s="1"/>
  <c r="N376" i="1"/>
  <c r="N435" i="1" s="1"/>
  <c r="P230" i="5"/>
  <c r="P232" i="5" s="1"/>
  <c r="P441" i="5" s="1"/>
  <c r="T230" i="5"/>
  <c r="T232" i="5" s="1"/>
  <c r="T441" i="5" s="1"/>
  <c r="S230" i="5"/>
  <c r="S232" i="5" s="1"/>
  <c r="S441" i="5" s="1"/>
  <c r="R230" i="5"/>
  <c r="R232" i="5" s="1"/>
  <c r="R441" i="5" s="1"/>
  <c r="U230" i="5"/>
  <c r="U232" i="5" s="1"/>
  <c r="U441" i="5" s="1"/>
  <c r="R166" i="1"/>
  <c r="R22" i="1" s="1"/>
  <c r="R378" i="1" s="1"/>
  <c r="R437" i="1" s="1"/>
  <c r="R169" i="1"/>
  <c r="R170" i="1" s="1"/>
  <c r="O170" i="1"/>
  <c r="O171" i="1" s="1"/>
  <c r="O225" i="1" s="1"/>
  <c r="R86" i="1"/>
  <c r="R206" i="1" s="1"/>
  <c r="L20" i="1"/>
  <c r="R262" i="1"/>
  <c r="AS77" i="1"/>
  <c r="S86" i="1" s="1"/>
  <c r="S206" i="1" s="1"/>
  <c r="T258" i="1"/>
  <c r="N263" i="5"/>
  <c r="L73" i="5"/>
  <c r="N69" i="5"/>
  <c r="K160" i="5"/>
  <c r="P31" i="5"/>
  <c r="P387" i="5" s="1"/>
  <c r="U63" i="5"/>
  <c r="U302" i="5"/>
  <c r="T63" i="5"/>
  <c r="T302" i="5"/>
  <c r="T303" i="5" s="1"/>
  <c r="U301" i="5" s="1"/>
  <c r="T277" i="1"/>
  <c r="T173" i="1"/>
  <c r="T197" i="1"/>
  <c r="T113" i="1"/>
  <c r="T51" i="1"/>
  <c r="T67" i="1"/>
  <c r="T243" i="1"/>
  <c r="T223" i="1"/>
  <c r="T277" i="5"/>
  <c r="T243" i="5"/>
  <c r="T223" i="5"/>
  <c r="T173" i="5"/>
  <c r="T197" i="5"/>
  <c r="T113" i="5"/>
  <c r="T51" i="5"/>
  <c r="T67" i="5"/>
  <c r="T249" i="1"/>
  <c r="R295" i="1"/>
  <c r="R60" i="1" s="1"/>
  <c r="T110" i="1"/>
  <c r="T111" i="1" s="1"/>
  <c r="U202" i="5"/>
  <c r="U281" i="1"/>
  <c r="U203" i="5"/>
  <c r="U282" i="1"/>
  <c r="U280" i="1"/>
  <c r="U42" i="1"/>
  <c r="U204" i="5"/>
  <c r="U283" i="1"/>
  <c r="U108" i="1"/>
  <c r="U40" i="1"/>
  <c r="U447" i="1" s="1"/>
  <c r="U279" i="1"/>
  <c r="U248" i="1" s="1"/>
  <c r="V266" i="1" s="1"/>
  <c r="V201" i="1"/>
  <c r="V202" i="1"/>
  <c r="V43" i="1" s="1"/>
  <c r="V399" i="1" s="1"/>
  <c r="V204" i="1"/>
  <c r="V45" i="1" s="1"/>
  <c r="V401" i="1" s="1"/>
  <c r="V203" i="1"/>
  <c r="V44" i="1" s="1"/>
  <c r="V400" i="1" s="1"/>
  <c r="W78" i="1"/>
  <c r="V200" i="1"/>
  <c r="V211" i="1"/>
  <c r="U286" i="1"/>
  <c r="U46" i="1"/>
  <c r="U449" i="1" s="1"/>
  <c r="U109" i="1"/>
  <c r="S304" i="5"/>
  <c r="U211" i="5"/>
  <c r="U88" i="5" s="1"/>
  <c r="U11" i="1"/>
  <c r="U91" i="1" s="1"/>
  <c r="S213" i="5"/>
  <c r="R168" i="5"/>
  <c r="R100" i="5" s="1"/>
  <c r="R226" i="1"/>
  <c r="N217" i="1"/>
  <c r="S307" i="5"/>
  <c r="U11" i="5"/>
  <c r="U201" i="5"/>
  <c r="U81" i="5" s="1"/>
  <c r="T291" i="5"/>
  <c r="T293" i="5" s="1"/>
  <c r="W320" i="5"/>
  <c r="V321" i="5"/>
  <c r="V89" i="1"/>
  <c r="U212" i="1"/>
  <c r="T287" i="1"/>
  <c r="T48" i="1"/>
  <c r="T451" i="1" s="1"/>
  <c r="N316" i="1"/>
  <c r="S309" i="1"/>
  <c r="S214" i="1"/>
  <c r="X320" i="1"/>
  <c r="W321" i="1"/>
  <c r="U301" i="1"/>
  <c r="U303" i="1" s="1"/>
  <c r="T213" i="1"/>
  <c r="S168" i="1"/>
  <c r="T291" i="1"/>
  <c r="T293" i="1" s="1"/>
  <c r="V100" i="1"/>
  <c r="V101" i="5" s="1"/>
  <c r="T304" i="1"/>
  <c r="P316" i="1"/>
  <c r="P225" i="1"/>
  <c r="K163" i="1"/>
  <c r="L162" i="1"/>
  <c r="I162" i="1"/>
  <c r="U433" i="5" l="1"/>
  <c r="U91" i="5"/>
  <c r="Q171" i="1"/>
  <c r="Q225" i="1" s="1"/>
  <c r="Q316" i="1"/>
  <c r="U433" i="1"/>
  <c r="U307" i="1"/>
  <c r="S164" i="1"/>
  <c r="S165" i="1" s="1"/>
  <c r="S166" i="1" s="1"/>
  <c r="S22" i="1" s="1"/>
  <c r="S378" i="1" s="1"/>
  <c r="S437" i="1" s="1"/>
  <c r="T404" i="1"/>
  <c r="U396" i="1"/>
  <c r="T397" i="1"/>
  <c r="U402" i="1"/>
  <c r="R54" i="5"/>
  <c r="S54" i="5"/>
  <c r="U54" i="5"/>
  <c r="T54" i="5"/>
  <c r="P54" i="5"/>
  <c r="U367" i="1"/>
  <c r="P355" i="1"/>
  <c r="L21" i="1"/>
  <c r="L377" i="1" s="1"/>
  <c r="L376" i="1"/>
  <c r="U258" i="5"/>
  <c r="U367" i="5"/>
  <c r="U41" i="1"/>
  <c r="U448" i="1" s="1"/>
  <c r="U398" i="1"/>
  <c r="W12" i="1"/>
  <c r="V368" i="1"/>
  <c r="W12" i="5"/>
  <c r="V368" i="5"/>
  <c r="R171" i="1"/>
  <c r="R225" i="1" s="1"/>
  <c r="Q167" i="5"/>
  <c r="Q31" i="5" s="1"/>
  <c r="Q387" i="5" s="1"/>
  <c r="O316" i="1"/>
  <c r="AT77" i="1"/>
  <c r="S262" i="1" s="1"/>
  <c r="U249" i="1"/>
  <c r="AS78" i="1"/>
  <c r="T86" i="1" s="1"/>
  <c r="T206" i="1" s="1"/>
  <c r="AT79" i="1"/>
  <c r="U258" i="1"/>
  <c r="U303" i="5"/>
  <c r="V301" i="5" s="1"/>
  <c r="N230" i="5"/>
  <c r="L69" i="5"/>
  <c r="V63" i="5"/>
  <c r="V302" i="5"/>
  <c r="O263" i="5"/>
  <c r="U277" i="1"/>
  <c r="U243" i="1"/>
  <c r="U223" i="1"/>
  <c r="U173" i="1"/>
  <c r="U197" i="1"/>
  <c r="U113" i="1"/>
  <c r="U51" i="1"/>
  <c r="U67" i="1"/>
  <c r="U277" i="5"/>
  <c r="U243" i="5"/>
  <c r="U223" i="5"/>
  <c r="U173" i="5"/>
  <c r="U197" i="5"/>
  <c r="U113" i="5"/>
  <c r="U51" i="5"/>
  <c r="U67" i="5"/>
  <c r="R208" i="1"/>
  <c r="U281" i="5"/>
  <c r="U283" i="5"/>
  <c r="U82" i="5"/>
  <c r="U43" i="5"/>
  <c r="U399" i="5" s="1"/>
  <c r="U84" i="5"/>
  <c r="U45" i="5"/>
  <c r="U401" i="5" s="1"/>
  <c r="U83" i="5"/>
  <c r="U44" i="5"/>
  <c r="U400" i="5" s="1"/>
  <c r="V202" i="5"/>
  <c r="V281" i="1"/>
  <c r="V280" i="1"/>
  <c r="V42" i="1"/>
  <c r="V204" i="5"/>
  <c r="V283" i="1"/>
  <c r="V286" i="1"/>
  <c r="V46" i="1"/>
  <c r="V449" i="1" s="1"/>
  <c r="V108" i="1"/>
  <c r="V40" i="1"/>
  <c r="V447" i="1" s="1"/>
  <c r="V279" i="1"/>
  <c r="V248" i="1" s="1"/>
  <c r="V249" i="1" s="1"/>
  <c r="U110" i="1"/>
  <c r="U111" i="1" s="1"/>
  <c r="W204" i="1"/>
  <c r="W45" i="1" s="1"/>
  <c r="W401" i="1" s="1"/>
  <c r="W203" i="1"/>
  <c r="W44" i="1" s="1"/>
  <c r="W400" i="1" s="1"/>
  <c r="W202" i="1"/>
  <c r="W43" i="1" s="1"/>
  <c r="W399" i="1" s="1"/>
  <c r="W201" i="1"/>
  <c r="W200" i="1"/>
  <c r="X78" i="1"/>
  <c r="W211" i="1"/>
  <c r="V203" i="5"/>
  <c r="V282" i="1"/>
  <c r="V109" i="1"/>
  <c r="N225" i="1"/>
  <c r="V11" i="1"/>
  <c r="V91" i="1" s="1"/>
  <c r="S309" i="5"/>
  <c r="U46" i="5"/>
  <c r="U42" i="5"/>
  <c r="U398" i="5" s="1"/>
  <c r="T304" i="5"/>
  <c r="T213" i="5"/>
  <c r="T309" i="5" s="1"/>
  <c r="U212" i="5"/>
  <c r="U89" i="5" s="1"/>
  <c r="S168" i="5"/>
  <c r="S100" i="5" s="1"/>
  <c r="V201" i="5"/>
  <c r="V81" i="5" s="1"/>
  <c r="U291" i="5"/>
  <c r="U293" i="5" s="1"/>
  <c r="X320" i="5"/>
  <c r="W321" i="5"/>
  <c r="T307" i="5"/>
  <c r="V11" i="5"/>
  <c r="U279" i="5"/>
  <c r="U108" i="5"/>
  <c r="U282" i="5"/>
  <c r="U304" i="1"/>
  <c r="U48" i="1"/>
  <c r="U451" i="1" s="1"/>
  <c r="U287" i="1"/>
  <c r="W89" i="1"/>
  <c r="V212" i="1"/>
  <c r="W100" i="1"/>
  <c r="R316" i="1"/>
  <c r="X321" i="1"/>
  <c r="Y320" i="1"/>
  <c r="T168" i="1"/>
  <c r="U291" i="1"/>
  <c r="U293" i="1" s="1"/>
  <c r="T309" i="1"/>
  <c r="T214" i="1"/>
  <c r="V301" i="1"/>
  <c r="V303" i="1" s="1"/>
  <c r="U213" i="1"/>
  <c r="N221" i="1"/>
  <c r="O217" i="1"/>
  <c r="V433" i="5" l="1"/>
  <c r="V91" i="5"/>
  <c r="S295" i="1"/>
  <c r="T164" i="1" s="1"/>
  <c r="T165" i="1" s="1"/>
  <c r="V433" i="1"/>
  <c r="V307" i="1"/>
  <c r="S169" i="1"/>
  <c r="S170" i="1" s="1"/>
  <c r="S226" i="1"/>
  <c r="U404" i="1"/>
  <c r="V402" i="1"/>
  <c r="U402" i="5"/>
  <c r="U449" i="5"/>
  <c r="V396" i="1"/>
  <c r="U397" i="1"/>
  <c r="N380" i="5"/>
  <c r="L380" i="5" s="1"/>
  <c r="V356" i="5" s="1"/>
  <c r="L24" i="5"/>
  <c r="P356" i="5" s="1"/>
  <c r="V367" i="1"/>
  <c r="S357" i="1"/>
  <c r="Y357" i="1"/>
  <c r="L25" i="5"/>
  <c r="P357" i="5" s="1"/>
  <c r="N381" i="5"/>
  <c r="L381" i="5" s="1"/>
  <c r="V357" i="5" s="1"/>
  <c r="V355" i="1"/>
  <c r="X12" i="1"/>
  <c r="W368" i="1"/>
  <c r="V41" i="1"/>
  <c r="V448" i="1" s="1"/>
  <c r="V398" i="1"/>
  <c r="X12" i="5"/>
  <c r="W368" i="5"/>
  <c r="V258" i="5"/>
  <c r="V367" i="5"/>
  <c r="AT78" i="1"/>
  <c r="T262" i="1" s="1"/>
  <c r="AS79" i="1"/>
  <c r="U86" i="1" s="1"/>
  <c r="U206" i="1" s="1"/>
  <c r="AT80" i="1"/>
  <c r="V258" i="1"/>
  <c r="L230" i="5"/>
  <c r="L232" i="5" s="1"/>
  <c r="N232" i="5"/>
  <c r="N441" i="5" s="1"/>
  <c r="V303" i="5"/>
  <c r="W301" i="5" s="1"/>
  <c r="P263" i="5"/>
  <c r="U280" i="5"/>
  <c r="U109" i="5"/>
  <c r="W101" i="5"/>
  <c r="V223" i="1"/>
  <c r="V173" i="1"/>
  <c r="V67" i="1"/>
  <c r="V277" i="1"/>
  <c r="V243" i="1"/>
  <c r="V197" i="1"/>
  <c r="V113" i="1"/>
  <c r="V51" i="1"/>
  <c r="V67" i="5"/>
  <c r="V277" i="5"/>
  <c r="V243" i="5"/>
  <c r="V223" i="5"/>
  <c r="V173" i="5"/>
  <c r="V197" i="5"/>
  <c r="V113" i="5"/>
  <c r="V51" i="5"/>
  <c r="V281" i="5"/>
  <c r="W11" i="1"/>
  <c r="W91" i="1" s="1"/>
  <c r="W266" i="1"/>
  <c r="U41" i="5"/>
  <c r="V283" i="5"/>
  <c r="V110" i="1"/>
  <c r="V111" i="1" s="1"/>
  <c r="V84" i="5"/>
  <c r="V45" i="5"/>
  <c r="V401" i="5" s="1"/>
  <c r="V83" i="5"/>
  <c r="V44" i="5"/>
  <c r="V400" i="5" s="1"/>
  <c r="V82" i="5"/>
  <c r="V43" i="5"/>
  <c r="V399" i="5" s="1"/>
  <c r="W286" i="1"/>
  <c r="W46" i="1"/>
  <c r="W449" i="1" s="1"/>
  <c r="S208" i="1"/>
  <c r="X204" i="1"/>
  <c r="X45" i="1" s="1"/>
  <c r="X401" i="1" s="1"/>
  <c r="X203" i="1"/>
  <c r="X44" i="1" s="1"/>
  <c r="X400" i="1" s="1"/>
  <c r="X202" i="1"/>
  <c r="X43" i="1" s="1"/>
  <c r="X399" i="1" s="1"/>
  <c r="X201" i="1"/>
  <c r="X211" i="1"/>
  <c r="X200" i="1"/>
  <c r="Y78" i="1"/>
  <c r="S60" i="1"/>
  <c r="W40" i="1"/>
  <c r="W447" i="1" s="1"/>
  <c r="W279" i="1"/>
  <c r="W248" i="1" s="1"/>
  <c r="W249" i="1" s="1"/>
  <c r="W108" i="1"/>
  <c r="W204" i="5"/>
  <c r="W283" i="1"/>
  <c r="W280" i="1"/>
  <c r="W42" i="1"/>
  <c r="W202" i="5"/>
  <c r="W281" i="1"/>
  <c r="W203" i="5"/>
  <c r="W282" i="1"/>
  <c r="W109" i="1"/>
  <c r="V212" i="5"/>
  <c r="V89" i="5" s="1"/>
  <c r="U287" i="5"/>
  <c r="V42" i="5"/>
  <c r="V398" i="5" s="1"/>
  <c r="V211" i="5"/>
  <c r="U304" i="5"/>
  <c r="U168" i="1"/>
  <c r="U168" i="5" s="1"/>
  <c r="U213" i="5"/>
  <c r="U214" i="5" s="1"/>
  <c r="T168" i="5"/>
  <c r="T100" i="5" s="1"/>
  <c r="V291" i="5"/>
  <c r="V293" i="5" s="1"/>
  <c r="W201" i="5"/>
  <c r="W81" i="5" s="1"/>
  <c r="V279" i="5"/>
  <c r="V108" i="5"/>
  <c r="V282" i="5"/>
  <c r="V109" i="5"/>
  <c r="U110" i="5"/>
  <c r="U307" i="5"/>
  <c r="W11" i="5"/>
  <c r="Y320" i="5"/>
  <c r="X321" i="5"/>
  <c r="V280" i="5"/>
  <c r="V287" i="1"/>
  <c r="V48" i="1"/>
  <c r="V451" i="1" s="1"/>
  <c r="W212" i="1"/>
  <c r="X89" i="1"/>
  <c r="X100" i="1"/>
  <c r="P217" i="1"/>
  <c r="O221" i="1"/>
  <c r="V304" i="1"/>
  <c r="V291" i="1"/>
  <c r="V293" i="1" s="1"/>
  <c r="U309" i="1"/>
  <c r="U214" i="1"/>
  <c r="W301" i="1"/>
  <c r="W303" i="1" s="1"/>
  <c r="V213" i="1"/>
  <c r="S316" i="1"/>
  <c r="Z320" i="1"/>
  <c r="Y321" i="1"/>
  <c r="W433" i="5" l="1"/>
  <c r="W91" i="5"/>
  <c r="T295" i="1"/>
  <c r="T60" i="1" s="1"/>
  <c r="S171" i="1"/>
  <c r="S225" i="1" s="1"/>
  <c r="W433" i="1"/>
  <c r="W307" i="1"/>
  <c r="U164" i="1"/>
  <c r="U165" i="1" s="1"/>
  <c r="U169" i="1" s="1"/>
  <c r="U170" i="1" s="1"/>
  <c r="W402" i="1"/>
  <c r="V404" i="1"/>
  <c r="U397" i="5"/>
  <c r="U448" i="5"/>
  <c r="V397" i="1"/>
  <c r="W396" i="1"/>
  <c r="N54" i="5"/>
  <c r="L54" i="5" s="1"/>
  <c r="W367" i="1"/>
  <c r="W258" i="5"/>
  <c r="W367" i="5"/>
  <c r="Y12" i="1"/>
  <c r="X368" i="1"/>
  <c r="Y12" i="5"/>
  <c r="X368" i="5"/>
  <c r="W41" i="1"/>
  <c r="W448" i="1" s="1"/>
  <c r="W398" i="1"/>
  <c r="T166" i="1"/>
  <c r="T22" i="1" s="1"/>
  <c r="T378" i="1" s="1"/>
  <c r="T437" i="1" s="1"/>
  <c r="T169" i="1"/>
  <c r="T170" i="1" s="1"/>
  <c r="T316" i="1" s="1"/>
  <c r="R167" i="5"/>
  <c r="R31" i="5" s="1"/>
  <c r="R387" i="5" s="1"/>
  <c r="U262" i="1"/>
  <c r="AS80" i="1"/>
  <c r="V86" i="1" s="1"/>
  <c r="V206" i="1" s="1"/>
  <c r="AT81" i="1"/>
  <c r="W258" i="1"/>
  <c r="U111" i="5"/>
  <c r="Q263" i="5"/>
  <c r="W302" i="5"/>
  <c r="W303" i="5" s="1"/>
  <c r="X301" i="5" s="1"/>
  <c r="W63" i="5"/>
  <c r="X101" i="5"/>
  <c r="W281" i="5"/>
  <c r="W277" i="1"/>
  <c r="W243" i="1"/>
  <c r="W223" i="1"/>
  <c r="W173" i="1"/>
  <c r="W197" i="1"/>
  <c r="W113" i="1"/>
  <c r="W51" i="1"/>
  <c r="W67" i="1"/>
  <c r="W283" i="5"/>
  <c r="W67" i="5"/>
  <c r="W277" i="5"/>
  <c r="W243" i="5"/>
  <c r="W223" i="5"/>
  <c r="W173" i="5"/>
  <c r="W197" i="5"/>
  <c r="W113" i="5"/>
  <c r="W51" i="5"/>
  <c r="X11" i="1"/>
  <c r="X91" i="1" s="1"/>
  <c r="X266" i="1"/>
  <c r="T208" i="1"/>
  <c r="V41" i="5"/>
  <c r="W82" i="5"/>
  <c r="W43" i="5"/>
  <c r="W399" i="5" s="1"/>
  <c r="W83" i="5"/>
  <c r="W44" i="5"/>
  <c r="W400" i="5" s="1"/>
  <c r="W84" i="5"/>
  <c r="W45" i="5"/>
  <c r="W401" i="5" s="1"/>
  <c r="Y204" i="1"/>
  <c r="Y45" i="1" s="1"/>
  <c r="Y401" i="1" s="1"/>
  <c r="Y203" i="1"/>
  <c r="Y44" i="1" s="1"/>
  <c r="Y400" i="1" s="1"/>
  <c r="Y202" i="1"/>
  <c r="Y43" i="1" s="1"/>
  <c r="Y399" i="1" s="1"/>
  <c r="Y201" i="1"/>
  <c r="Y211" i="1"/>
  <c r="Z78" i="1"/>
  <c r="Y200" i="1"/>
  <c r="X40" i="1"/>
  <c r="X447" i="1" s="1"/>
  <c r="X108" i="1"/>
  <c r="X279" i="1"/>
  <c r="X248" i="1" s="1"/>
  <c r="X249" i="1" s="1"/>
  <c r="X46" i="1"/>
  <c r="X449" i="1" s="1"/>
  <c r="X286" i="1"/>
  <c r="X280" i="1"/>
  <c r="X42" i="1"/>
  <c r="W110" i="1"/>
  <c r="W111" i="1" s="1"/>
  <c r="X202" i="5"/>
  <c r="X281" i="1"/>
  <c r="X203" i="5"/>
  <c r="X282" i="1"/>
  <c r="X109" i="1"/>
  <c r="X204" i="5"/>
  <c r="X283" i="1"/>
  <c r="V304" i="5"/>
  <c r="T226" i="1"/>
  <c r="V213" i="5"/>
  <c r="V214" i="5" s="1"/>
  <c r="U100" i="5"/>
  <c r="U309" i="5"/>
  <c r="V46" i="5"/>
  <c r="V88" i="5"/>
  <c r="W42" i="5"/>
  <c r="W398" i="5" s="1"/>
  <c r="X211" i="5"/>
  <c r="W212" i="5"/>
  <c r="W89" i="5" s="1"/>
  <c r="W211" i="5"/>
  <c r="V287" i="5"/>
  <c r="U226" i="1"/>
  <c r="V110" i="5"/>
  <c r="V111" i="5" s="1"/>
  <c r="V307" i="5"/>
  <c r="X11" i="5"/>
  <c r="Y321" i="5"/>
  <c r="Z320" i="5"/>
  <c r="W280" i="5"/>
  <c r="W279" i="5"/>
  <c r="W108" i="5"/>
  <c r="V248" i="5"/>
  <c r="V249" i="5" s="1"/>
  <c r="X201" i="5"/>
  <c r="X81" i="5" s="1"/>
  <c r="W291" i="5"/>
  <c r="W293" i="5" s="1"/>
  <c r="W282" i="5"/>
  <c r="W109" i="5"/>
  <c r="Y89" i="1"/>
  <c r="X212" i="1"/>
  <c r="W287" i="1"/>
  <c r="W48" i="1"/>
  <c r="W451" i="1" s="1"/>
  <c r="Z321" i="1"/>
  <c r="AA320" i="1"/>
  <c r="V309" i="1"/>
  <c r="V214" i="1"/>
  <c r="X301" i="1"/>
  <c r="X303" i="1" s="1"/>
  <c r="W213" i="1"/>
  <c r="P221" i="1"/>
  <c r="Q217" i="1"/>
  <c r="Y100" i="1"/>
  <c r="Y101" i="5" s="1"/>
  <c r="W291" i="1"/>
  <c r="W293" i="1" s="1"/>
  <c r="V168" i="1"/>
  <c r="W304" i="1"/>
  <c r="X433" i="5" l="1"/>
  <c r="X91" i="5"/>
  <c r="U295" i="1"/>
  <c r="V295" i="1" s="1"/>
  <c r="U166" i="1"/>
  <c r="U22" i="1" s="1"/>
  <c r="U378" i="1" s="1"/>
  <c r="U437" i="1" s="1"/>
  <c r="X433" i="1"/>
  <c r="X307" i="1"/>
  <c r="V397" i="5"/>
  <c r="V448" i="5"/>
  <c r="V402" i="5"/>
  <c r="V449" i="5"/>
  <c r="W404" i="1"/>
  <c r="X396" i="1"/>
  <c r="X402" i="1"/>
  <c r="W397" i="1"/>
  <c r="Z12" i="1"/>
  <c r="Y368" i="1"/>
  <c r="X258" i="5"/>
  <c r="X367" i="5"/>
  <c r="Y11" i="1"/>
  <c r="X367" i="1"/>
  <c r="Z12" i="5"/>
  <c r="Y368" i="5"/>
  <c r="X41" i="1"/>
  <c r="X448" i="1" s="1"/>
  <c r="X398" i="1"/>
  <c r="T171" i="1"/>
  <c r="T225" i="1" s="1"/>
  <c r="U171" i="1"/>
  <c r="U225" i="1" s="1"/>
  <c r="V262" i="1"/>
  <c r="AT83" i="1"/>
  <c r="AT82" i="1"/>
  <c r="X258" i="1"/>
  <c r="AS81" i="1"/>
  <c r="W86" i="1" s="1"/>
  <c r="W206" i="1" s="1"/>
  <c r="Y266" i="1"/>
  <c r="Y302" i="5"/>
  <c r="Y63" i="5"/>
  <c r="X302" i="5"/>
  <c r="X303" i="5" s="1"/>
  <c r="Y301" i="5" s="1"/>
  <c r="X63" i="5"/>
  <c r="R263" i="5"/>
  <c r="X277" i="1"/>
  <c r="X243" i="1"/>
  <c r="X223" i="1"/>
  <c r="X173" i="1"/>
  <c r="X197" i="1"/>
  <c r="X113" i="1"/>
  <c r="X51" i="1"/>
  <c r="X67" i="1"/>
  <c r="X67" i="5"/>
  <c r="X277" i="5"/>
  <c r="X243" i="5"/>
  <c r="X223" i="5"/>
  <c r="X173" i="5"/>
  <c r="X197" i="5"/>
  <c r="X113" i="5"/>
  <c r="X51" i="5"/>
  <c r="X281" i="5"/>
  <c r="W41" i="5"/>
  <c r="X283" i="5"/>
  <c r="V309" i="5"/>
  <c r="X82" i="5"/>
  <c r="X43" i="5"/>
  <c r="X399" i="5" s="1"/>
  <c r="X84" i="5"/>
  <c r="X45" i="5"/>
  <c r="X401" i="5" s="1"/>
  <c r="X83" i="5"/>
  <c r="X44" i="5"/>
  <c r="X400" i="5" s="1"/>
  <c r="Y203" i="5"/>
  <c r="Y282" i="1"/>
  <c r="Y109" i="1"/>
  <c r="X110" i="1"/>
  <c r="X111" i="1" s="1"/>
  <c r="Y204" i="5"/>
  <c r="Y283" i="1"/>
  <c r="Y108" i="1"/>
  <c r="Y40" i="1"/>
  <c r="Y447" i="1" s="1"/>
  <c r="Y279" i="1"/>
  <c r="Y248" i="1" s="1"/>
  <c r="Y249" i="1" s="1"/>
  <c r="U60" i="1"/>
  <c r="Z204" i="1"/>
  <c r="Z45" i="1" s="1"/>
  <c r="Z401" i="1" s="1"/>
  <c r="Z203" i="1"/>
  <c r="Z44" i="1" s="1"/>
  <c r="Z400" i="1" s="1"/>
  <c r="Z202" i="1"/>
  <c r="Z43" i="1" s="1"/>
  <c r="Z399" i="1" s="1"/>
  <c r="Z201" i="1"/>
  <c r="Z211" i="1"/>
  <c r="Z200" i="1"/>
  <c r="AA78" i="1"/>
  <c r="U208" i="1"/>
  <c r="Y286" i="1"/>
  <c r="Y46" i="1"/>
  <c r="Y449" i="1" s="1"/>
  <c r="Y202" i="5"/>
  <c r="Y281" i="1"/>
  <c r="Y280" i="1"/>
  <c r="Y42" i="1"/>
  <c r="W164" i="1"/>
  <c r="W165" i="1" s="1"/>
  <c r="V164" i="1"/>
  <c r="W304" i="5"/>
  <c r="W213" i="5"/>
  <c r="W309" i="5" s="1"/>
  <c r="X212" i="5"/>
  <c r="X89" i="5" s="1"/>
  <c r="X46" i="5"/>
  <c r="X88" i="5"/>
  <c r="W46" i="5"/>
  <c r="W88" i="5"/>
  <c r="X42" i="5"/>
  <c r="X398" i="5" s="1"/>
  <c r="W287" i="5"/>
  <c r="V168" i="5"/>
  <c r="V100" i="5" s="1"/>
  <c r="U316" i="1"/>
  <c r="Y201" i="5"/>
  <c r="Y81" i="5" s="1"/>
  <c r="AA320" i="5"/>
  <c r="Z321" i="5"/>
  <c r="X291" i="5"/>
  <c r="X293" i="5" s="1"/>
  <c r="W266" i="5"/>
  <c r="X280" i="5"/>
  <c r="W248" i="5"/>
  <c r="W249" i="5" s="1"/>
  <c r="W307" i="5"/>
  <c r="Y11" i="5"/>
  <c r="X282" i="5"/>
  <c r="X109" i="5"/>
  <c r="X279" i="5"/>
  <c r="X108" i="5"/>
  <c r="X287" i="1"/>
  <c r="X48" i="1"/>
  <c r="X451" i="1" s="1"/>
  <c r="Y212" i="1"/>
  <c r="Z89" i="1"/>
  <c r="W309" i="1"/>
  <c r="W214" i="1"/>
  <c r="W168" i="1"/>
  <c r="Y301" i="1"/>
  <c r="Y303" i="1" s="1"/>
  <c r="X213" i="1"/>
  <c r="X291" i="1"/>
  <c r="X293" i="1" s="1"/>
  <c r="V208" i="1"/>
  <c r="V60" i="1"/>
  <c r="Z100" i="1"/>
  <c r="R217" i="1"/>
  <c r="Q221" i="1"/>
  <c r="X304" i="1"/>
  <c r="AB320" i="1"/>
  <c r="AA321" i="1"/>
  <c r="Y433" i="5" l="1"/>
  <c r="Y91" i="5"/>
  <c r="Y307" i="1"/>
  <c r="Y91" i="1"/>
  <c r="Y433" i="1"/>
  <c r="X402" i="5"/>
  <c r="X449" i="5"/>
  <c r="X404" i="1"/>
  <c r="Y402" i="1"/>
  <c r="Y396" i="1"/>
  <c r="W397" i="5"/>
  <c r="W448" i="5"/>
  <c r="W402" i="5"/>
  <c r="W449" i="5"/>
  <c r="X397" i="1"/>
  <c r="Z11" i="1"/>
  <c r="Z91" i="1" s="1"/>
  <c r="Y367" i="1"/>
  <c r="Y258" i="1"/>
  <c r="Y277" i="1"/>
  <c r="Y67" i="1"/>
  <c r="Y51" i="1"/>
  <c r="Y113" i="1"/>
  <c r="Y197" i="1"/>
  <c r="Y173" i="1"/>
  <c r="Y243" i="1"/>
  <c r="Y223" i="1"/>
  <c r="Y41" i="1"/>
  <c r="Y448" i="1" s="1"/>
  <c r="Y398" i="1"/>
  <c r="AA12" i="5"/>
  <c r="Z368" i="5"/>
  <c r="Y258" i="5"/>
  <c r="Y367" i="5"/>
  <c r="AA12" i="1"/>
  <c r="Z368" i="1"/>
  <c r="S167" i="5"/>
  <c r="S31" i="5" s="1"/>
  <c r="S387" i="5" s="1"/>
  <c r="V226" i="1"/>
  <c r="V165" i="1"/>
  <c r="W166" i="1"/>
  <c r="W22" i="1" s="1"/>
  <c r="W378" i="1" s="1"/>
  <c r="W437" i="1" s="1"/>
  <c r="W169" i="1"/>
  <c r="W170" i="1" s="1"/>
  <c r="W262" i="1"/>
  <c r="Y303" i="5"/>
  <c r="Z301" i="5" s="1"/>
  <c r="AS82" i="1"/>
  <c r="X86" i="1" s="1"/>
  <c r="X206" i="1" s="1"/>
  <c r="AT84" i="1"/>
  <c r="Z101" i="5"/>
  <c r="Y281" i="5"/>
  <c r="Y277" i="5"/>
  <c r="Y243" i="5"/>
  <c r="Y223" i="5"/>
  <c r="Y173" i="5"/>
  <c r="Y197" i="5"/>
  <c r="Y113" i="5"/>
  <c r="Y51" i="5"/>
  <c r="Y67" i="5"/>
  <c r="W295" i="1"/>
  <c r="W60" i="1" s="1"/>
  <c r="Z266" i="1"/>
  <c r="X41" i="5"/>
  <c r="Y110" i="1"/>
  <c r="Y111" i="1" s="1"/>
  <c r="Y283" i="5"/>
  <c r="Y82" i="5"/>
  <c r="Y43" i="5"/>
  <c r="Y399" i="5" s="1"/>
  <c r="Y83" i="5"/>
  <c r="Y44" i="5"/>
  <c r="Y400" i="5" s="1"/>
  <c r="Y84" i="5"/>
  <c r="Y45" i="5"/>
  <c r="Y401" i="5" s="1"/>
  <c r="Z280" i="1"/>
  <c r="Z42" i="1"/>
  <c r="Z202" i="5"/>
  <c r="Z281" i="1"/>
  <c r="Z203" i="5"/>
  <c r="Z282" i="1"/>
  <c r="Z109" i="1"/>
  <c r="Z204" i="5"/>
  <c r="Z283" i="1"/>
  <c r="AA204" i="1"/>
  <c r="AA45" i="1" s="1"/>
  <c r="AA401" i="1" s="1"/>
  <c r="AA203" i="1"/>
  <c r="AA44" i="1" s="1"/>
  <c r="AA400" i="1" s="1"/>
  <c r="AA202" i="1"/>
  <c r="AA43" i="1" s="1"/>
  <c r="AA399" i="1" s="1"/>
  <c r="AA201" i="1"/>
  <c r="AA211" i="1"/>
  <c r="AA200" i="1"/>
  <c r="AB78" i="1"/>
  <c r="Z286" i="1"/>
  <c r="Z46" i="1"/>
  <c r="Z449" i="1" s="1"/>
  <c r="Z279" i="1"/>
  <c r="Z248" i="1" s="1"/>
  <c r="AA266" i="1" s="1"/>
  <c r="Z40" i="1"/>
  <c r="Z447" i="1" s="1"/>
  <c r="Z108" i="1"/>
  <c r="W214" i="5"/>
  <c r="X304" i="5"/>
  <c r="X287" i="5"/>
  <c r="X213" i="5"/>
  <c r="X214" i="5" s="1"/>
  <c r="Y212" i="5"/>
  <c r="Y89" i="5" s="1"/>
  <c r="Y42" i="5"/>
  <c r="Y398" i="5" s="1"/>
  <c r="Y211" i="5"/>
  <c r="W110" i="5"/>
  <c r="W111" i="5" s="1"/>
  <c r="W168" i="5"/>
  <c r="W100" i="5" s="1"/>
  <c r="W226" i="1"/>
  <c r="X307" i="5"/>
  <c r="Z11" i="5"/>
  <c r="Y291" i="5"/>
  <c r="Y293" i="5" s="1"/>
  <c r="X248" i="5"/>
  <c r="X249" i="5" s="1"/>
  <c r="X266" i="5"/>
  <c r="AB320" i="5"/>
  <c r="AA321" i="5"/>
  <c r="Z201" i="5"/>
  <c r="Z81" i="5" s="1"/>
  <c r="Y279" i="5"/>
  <c r="Y108" i="5"/>
  <c r="Y282" i="5"/>
  <c r="Y304" i="1"/>
  <c r="AA89" i="1"/>
  <c r="Z212" i="1"/>
  <c r="Y287" i="1"/>
  <c r="Y48" i="1"/>
  <c r="Y451" i="1" s="1"/>
  <c r="Y291" i="1"/>
  <c r="Y293" i="1" s="1"/>
  <c r="R221" i="1"/>
  <c r="S217" i="1"/>
  <c r="X309" i="1"/>
  <c r="X214" i="1"/>
  <c r="AC320" i="1"/>
  <c r="AC321" i="1" s="1"/>
  <c r="AB321" i="1"/>
  <c r="AA100" i="1"/>
  <c r="Z301" i="1"/>
  <c r="Z303" i="1" s="1"/>
  <c r="Y213" i="1"/>
  <c r="X168" i="1"/>
  <c r="Z433" i="5" l="1"/>
  <c r="Z91" i="5"/>
  <c r="Z223" i="1"/>
  <c r="Z307" i="1"/>
  <c r="Z277" i="1"/>
  <c r="Z67" i="1"/>
  <c r="Z51" i="1"/>
  <c r="Z113" i="1"/>
  <c r="Z258" i="1"/>
  <c r="Z197" i="1"/>
  <c r="Z173" i="1"/>
  <c r="Z243" i="1"/>
  <c r="AA11" i="1"/>
  <c r="AA197" i="1" s="1"/>
  <c r="Z367" i="1"/>
  <c r="Z433" i="1"/>
  <c r="X164" i="1"/>
  <c r="X165" i="1" s="1"/>
  <c r="X169" i="1" s="1"/>
  <c r="X170" i="1" s="1"/>
  <c r="Y404" i="1"/>
  <c r="Z396" i="1"/>
  <c r="Z402" i="1"/>
  <c r="X397" i="5"/>
  <c r="X448" i="5"/>
  <c r="Y397" i="1"/>
  <c r="Z258" i="5"/>
  <c r="Z367" i="5"/>
  <c r="AB12" i="1"/>
  <c r="AA368" i="1"/>
  <c r="Z41" i="1"/>
  <c r="Z448" i="1" s="1"/>
  <c r="Z398" i="1"/>
  <c r="AB12" i="5"/>
  <c r="AA368" i="5"/>
  <c r="W171" i="1"/>
  <c r="W225" i="1" s="1"/>
  <c r="V166" i="1"/>
  <c r="V22" i="1" s="1"/>
  <c r="V378" i="1" s="1"/>
  <c r="V437" i="1" s="1"/>
  <c r="V169" i="1"/>
  <c r="W208" i="1"/>
  <c r="X262" i="1"/>
  <c r="AS83" i="1"/>
  <c r="AT85" i="1"/>
  <c r="Y109" i="5"/>
  <c r="Z302" i="5"/>
  <c r="Z303" i="5" s="1"/>
  <c r="AA301" i="5" s="1"/>
  <c r="Z63" i="5"/>
  <c r="S263" i="5"/>
  <c r="T263" i="5"/>
  <c r="AA101" i="5"/>
  <c r="Y280" i="5"/>
  <c r="Z283" i="5"/>
  <c r="Z277" i="5"/>
  <c r="Z243" i="5"/>
  <c r="Z223" i="5"/>
  <c r="Z173" i="5"/>
  <c r="Z197" i="5"/>
  <c r="Z113" i="5"/>
  <c r="Z51" i="5"/>
  <c r="Z67" i="5"/>
  <c r="Z249" i="1"/>
  <c r="Z110" i="1"/>
  <c r="Z111" i="1" s="1"/>
  <c r="Y41" i="5"/>
  <c r="Z281" i="5"/>
  <c r="Z83" i="5"/>
  <c r="Z44" i="5"/>
  <c r="Z400" i="5" s="1"/>
  <c r="Z84" i="5"/>
  <c r="Z45" i="5"/>
  <c r="Z401" i="5" s="1"/>
  <c r="Z82" i="5"/>
  <c r="Z43" i="5"/>
  <c r="Z399" i="5" s="1"/>
  <c r="AB204" i="1"/>
  <c r="AB45" i="1" s="1"/>
  <c r="AB401" i="1" s="1"/>
  <c r="AB203" i="1"/>
  <c r="AB44" i="1" s="1"/>
  <c r="AB400" i="1" s="1"/>
  <c r="AB202" i="1"/>
  <c r="AB43" i="1" s="1"/>
  <c r="AB399" i="1" s="1"/>
  <c r="AB201" i="1"/>
  <c r="AC78" i="1"/>
  <c r="AB200" i="1"/>
  <c r="AB211" i="1"/>
  <c r="AA279" i="1"/>
  <c r="AA248" i="1" s="1"/>
  <c r="AA249" i="1" s="1"/>
  <c r="AA108" i="1"/>
  <c r="AA40" i="1"/>
  <c r="AA447" i="1" s="1"/>
  <c r="AA286" i="1"/>
  <c r="AA46" i="1"/>
  <c r="AA449" i="1" s="1"/>
  <c r="AA280" i="1"/>
  <c r="AA42" i="1"/>
  <c r="AA204" i="5"/>
  <c r="AA283" i="1"/>
  <c r="AA202" i="5"/>
  <c r="AA281" i="1"/>
  <c r="AA203" i="5"/>
  <c r="AA282" i="1"/>
  <c r="AA109" i="1"/>
  <c r="X309" i="5"/>
  <c r="Z212" i="5"/>
  <c r="Z89" i="5" s="1"/>
  <c r="Z42" i="5"/>
  <c r="Z398" i="5" s="1"/>
  <c r="Y46" i="5"/>
  <c r="Y88" i="5"/>
  <c r="Y287" i="5"/>
  <c r="Z211" i="5"/>
  <c r="AA211" i="5"/>
  <c r="Y213" i="5"/>
  <c r="Y214" i="5" s="1"/>
  <c r="X110" i="5"/>
  <c r="X111" i="5" s="1"/>
  <c r="Y168" i="1"/>
  <c r="Y304" i="5"/>
  <c r="X168" i="5"/>
  <c r="X100" i="5" s="1"/>
  <c r="Z279" i="5"/>
  <c r="Z108" i="5"/>
  <c r="Y248" i="5"/>
  <c r="Y249" i="5" s="1"/>
  <c r="Y266" i="5"/>
  <c r="Z280" i="5"/>
  <c r="Y110" i="5"/>
  <c r="Z291" i="5"/>
  <c r="Z293" i="5" s="1"/>
  <c r="AC320" i="5"/>
  <c r="AC321" i="5" s="1"/>
  <c r="AB321" i="5"/>
  <c r="Y307" i="5"/>
  <c r="AA11" i="5"/>
  <c r="Z282" i="5"/>
  <c r="Z109" i="5"/>
  <c r="Z304" i="1"/>
  <c r="Z48" i="1"/>
  <c r="Z451" i="1" s="1"/>
  <c r="Z287" i="1"/>
  <c r="AA212" i="1"/>
  <c r="AB89" i="1"/>
  <c r="AB100" i="1"/>
  <c r="Y309" i="1"/>
  <c r="Y214" i="1"/>
  <c r="AA301" i="1"/>
  <c r="AA303" i="1" s="1"/>
  <c r="Z213" i="1"/>
  <c r="W316" i="1"/>
  <c r="T217" i="1"/>
  <c r="S221" i="1"/>
  <c r="Z291" i="1"/>
  <c r="Z293" i="1" s="1"/>
  <c r="AA173" i="1" l="1"/>
  <c r="AA223" i="1"/>
  <c r="AA51" i="1"/>
  <c r="AA243" i="1"/>
  <c r="AB11" i="1"/>
  <c r="AB91" i="1" s="1"/>
  <c r="AA277" i="1"/>
  <c r="AA113" i="1"/>
  <c r="AA367" i="1"/>
  <c r="AA433" i="5"/>
  <c r="AA91" i="5"/>
  <c r="AA258" i="1"/>
  <c r="AA91" i="1"/>
  <c r="AA67" i="1"/>
  <c r="X226" i="1"/>
  <c r="AB433" i="1"/>
  <c r="AB307" i="1"/>
  <c r="AA433" i="1"/>
  <c r="AA307" i="1"/>
  <c r="X166" i="1"/>
  <c r="X22" i="1" s="1"/>
  <c r="X378" i="1" s="1"/>
  <c r="X437" i="1" s="1"/>
  <c r="X295" i="1"/>
  <c r="Y164" i="1" s="1"/>
  <c r="Y165" i="1" s="1"/>
  <c r="Z397" i="1"/>
  <c r="Z404" i="1"/>
  <c r="AA402" i="1"/>
  <c r="Y397" i="5"/>
  <c r="Y448" i="5"/>
  <c r="Y402" i="5"/>
  <c r="Y449" i="5"/>
  <c r="AA396" i="1"/>
  <c r="AB367" i="1"/>
  <c r="AC12" i="1"/>
  <c r="AC368" i="1" s="1"/>
  <c r="AB368" i="1"/>
  <c r="AA258" i="5"/>
  <c r="AA367" i="5"/>
  <c r="AC12" i="5"/>
  <c r="AC368" i="5" s="1"/>
  <c r="AB368" i="5"/>
  <c r="AA41" i="1"/>
  <c r="AA448" i="1" s="1"/>
  <c r="AA398" i="1"/>
  <c r="V170" i="1"/>
  <c r="T167" i="5"/>
  <c r="T31" i="5" s="1"/>
  <c r="T387" i="5" s="1"/>
  <c r="X171" i="1"/>
  <c r="X225" i="1" s="1"/>
  <c r="AS84" i="1"/>
  <c r="Z86" i="1" s="1"/>
  <c r="Z206" i="1" s="1"/>
  <c r="Y86" i="1"/>
  <c r="Y206" i="1" s="1"/>
  <c r="Z262" i="1"/>
  <c r="Y262" i="1"/>
  <c r="Y111" i="5"/>
  <c r="AT86" i="1"/>
  <c r="AA201" i="5"/>
  <c r="AA81" i="5" s="1"/>
  <c r="AA302" i="5"/>
  <c r="AA303" i="5" s="1"/>
  <c r="AB301" i="5" s="1"/>
  <c r="AA63" i="5"/>
  <c r="AB101" i="5"/>
  <c r="AB243" i="1"/>
  <c r="AB197" i="1"/>
  <c r="AB113" i="1"/>
  <c r="AB51" i="1"/>
  <c r="AB67" i="1"/>
  <c r="AA283" i="5"/>
  <c r="AA277" i="5"/>
  <c r="AA243" i="5"/>
  <c r="AA223" i="5"/>
  <c r="AA173" i="5"/>
  <c r="AA197" i="5"/>
  <c r="AA113" i="5"/>
  <c r="AA51" i="5"/>
  <c r="AA67" i="5"/>
  <c r="AB266" i="1"/>
  <c r="Z41" i="5"/>
  <c r="AA281" i="5"/>
  <c r="AA83" i="5"/>
  <c r="AA44" i="5"/>
  <c r="AA400" i="5" s="1"/>
  <c r="AA84" i="5"/>
  <c r="AA45" i="5"/>
  <c r="AA401" i="5" s="1"/>
  <c r="AA82" i="5"/>
  <c r="AA43" i="5"/>
  <c r="AA399" i="5" s="1"/>
  <c r="AB202" i="5"/>
  <c r="AB281" i="1"/>
  <c r="AB203" i="5"/>
  <c r="AB282" i="1"/>
  <c r="AB109" i="1"/>
  <c r="AA110" i="1"/>
  <c r="AA111" i="1" s="1"/>
  <c r="AB204" i="5"/>
  <c r="AB283" i="1"/>
  <c r="AB286" i="1"/>
  <c r="AB46" i="1"/>
  <c r="AB449" i="1" s="1"/>
  <c r="AB280" i="1"/>
  <c r="AB42" i="1"/>
  <c r="AB108" i="1"/>
  <c r="AB40" i="1"/>
  <c r="AB447" i="1" s="1"/>
  <c r="AB279" i="1"/>
  <c r="AB248" i="1" s="1"/>
  <c r="AB249" i="1" s="1"/>
  <c r="AC204" i="1"/>
  <c r="AC45" i="1" s="1"/>
  <c r="AC203" i="1"/>
  <c r="AC44" i="1" s="1"/>
  <c r="AC202" i="1"/>
  <c r="AC43" i="1" s="1"/>
  <c r="AC201" i="1"/>
  <c r="AC211" i="1"/>
  <c r="AC200" i="1"/>
  <c r="Z287" i="5"/>
  <c r="Y309" i="5"/>
  <c r="AA46" i="5"/>
  <c r="AA88" i="5"/>
  <c r="Z46" i="5"/>
  <c r="Z88" i="5"/>
  <c r="AB211" i="5"/>
  <c r="AA212" i="5"/>
  <c r="AA89" i="5" s="1"/>
  <c r="Y168" i="5"/>
  <c r="Y100" i="5" s="1"/>
  <c r="Z213" i="5"/>
  <c r="Z309" i="5" s="1"/>
  <c r="Z168" i="1"/>
  <c r="Z304" i="5"/>
  <c r="AA279" i="5"/>
  <c r="AA108" i="5"/>
  <c r="AA291" i="5"/>
  <c r="AA293" i="5" s="1"/>
  <c r="Z266" i="5"/>
  <c r="Z248" i="5"/>
  <c r="Z249" i="5" s="1"/>
  <c r="AA280" i="5"/>
  <c r="AA282" i="5"/>
  <c r="Z307" i="5"/>
  <c r="AB11" i="5"/>
  <c r="AB201" i="5"/>
  <c r="AB81" i="5" s="1"/>
  <c r="AA48" i="1"/>
  <c r="AA451" i="1" s="1"/>
  <c r="AA287" i="1"/>
  <c r="AA304" i="1"/>
  <c r="AB212" i="1"/>
  <c r="AC89" i="1"/>
  <c r="AA291" i="1"/>
  <c r="AA293" i="1" s="1"/>
  <c r="X316" i="1"/>
  <c r="U217" i="1"/>
  <c r="T221" i="1"/>
  <c r="Z309" i="1"/>
  <c r="Z214" i="1"/>
  <c r="AB301" i="1"/>
  <c r="AB303" i="1" s="1"/>
  <c r="AA213" i="1"/>
  <c r="AC11" i="1"/>
  <c r="AC91" i="1" s="1"/>
  <c r="AC100" i="1"/>
  <c r="AB173" i="1" l="1"/>
  <c r="AB258" i="1"/>
  <c r="AB277" i="1"/>
  <c r="AB223" i="1"/>
  <c r="AB433" i="5"/>
  <c r="AB91" i="5"/>
  <c r="AC433" i="1"/>
  <c r="AC307" i="1"/>
  <c r="X208" i="1"/>
  <c r="Y295" i="1"/>
  <c r="Y208" i="1" s="1"/>
  <c r="X60" i="1"/>
  <c r="AA402" i="5"/>
  <c r="AA449" i="5"/>
  <c r="Z397" i="5"/>
  <c r="Z448" i="5"/>
  <c r="AA397" i="1"/>
  <c r="AB402" i="1"/>
  <c r="AA404" i="1"/>
  <c r="AB396" i="1"/>
  <c r="Z402" i="5"/>
  <c r="Z449" i="5"/>
  <c r="AC367" i="1"/>
  <c r="L45" i="1"/>
  <c r="AC401" i="1"/>
  <c r="L401" i="1" s="1"/>
  <c r="L44" i="1"/>
  <c r="AC400" i="1"/>
  <c r="L400" i="1" s="1"/>
  <c r="AB41" i="1"/>
  <c r="AB448" i="1" s="1"/>
  <c r="AB398" i="1"/>
  <c r="AS85" i="1"/>
  <c r="AA86" i="1" s="1"/>
  <c r="AA206" i="1" s="1"/>
  <c r="AB258" i="5"/>
  <c r="AB367" i="5"/>
  <c r="L43" i="1"/>
  <c r="AC399" i="1"/>
  <c r="L399" i="1" s="1"/>
  <c r="V316" i="1"/>
  <c r="V171" i="1"/>
  <c r="V225" i="1" s="1"/>
  <c r="Y169" i="1"/>
  <c r="Y166" i="1"/>
  <c r="Y22" i="1" s="1"/>
  <c r="Y378" i="1" s="1"/>
  <c r="Y437" i="1" s="1"/>
  <c r="AA262" i="1"/>
  <c r="AA42" i="5"/>
  <c r="AT87" i="1"/>
  <c r="AC258" i="1"/>
  <c r="AC101" i="5"/>
  <c r="AA109" i="5"/>
  <c r="AB63" i="5"/>
  <c r="AB302" i="5"/>
  <c r="AB303" i="5" s="1"/>
  <c r="AC301" i="5" s="1"/>
  <c r="AC243" i="1"/>
  <c r="AC223" i="1"/>
  <c r="AC173" i="1"/>
  <c r="AC197" i="1"/>
  <c r="AC113" i="1"/>
  <c r="AC51" i="1"/>
  <c r="AC67" i="1"/>
  <c r="AC277" i="1"/>
  <c r="AB283" i="5"/>
  <c r="AB277" i="5"/>
  <c r="AB243" i="5"/>
  <c r="AB223" i="5"/>
  <c r="AB173" i="5"/>
  <c r="AB197" i="5"/>
  <c r="AB113" i="5"/>
  <c r="AB51" i="5"/>
  <c r="AB67" i="5"/>
  <c r="AB110" i="1"/>
  <c r="AB111" i="1" s="1"/>
  <c r="AB281" i="5"/>
  <c r="Y226" i="1"/>
  <c r="AB82" i="5"/>
  <c r="AB43" i="5"/>
  <c r="AB399" i="5" s="1"/>
  <c r="AB84" i="5"/>
  <c r="AB45" i="5"/>
  <c r="AB401" i="5" s="1"/>
  <c r="AB83" i="5"/>
  <c r="AB44" i="5"/>
  <c r="AB400" i="5" s="1"/>
  <c r="AC266" i="1"/>
  <c r="AC279" i="1"/>
  <c r="AC248" i="1" s="1"/>
  <c r="AC249" i="1" s="1"/>
  <c r="AC108" i="1"/>
  <c r="AC40" i="1"/>
  <c r="AC447" i="1" s="1"/>
  <c r="AC286" i="1"/>
  <c r="AC46" i="1"/>
  <c r="AC449" i="1" s="1"/>
  <c r="Z295" i="1"/>
  <c r="AA164" i="1" s="1"/>
  <c r="AA165" i="1" s="1"/>
  <c r="AC280" i="1"/>
  <c r="AC42" i="1"/>
  <c r="AC398" i="1" s="1"/>
  <c r="AC202" i="5"/>
  <c r="AC281" i="1"/>
  <c r="AC203" i="5"/>
  <c r="AC282" i="1"/>
  <c r="AC109" i="1"/>
  <c r="AC204" i="5"/>
  <c r="AC283" i="1"/>
  <c r="AA287" i="5"/>
  <c r="AB212" i="5"/>
  <c r="AB89" i="5" s="1"/>
  <c r="Z214" i="5"/>
  <c r="AB42" i="5"/>
  <c r="AB398" i="5" s="1"/>
  <c r="AB46" i="5"/>
  <c r="AB88" i="5"/>
  <c r="Z168" i="5"/>
  <c r="Z100" i="5" s="1"/>
  <c r="Z110" i="5"/>
  <c r="Z111" i="5" s="1"/>
  <c r="AA213" i="5"/>
  <c r="AA309" i="5" s="1"/>
  <c r="AA168" i="1"/>
  <c r="AA304" i="5"/>
  <c r="AB280" i="5"/>
  <c r="AA248" i="5"/>
  <c r="AA249" i="5" s="1"/>
  <c r="AB282" i="5"/>
  <c r="AB109" i="5"/>
  <c r="AA266" i="5"/>
  <c r="AA307" i="5"/>
  <c r="AC11" i="5"/>
  <c r="AB279" i="5"/>
  <c r="AB108" i="5"/>
  <c r="AB291" i="5"/>
  <c r="AB293" i="5" s="1"/>
  <c r="AC201" i="5"/>
  <c r="AB304" i="1"/>
  <c r="AB168" i="1" s="1"/>
  <c r="AB48" i="1"/>
  <c r="AB451" i="1" s="1"/>
  <c r="AB287" i="1"/>
  <c r="AC212" i="1"/>
  <c r="L89" i="1"/>
  <c r="L100" i="1"/>
  <c r="U221" i="1"/>
  <c r="AA309" i="1"/>
  <c r="AA214" i="1"/>
  <c r="AC301" i="1"/>
  <c r="AC303" i="1" s="1"/>
  <c r="AC213" i="1" s="1"/>
  <c r="AB213" i="1"/>
  <c r="AB291" i="1"/>
  <c r="AB293" i="1" s="1"/>
  <c r="AC433" i="5" l="1"/>
  <c r="AC91" i="5"/>
  <c r="Y60" i="1"/>
  <c r="AB404" i="1"/>
  <c r="AB402" i="5"/>
  <c r="AB449" i="5"/>
  <c r="AC396" i="1"/>
  <c r="L396" i="1" s="1"/>
  <c r="AB397" i="1"/>
  <c r="L398" i="1"/>
  <c r="AS86" i="1"/>
  <c r="AB262" i="1" s="1"/>
  <c r="AA41" i="5"/>
  <c r="AA398" i="5"/>
  <c r="AC258" i="5"/>
  <c r="AC367" i="5"/>
  <c r="L46" i="1"/>
  <c r="AC402" i="1"/>
  <c r="L402" i="1" s="1"/>
  <c r="V217" i="1"/>
  <c r="W217" i="1" s="1"/>
  <c r="AA169" i="1"/>
  <c r="AA170" i="1" s="1"/>
  <c r="AA166" i="1"/>
  <c r="AA22" i="1" s="1"/>
  <c r="AA378" i="1" s="1"/>
  <c r="AA437" i="1" s="1"/>
  <c r="Y170" i="1"/>
  <c r="Y316" i="1" s="1"/>
  <c r="U167" i="5"/>
  <c r="U31" i="5" s="1"/>
  <c r="U387" i="5" s="1"/>
  <c r="AB86" i="1"/>
  <c r="AB206" i="1" s="1"/>
  <c r="AC281" i="5"/>
  <c r="AC63" i="5"/>
  <c r="L63" i="5" s="1"/>
  <c r="AC302" i="5"/>
  <c r="AC303" i="5" s="1"/>
  <c r="L101" i="5"/>
  <c r="AC277" i="5"/>
  <c r="AC243" i="5"/>
  <c r="AC223" i="5"/>
  <c r="AC173" i="5"/>
  <c r="AC197" i="5"/>
  <c r="AC113" i="5"/>
  <c r="AC51" i="5"/>
  <c r="AC67" i="5"/>
  <c r="Z60" i="1"/>
  <c r="Z208" i="1"/>
  <c r="L248" i="1"/>
  <c r="L249" i="1" s="1"/>
  <c r="L40" i="1"/>
  <c r="L42" i="1"/>
  <c r="AC41" i="1"/>
  <c r="AC448" i="1" s="1"/>
  <c r="AA295" i="1"/>
  <c r="AB164" i="1" s="1"/>
  <c r="AB165" i="1" s="1"/>
  <c r="AB41" i="5"/>
  <c r="AC283" i="5"/>
  <c r="AC83" i="5"/>
  <c r="AC44" i="5"/>
  <c r="AC82" i="5"/>
  <c r="AC43" i="5"/>
  <c r="AC84" i="5"/>
  <c r="AC45" i="5"/>
  <c r="AC110" i="1"/>
  <c r="AC111" i="1" s="1"/>
  <c r="AC81" i="5"/>
  <c r="Z164" i="1"/>
  <c r="Z165" i="1" s="1"/>
  <c r="AB287" i="5"/>
  <c r="AC42" i="5"/>
  <c r="AC398" i="5" s="1"/>
  <c r="AA214" i="5"/>
  <c r="AC212" i="5"/>
  <c r="AC89" i="5" s="1"/>
  <c r="AC211" i="5"/>
  <c r="AB304" i="5"/>
  <c r="AA110" i="5"/>
  <c r="AA111" i="5" s="1"/>
  <c r="AB213" i="5"/>
  <c r="AB309" i="5" s="1"/>
  <c r="AC213" i="5"/>
  <c r="AC309" i="5" s="1"/>
  <c r="AA168" i="5"/>
  <c r="AA100" i="5" s="1"/>
  <c r="AA226" i="1"/>
  <c r="AC279" i="5"/>
  <c r="AC108" i="5"/>
  <c r="AB248" i="5"/>
  <c r="AB249" i="5" s="1"/>
  <c r="AB110" i="5"/>
  <c r="AB111" i="5" s="1"/>
  <c r="AB266" i="5"/>
  <c r="AC282" i="5"/>
  <c r="AC109" i="5"/>
  <c r="AC280" i="5"/>
  <c r="AC291" i="5"/>
  <c r="AC293" i="5" s="1"/>
  <c r="AB307" i="5"/>
  <c r="AC287" i="1"/>
  <c r="AC48" i="1"/>
  <c r="AC451" i="1" s="1"/>
  <c r="AC304" i="1"/>
  <c r="AB309" i="1"/>
  <c r="AB214" i="1"/>
  <c r="AC309" i="1"/>
  <c r="AC214" i="1"/>
  <c r="AC291" i="1"/>
  <c r="AC293" i="1" s="1"/>
  <c r="AC404" i="1" l="1"/>
  <c r="L404" i="1" s="1"/>
  <c r="AB397" i="5"/>
  <c r="AB448" i="5"/>
  <c r="V221" i="1"/>
  <c r="AA397" i="5"/>
  <c r="AA448" i="5"/>
  <c r="AS87" i="1"/>
  <c r="AC262" i="1" s="1"/>
  <c r="AC401" i="5"/>
  <c r="L41" i="1"/>
  <c r="AC397" i="1"/>
  <c r="AC399" i="5"/>
  <c r="AC400" i="5"/>
  <c r="AB166" i="1"/>
  <c r="AB22" i="1" s="1"/>
  <c r="AB378" i="1" s="1"/>
  <c r="AB437" i="1" s="1"/>
  <c r="AB169" i="1"/>
  <c r="AB170" i="1" s="1"/>
  <c r="Y171" i="1"/>
  <c r="Y225" i="1" s="1"/>
  <c r="Z166" i="1"/>
  <c r="Z22" i="1" s="1"/>
  <c r="Z378" i="1" s="1"/>
  <c r="Z437" i="1" s="1"/>
  <c r="Z169" i="1"/>
  <c r="Z170" i="1" s="1"/>
  <c r="AA171" i="1"/>
  <c r="AA225" i="1" s="1"/>
  <c r="AC86" i="1"/>
  <c r="AC206" i="1" s="1"/>
  <c r="Z226" i="1"/>
  <c r="AB295" i="1"/>
  <c r="AC164" i="1" s="1"/>
  <c r="AC165" i="1" s="1"/>
  <c r="AA60" i="1"/>
  <c r="AA208" i="1"/>
  <c r="AC41" i="5"/>
  <c r="AC448" i="5" s="1"/>
  <c r="AB214" i="5"/>
  <c r="AC46" i="5"/>
  <c r="AC449" i="5" s="1"/>
  <c r="AC88" i="5"/>
  <c r="AC214" i="5"/>
  <c r="AC304" i="5"/>
  <c r="AC287" i="5"/>
  <c r="AB168" i="5"/>
  <c r="AB100" i="5" s="1"/>
  <c r="AC168" i="1"/>
  <c r="K168" i="1" s="1"/>
  <c r="K169" i="1" s="1"/>
  <c r="L169" i="1" s="1"/>
  <c r="AA316" i="1"/>
  <c r="AB226" i="1"/>
  <c r="AC266" i="5"/>
  <c r="AC248" i="5"/>
  <c r="L48" i="1"/>
  <c r="X217" i="1"/>
  <c r="W221" i="1"/>
  <c r="AC397" i="5" l="1"/>
  <c r="AC402" i="5"/>
  <c r="L397" i="1"/>
  <c r="AC166" i="1"/>
  <c r="AC22" i="1" s="1"/>
  <c r="AC378" i="1" s="1"/>
  <c r="AC437" i="1" s="1"/>
  <c r="AC169" i="1"/>
  <c r="AC170" i="1" s="1"/>
  <c r="AC171" i="1" s="1"/>
  <c r="AB316" i="1"/>
  <c r="AB171" i="1"/>
  <c r="AB225" i="1" s="1"/>
  <c r="V167" i="5"/>
  <c r="V31" i="5" s="1"/>
  <c r="V387" i="5" s="1"/>
  <c r="Z171" i="1"/>
  <c r="Z225" i="1" s="1"/>
  <c r="Z316" i="1"/>
  <c r="AC295" i="1"/>
  <c r="AC208" i="1" s="1"/>
  <c r="AB60" i="1"/>
  <c r="AB208" i="1"/>
  <c r="AC249" i="5"/>
  <c r="AC110" i="5"/>
  <c r="AC111" i="5" s="1"/>
  <c r="AC168" i="5"/>
  <c r="AC100" i="5" s="1"/>
  <c r="L100" i="5" s="1"/>
  <c r="K164" i="1"/>
  <c r="AC226" i="1"/>
  <c r="X221" i="1"/>
  <c r="Y217" i="1"/>
  <c r="L168" i="1"/>
  <c r="L164" i="1" l="1"/>
  <c r="K165" i="1"/>
  <c r="AC60" i="1"/>
  <c r="L60" i="1" s="1"/>
  <c r="I164" i="1"/>
  <c r="K168" i="5"/>
  <c r="L226" i="1"/>
  <c r="AC225" i="1"/>
  <c r="Z217" i="1"/>
  <c r="Y221" i="1"/>
  <c r="AC316" i="1"/>
  <c r="K170" i="1"/>
  <c r="K171" i="1" s="1"/>
  <c r="L171" i="1" s="1"/>
  <c r="W167" i="5" l="1"/>
  <c r="W31" i="5" s="1"/>
  <c r="W387" i="5" s="1"/>
  <c r="L165" i="1"/>
  <c r="K166" i="1"/>
  <c r="I169" i="1"/>
  <c r="L225" i="1"/>
  <c r="L251" i="1"/>
  <c r="L170" i="1"/>
  <c r="I170" i="1"/>
  <c r="AA217" i="1"/>
  <c r="Z221" i="1"/>
  <c r="Y358" i="1" l="1"/>
  <c r="S358" i="1"/>
  <c r="L22" i="1"/>
  <c r="L378" i="1" s="1"/>
  <c r="I171" i="1"/>
  <c r="AB217" i="1"/>
  <c r="AA221" i="1"/>
  <c r="X167" i="5" l="1"/>
  <c r="X31" i="5" s="1"/>
  <c r="X387" i="5" s="1"/>
  <c r="AB221" i="1"/>
  <c r="AC217" i="1"/>
  <c r="AC221" i="1" l="1"/>
  <c r="Y167" i="5" l="1"/>
  <c r="Y31" i="5" s="1"/>
  <c r="Y387" i="5" s="1"/>
  <c r="Z167" i="5" l="1"/>
  <c r="Z31" i="5" s="1"/>
  <c r="Z387" i="5" s="1"/>
  <c r="AA167" i="5" l="1"/>
  <c r="AA31" i="5" s="1"/>
  <c r="AA387" i="5" s="1"/>
  <c r="AB167" i="5" l="1"/>
  <c r="AB31" i="5" s="1"/>
  <c r="AB387" i="5" s="1"/>
  <c r="AC167" i="5" l="1"/>
  <c r="AC31" i="5" l="1"/>
  <c r="K167" i="5"/>
  <c r="L31" i="5" l="1"/>
  <c r="AC387" i="5"/>
  <c r="L387" i="5" s="1"/>
  <c r="N207" i="5" l="1"/>
  <c r="N49" i="5" s="1"/>
  <c r="N405" i="5" l="1"/>
  <c r="N452" i="5"/>
  <c r="N47" i="1"/>
  <c r="N450" i="1" s="1"/>
  <c r="N285" i="1"/>
  <c r="N403" i="1" l="1"/>
  <c r="N394" i="1" s="1"/>
  <c r="N395" i="1" s="1"/>
  <c r="O285" i="1"/>
  <c r="O207" i="5"/>
  <c r="O49" i="5" s="1"/>
  <c r="O47" i="1"/>
  <c r="O450" i="1" s="1"/>
  <c r="P207" i="5"/>
  <c r="P49" i="5" s="1"/>
  <c r="N38" i="1"/>
  <c r="N453" i="1" s="1"/>
  <c r="N288" i="1"/>
  <c r="N252" i="1"/>
  <c r="P405" i="5" l="1"/>
  <c r="P452" i="5"/>
  <c r="O405" i="5"/>
  <c r="O452" i="5"/>
  <c r="O252" i="1"/>
  <c r="O38" i="1"/>
  <c r="O453" i="1" s="1"/>
  <c r="O403" i="1"/>
  <c r="O394" i="1" s="1"/>
  <c r="O288" i="1"/>
  <c r="O59" i="1" s="1"/>
  <c r="R207" i="5"/>
  <c r="R49" i="5" s="1"/>
  <c r="P47" i="1"/>
  <c r="P450" i="1" s="1"/>
  <c r="P285" i="1"/>
  <c r="N253" i="1"/>
  <c r="N305" i="1"/>
  <c r="N59" i="1"/>
  <c r="N289" i="1"/>
  <c r="N227" i="1" s="1"/>
  <c r="N39" i="1"/>
  <c r="N454" i="1" s="1"/>
  <c r="R405" i="5" l="1"/>
  <c r="R452" i="5"/>
  <c r="O253" i="1"/>
  <c r="O261" i="1" s="1"/>
  <c r="O39" i="1"/>
  <c r="O454" i="1" s="1"/>
  <c r="O395" i="1"/>
  <c r="P38" i="1"/>
  <c r="P453" i="1" s="1"/>
  <c r="P403" i="1"/>
  <c r="P394" i="1" s="1"/>
  <c r="P395" i="1" s="1"/>
  <c r="O305" i="1"/>
  <c r="O289" i="1"/>
  <c r="O227" i="1" s="1"/>
  <c r="Q47" i="1"/>
  <c r="Q450" i="1" s="1"/>
  <c r="Q207" i="5"/>
  <c r="Q49" i="5" s="1"/>
  <c r="Q285" i="1"/>
  <c r="R47" i="1"/>
  <c r="R450" i="1" s="1"/>
  <c r="R285" i="1"/>
  <c r="T207" i="5"/>
  <c r="T49" i="5" s="1"/>
  <c r="P288" i="1"/>
  <c r="P252" i="1"/>
  <c r="S207" i="5"/>
  <c r="S49" i="5" s="1"/>
  <c r="N254" i="1"/>
  <c r="N261" i="1"/>
  <c r="N228" i="1"/>
  <c r="N440" i="1" s="1"/>
  <c r="O254" i="1" l="1"/>
  <c r="N443" i="1"/>
  <c r="S405" i="5"/>
  <c r="S452" i="5"/>
  <c r="P39" i="1"/>
  <c r="P454" i="1" s="1"/>
  <c r="Q405" i="5"/>
  <c r="Q452" i="5"/>
  <c r="T405" i="5"/>
  <c r="T452" i="5"/>
  <c r="R403" i="1"/>
  <c r="R394" i="1" s="1"/>
  <c r="R395" i="1" s="1"/>
  <c r="O228" i="1"/>
  <c r="O440" i="1" s="1"/>
  <c r="Q38" i="1"/>
  <c r="Q453" i="1" s="1"/>
  <c r="Q403" i="1"/>
  <c r="Q394" i="1" s="1"/>
  <c r="Q252" i="1"/>
  <c r="Q253" i="1" s="1"/>
  <c r="Q288" i="1"/>
  <c r="Q59" i="1" s="1"/>
  <c r="P305" i="1"/>
  <c r="P59" i="1"/>
  <c r="P289" i="1"/>
  <c r="P227" i="1" s="1"/>
  <c r="R288" i="1"/>
  <c r="R252" i="1"/>
  <c r="R38" i="1"/>
  <c r="R453" i="1" s="1"/>
  <c r="S285" i="1"/>
  <c r="S47" i="1"/>
  <c r="S450" i="1" s="1"/>
  <c r="P253" i="1"/>
  <c r="T47" i="1"/>
  <c r="T450" i="1" s="1"/>
  <c r="T285" i="1"/>
  <c r="AA207" i="5"/>
  <c r="AA49" i="5" s="1"/>
  <c r="AB207" i="5"/>
  <c r="AB49" i="5" s="1"/>
  <c r="N53" i="1"/>
  <c r="N235" i="1"/>
  <c r="N236" i="5" s="1"/>
  <c r="N322" i="1"/>
  <c r="N323" i="5" s="1"/>
  <c r="O264" i="1"/>
  <c r="N264" i="1"/>
  <c r="N270" i="1" s="1"/>
  <c r="N256" i="1"/>
  <c r="N255" i="1" s="1"/>
  <c r="O443" i="1" l="1"/>
  <c r="AA405" i="5"/>
  <c r="AA452" i="5"/>
  <c r="Q39" i="1"/>
  <c r="Q454" i="1" s="1"/>
  <c r="AB405" i="5"/>
  <c r="AB452" i="5"/>
  <c r="O256" i="1"/>
  <c r="O255" i="1" s="1"/>
  <c r="O322" i="1"/>
  <c r="O323" i="5" s="1"/>
  <c r="O53" i="1"/>
  <c r="O55" i="1" s="1"/>
  <c r="Q289" i="1"/>
  <c r="Q227" i="1" s="1"/>
  <c r="Q395" i="1"/>
  <c r="Q305" i="1"/>
  <c r="S38" i="1"/>
  <c r="S453" i="1" s="1"/>
  <c r="S403" i="1"/>
  <c r="S394" i="1" s="1"/>
  <c r="S395" i="1" s="1"/>
  <c r="T38" i="1"/>
  <c r="T453" i="1" s="1"/>
  <c r="T403" i="1"/>
  <c r="T394" i="1" s="1"/>
  <c r="T395" i="1" s="1"/>
  <c r="Y47" i="1"/>
  <c r="Y450" i="1" s="1"/>
  <c r="Y207" i="5"/>
  <c r="Y49" i="5" s="1"/>
  <c r="W207" i="5"/>
  <c r="W49" i="5" s="1"/>
  <c r="Z285" i="1"/>
  <c r="Z286" i="5" s="1"/>
  <c r="Z207" i="5"/>
  <c r="Z49" i="5" s="1"/>
  <c r="X285" i="1"/>
  <c r="X286" i="5" s="1"/>
  <c r="X207" i="5"/>
  <c r="X49" i="5" s="1"/>
  <c r="V47" i="1"/>
  <c r="V450" i="1" s="1"/>
  <c r="V207" i="5"/>
  <c r="V49" i="5" s="1"/>
  <c r="U47" i="1"/>
  <c r="U450" i="1" s="1"/>
  <c r="U207" i="5"/>
  <c r="U49" i="5" s="1"/>
  <c r="AC207" i="5"/>
  <c r="AC49" i="5" s="1"/>
  <c r="U285" i="1"/>
  <c r="Y285" i="1"/>
  <c r="AC47" i="1"/>
  <c r="AC450" i="1" s="1"/>
  <c r="AC285" i="1"/>
  <c r="V285" i="1"/>
  <c r="Z47" i="1"/>
  <c r="Z450" i="1" s="1"/>
  <c r="W47" i="1"/>
  <c r="W450" i="1" s="1"/>
  <c r="X47" i="1"/>
  <c r="X450" i="1" s="1"/>
  <c r="W285" i="1"/>
  <c r="W286" i="5" s="1"/>
  <c r="P254" i="1"/>
  <c r="P261" i="1"/>
  <c r="R39" i="1"/>
  <c r="R454" i="1" s="1"/>
  <c r="T288" i="1"/>
  <c r="T252" i="1"/>
  <c r="Q254" i="1"/>
  <c r="Q261" i="1"/>
  <c r="R253" i="1"/>
  <c r="AB285" i="1"/>
  <c r="AB286" i="5" s="1"/>
  <c r="AB47" i="1"/>
  <c r="AB450" i="1" s="1"/>
  <c r="R305" i="1"/>
  <c r="R59" i="1"/>
  <c r="R289" i="1"/>
  <c r="R227" i="1" s="1"/>
  <c r="AA47" i="1"/>
  <c r="AA450" i="1" s="1"/>
  <c r="AA285" i="1"/>
  <c r="AA286" i="5" s="1"/>
  <c r="S252" i="1"/>
  <c r="S288" i="1"/>
  <c r="P228" i="1"/>
  <c r="P440" i="1" s="1"/>
  <c r="P443" i="1" s="1"/>
  <c r="N324" i="1"/>
  <c r="N237" i="1"/>
  <c r="N442" i="1" s="1"/>
  <c r="N102" i="1"/>
  <c r="N55" i="1"/>
  <c r="N23" i="1" l="1"/>
  <c r="N379" i="1" s="1"/>
  <c r="T39" i="1"/>
  <c r="T454" i="1" s="1"/>
  <c r="S39" i="1"/>
  <c r="S454" i="1" s="1"/>
  <c r="Z405" i="5"/>
  <c r="Z452" i="5"/>
  <c r="U405" i="5"/>
  <c r="U452" i="5"/>
  <c r="W405" i="5"/>
  <c r="W452" i="5"/>
  <c r="V405" i="5"/>
  <c r="V452" i="5"/>
  <c r="Y405" i="5"/>
  <c r="Y452" i="5"/>
  <c r="AC405" i="5"/>
  <c r="AC452" i="5"/>
  <c r="X405" i="5"/>
  <c r="X452" i="5"/>
  <c r="O324" i="1"/>
  <c r="O23" i="1" s="1"/>
  <c r="O379" i="1" s="1"/>
  <c r="Q228" i="1"/>
  <c r="Q440" i="1" s="1"/>
  <c r="Q443" i="1" s="1"/>
  <c r="Z288" i="1"/>
  <c r="Z59" i="1" s="1"/>
  <c r="AA38" i="1"/>
  <c r="AA453" i="1" s="1"/>
  <c r="AA403" i="1"/>
  <c r="AA394" i="1" s="1"/>
  <c r="AA395" i="1" s="1"/>
  <c r="X38" i="1"/>
  <c r="X453" i="1" s="1"/>
  <c r="X403" i="1"/>
  <c r="X394" i="1" s="1"/>
  <c r="X395" i="1" s="1"/>
  <c r="U38" i="1"/>
  <c r="U453" i="1" s="1"/>
  <c r="U403" i="1"/>
  <c r="U394" i="1" s="1"/>
  <c r="U395" i="1" s="1"/>
  <c r="W38" i="1"/>
  <c r="W453" i="1" s="1"/>
  <c r="W403" i="1"/>
  <c r="W394" i="1" s="1"/>
  <c r="W395" i="1" s="1"/>
  <c r="V38" i="1"/>
  <c r="V453" i="1" s="1"/>
  <c r="V403" i="1"/>
  <c r="V394" i="1" s="1"/>
  <c r="V395" i="1" s="1"/>
  <c r="Y38" i="1"/>
  <c r="Y453" i="1" s="1"/>
  <c r="Y403" i="1"/>
  <c r="Y394" i="1" s="1"/>
  <c r="Y395" i="1" s="1"/>
  <c r="AC38" i="1"/>
  <c r="AC453" i="1" s="1"/>
  <c r="AC403" i="1"/>
  <c r="AC394" i="1" s="1"/>
  <c r="Z38" i="1"/>
  <c r="Z453" i="1" s="1"/>
  <c r="Z403" i="1"/>
  <c r="Z394" i="1" s="1"/>
  <c r="Z395" i="1" s="1"/>
  <c r="AB38" i="1"/>
  <c r="AB453" i="1" s="1"/>
  <c r="AB403" i="1"/>
  <c r="AB394" i="1" s="1"/>
  <c r="AB395" i="1" s="1"/>
  <c r="V252" i="1"/>
  <c r="Y288" i="1"/>
  <c r="Y286" i="5"/>
  <c r="U288" i="1"/>
  <c r="U59" i="1" s="1"/>
  <c r="U286" i="5"/>
  <c r="X288" i="1"/>
  <c r="V288" i="1"/>
  <c r="V305" i="1" s="1"/>
  <c r="V286" i="5"/>
  <c r="U252" i="1"/>
  <c r="U253" i="1" s="1"/>
  <c r="AC286" i="5"/>
  <c r="L49" i="5"/>
  <c r="Y252" i="1"/>
  <c r="Z252" i="1"/>
  <c r="Z253" i="1" s="1"/>
  <c r="AC252" i="1"/>
  <c r="AC288" i="1"/>
  <c r="AC305" i="1" s="1"/>
  <c r="W252" i="1"/>
  <c r="L47" i="1"/>
  <c r="W288" i="1"/>
  <c r="X252" i="1"/>
  <c r="X253" i="1" s="1"/>
  <c r="S289" i="1"/>
  <c r="S227" i="1" s="1"/>
  <c r="S59" i="1"/>
  <c r="S305" i="1"/>
  <c r="AB252" i="1"/>
  <c r="AB288" i="1"/>
  <c r="S253" i="1"/>
  <c r="AA288" i="1"/>
  <c r="AA252" i="1"/>
  <c r="R254" i="1"/>
  <c r="R261" i="1"/>
  <c r="T253" i="1"/>
  <c r="P53" i="1"/>
  <c r="P55" i="1" s="1"/>
  <c r="P56" i="1" s="1"/>
  <c r="P322" i="1"/>
  <c r="P323" i="5" s="1"/>
  <c r="R228" i="1"/>
  <c r="R440" i="1" s="1"/>
  <c r="Q264" i="1"/>
  <c r="T305" i="1"/>
  <c r="T59" i="1"/>
  <c r="T289" i="1"/>
  <c r="T227" i="1" s="1"/>
  <c r="P264" i="1"/>
  <c r="P256" i="1"/>
  <c r="P255" i="1" s="1"/>
  <c r="N325" i="1"/>
  <c r="N326" i="1" s="1"/>
  <c r="N327" i="1"/>
  <c r="N64" i="1"/>
  <c r="N216" i="1"/>
  <c r="N272" i="1"/>
  <c r="N274" i="1" s="1"/>
  <c r="N27" i="1" s="1"/>
  <c r="N383" i="1" s="1"/>
  <c r="N238" i="1"/>
  <c r="O56" i="1"/>
  <c r="N56" i="1"/>
  <c r="Q53" i="1" l="1"/>
  <c r="Q55" i="1" s="1"/>
  <c r="O325" i="1"/>
  <c r="O326" i="1" s="1"/>
  <c r="R443" i="1"/>
  <c r="Z305" i="1"/>
  <c r="Q322" i="1"/>
  <c r="Q323" i="5" s="1"/>
  <c r="O327" i="1"/>
  <c r="O330" i="1" s="1"/>
  <c r="Q256" i="1"/>
  <c r="Q255" i="1" s="1"/>
  <c r="L405" i="5"/>
  <c r="W39" i="1"/>
  <c r="W454" i="1" s="1"/>
  <c r="AC39" i="1"/>
  <c r="AC454" i="1" s="1"/>
  <c r="U39" i="1"/>
  <c r="U454" i="1" s="1"/>
  <c r="Z39" i="1"/>
  <c r="Z454" i="1" s="1"/>
  <c r="Y39" i="1"/>
  <c r="Y454" i="1" s="1"/>
  <c r="X39" i="1"/>
  <c r="X454" i="1" s="1"/>
  <c r="AB39" i="1"/>
  <c r="AB454" i="1" s="1"/>
  <c r="V39" i="1"/>
  <c r="V454" i="1" s="1"/>
  <c r="AA39" i="1"/>
  <c r="AA454" i="1" s="1"/>
  <c r="Z289" i="1"/>
  <c r="Z227" i="1" s="1"/>
  <c r="L38" i="1"/>
  <c r="P359" i="1" s="1"/>
  <c r="V253" i="1"/>
  <c r="V254" i="1" s="1"/>
  <c r="AC395" i="1"/>
  <c r="L394" i="1"/>
  <c r="V359" i="1" s="1"/>
  <c r="N329" i="1"/>
  <c r="L395" i="1"/>
  <c r="L403" i="1"/>
  <c r="L39" i="1"/>
  <c r="O97" i="1" s="1"/>
  <c r="Y289" i="1"/>
  <c r="Y227" i="1" s="1"/>
  <c r="Y228" i="1" s="1"/>
  <c r="Y440" i="1" s="1"/>
  <c r="Y59" i="1"/>
  <c r="Y305" i="1"/>
  <c r="U305" i="1"/>
  <c r="U289" i="1"/>
  <c r="U227" i="1" s="1"/>
  <c r="U228" i="1" s="1"/>
  <c r="U440" i="1" s="1"/>
  <c r="X289" i="1"/>
  <c r="X227" i="1" s="1"/>
  <c r="Y253" i="1"/>
  <c r="Y261" i="1" s="1"/>
  <c r="AC253" i="1"/>
  <c r="AC254" i="1" s="1"/>
  <c r="X59" i="1"/>
  <c r="X305" i="1"/>
  <c r="V289" i="1"/>
  <c r="V227" i="1" s="1"/>
  <c r="V228" i="1" s="1"/>
  <c r="V440" i="1" s="1"/>
  <c r="V59" i="1"/>
  <c r="N240" i="1"/>
  <c r="N199" i="1" s="1"/>
  <c r="N239" i="5"/>
  <c r="AC289" i="1"/>
  <c r="AC227" i="1" s="1"/>
  <c r="AC228" i="1" s="1"/>
  <c r="AC440" i="1" s="1"/>
  <c r="AC59" i="1"/>
  <c r="W253" i="1"/>
  <c r="W254" i="1" s="1"/>
  <c r="W289" i="1"/>
  <c r="W227" i="1" s="1"/>
  <c r="W228" i="1" s="1"/>
  <c r="W440" i="1" s="1"/>
  <c r="W59" i="1"/>
  <c r="W305" i="1"/>
  <c r="Q56" i="1"/>
  <c r="R256" i="1"/>
  <c r="R255" i="1" s="1"/>
  <c r="T254" i="1"/>
  <c r="T261" i="1"/>
  <c r="Z254" i="1"/>
  <c r="Z261" i="1"/>
  <c r="X261" i="1"/>
  <c r="X254" i="1"/>
  <c r="S254" i="1"/>
  <c r="S261" i="1"/>
  <c r="AB253" i="1"/>
  <c r="T228" i="1"/>
  <c r="T440" i="1" s="1"/>
  <c r="R53" i="1"/>
  <c r="R322" i="1"/>
  <c r="R323" i="5" s="1"/>
  <c r="AA253" i="1"/>
  <c r="S228" i="1"/>
  <c r="S440" i="1" s="1"/>
  <c r="S443" i="1" s="1"/>
  <c r="P324" i="1"/>
  <c r="P23" i="1" s="1"/>
  <c r="P379" i="1" s="1"/>
  <c r="AA305" i="1"/>
  <c r="AA59" i="1"/>
  <c r="AA289" i="1"/>
  <c r="AA227" i="1" s="1"/>
  <c r="U254" i="1"/>
  <c r="U261" i="1"/>
  <c r="Q324" i="1"/>
  <c r="Q23" i="1" s="1"/>
  <c r="Q379" i="1" s="1"/>
  <c r="Z228" i="1"/>
  <c r="Z440" i="1" s="1"/>
  <c r="L252" i="1"/>
  <c r="L253" i="1" s="1"/>
  <c r="L254" i="1" s="1"/>
  <c r="AB59" i="1"/>
  <c r="AB289" i="1"/>
  <c r="AB227" i="1" s="1"/>
  <c r="AB305" i="1"/>
  <c r="R264" i="1"/>
  <c r="N218" i="1"/>
  <c r="N219" i="1" s="1"/>
  <c r="N328" i="1"/>
  <c r="N36" i="1"/>
  <c r="N392" i="1" s="1"/>
  <c r="O34" i="1"/>
  <c r="O390" i="1" s="1"/>
  <c r="N65" i="1"/>
  <c r="N330" i="1"/>
  <c r="N34" i="1"/>
  <c r="N390" i="1" s="1"/>
  <c r="O328" i="1" l="1"/>
  <c r="O444" i="1" s="1"/>
  <c r="O36" i="1"/>
  <c r="O392" i="1" s="1"/>
  <c r="U443" i="1"/>
  <c r="W443" i="1"/>
  <c r="V443" i="1"/>
  <c r="T443" i="1"/>
  <c r="V261" i="1"/>
  <c r="X228" i="1"/>
  <c r="X440" i="1" s="1"/>
  <c r="X443" i="1" s="1"/>
  <c r="Y254" i="1"/>
  <c r="Y256" i="1" s="1"/>
  <c r="Y255" i="1" s="1"/>
  <c r="AC261" i="1"/>
  <c r="O239" i="1"/>
  <c r="O235" i="1" s="1"/>
  <c r="O236" i="5" s="1"/>
  <c r="O267" i="1"/>
  <c r="N241" i="1"/>
  <c r="W261" i="1"/>
  <c r="L227" i="1"/>
  <c r="L228" i="1" s="1"/>
  <c r="AC256" i="1"/>
  <c r="AC255" i="1" s="1"/>
  <c r="V256" i="1"/>
  <c r="V255" i="1" s="1"/>
  <c r="U256" i="1"/>
  <c r="U255" i="1" s="1"/>
  <c r="W256" i="1"/>
  <c r="W255" i="1" s="1"/>
  <c r="T256" i="1"/>
  <c r="T255" i="1" s="1"/>
  <c r="AA254" i="1"/>
  <c r="AA261" i="1"/>
  <c r="Z264" i="1"/>
  <c r="U264" i="1"/>
  <c r="Z256" i="1"/>
  <c r="Z255" i="1" s="1"/>
  <c r="P325" i="1"/>
  <c r="P326" i="1" s="1"/>
  <c r="Q325" i="1"/>
  <c r="Q326" i="1" s="1"/>
  <c r="P327" i="1"/>
  <c r="R324" i="1"/>
  <c r="AB254" i="1"/>
  <c r="AB261" i="1"/>
  <c r="T264" i="1"/>
  <c r="Z53" i="1"/>
  <c r="Z55" i="1" s="1"/>
  <c r="Z322" i="1"/>
  <c r="Z323" i="5" s="1"/>
  <c r="R55" i="1"/>
  <c r="V322" i="1"/>
  <c r="V323" i="5" s="1"/>
  <c r="V53" i="1"/>
  <c r="V55" i="1" s="1"/>
  <c r="W322" i="1"/>
  <c r="W323" i="5" s="1"/>
  <c r="W53" i="1"/>
  <c r="W55" i="1" s="1"/>
  <c r="T53" i="1"/>
  <c r="T55" i="1" s="1"/>
  <c r="T322" i="1"/>
  <c r="T323" i="5" s="1"/>
  <c r="S264" i="1"/>
  <c r="U53" i="1"/>
  <c r="U55" i="1" s="1"/>
  <c r="U322" i="1"/>
  <c r="U323" i="5" s="1"/>
  <c r="S53" i="1"/>
  <c r="S55" i="1" s="1"/>
  <c r="S322" i="1"/>
  <c r="S323" i="5" s="1"/>
  <c r="Y322" i="1"/>
  <c r="Y323" i="5" s="1"/>
  <c r="Y53" i="1"/>
  <c r="Y55" i="1" s="1"/>
  <c r="S256" i="1"/>
  <c r="S255" i="1" s="1"/>
  <c r="AA228" i="1"/>
  <c r="AA440" i="1" s="1"/>
  <c r="AB228" i="1"/>
  <c r="AB440" i="1" s="1"/>
  <c r="Q327" i="1"/>
  <c r="Q330" i="1" s="1"/>
  <c r="L59" i="1"/>
  <c r="Y264" i="1"/>
  <c r="X264" i="1"/>
  <c r="AC53" i="1"/>
  <c r="AC55" i="1" s="1"/>
  <c r="AC322" i="1"/>
  <c r="AC323" i="5" s="1"/>
  <c r="O329" i="1"/>
  <c r="N209" i="1"/>
  <c r="N310" i="1" s="1"/>
  <c r="N103" i="1"/>
  <c r="N57" i="1"/>
  <c r="N313" i="1"/>
  <c r="N26" i="1"/>
  <c r="N382" i="1" s="1"/>
  <c r="AA443" i="1" l="1"/>
  <c r="AB443" i="1"/>
  <c r="Z443" i="1"/>
  <c r="AC443" i="1"/>
  <c r="Y443" i="1"/>
  <c r="V264" i="1"/>
  <c r="X53" i="1"/>
  <c r="X55" i="1" s="1"/>
  <c r="Y56" i="1" s="1"/>
  <c r="X256" i="1"/>
  <c r="X255" i="1" s="1"/>
  <c r="X322" i="1"/>
  <c r="X323" i="5" s="1"/>
  <c r="AC264" i="1"/>
  <c r="O268" i="1"/>
  <c r="O270" i="1" s="1"/>
  <c r="R325" i="1"/>
  <c r="R326" i="1" s="1"/>
  <c r="R23" i="1"/>
  <c r="R379" i="1" s="1"/>
  <c r="W264" i="1"/>
  <c r="T324" i="1"/>
  <c r="T23" i="1" s="1"/>
  <c r="T379" i="1" s="1"/>
  <c r="AA322" i="1"/>
  <c r="AA323" i="5" s="1"/>
  <c r="AA53" i="1"/>
  <c r="AA55" i="1" s="1"/>
  <c r="Y324" i="1"/>
  <c r="Y23" i="1" s="1"/>
  <c r="Y379" i="1" s="1"/>
  <c r="P330" i="1"/>
  <c r="Q328" i="1"/>
  <c r="Q444" i="1" s="1"/>
  <c r="Q36" i="1"/>
  <c r="Q392" i="1" s="1"/>
  <c r="P328" i="1"/>
  <c r="P36" i="1"/>
  <c r="P392" i="1" s="1"/>
  <c r="S324" i="1"/>
  <c r="S23" i="1" s="1"/>
  <c r="S379" i="1" s="1"/>
  <c r="Q34" i="1"/>
  <c r="Q390" i="1" s="1"/>
  <c r="AC324" i="1"/>
  <c r="AC23" i="1" s="1"/>
  <c r="AC379" i="1" s="1"/>
  <c r="S56" i="1"/>
  <c r="T56" i="1"/>
  <c r="U56" i="1"/>
  <c r="W56" i="1"/>
  <c r="R56" i="1"/>
  <c r="V56" i="1"/>
  <c r="AB264" i="1"/>
  <c r="AB256" i="1"/>
  <c r="AB255" i="1" s="1"/>
  <c r="W324" i="1"/>
  <c r="W23" i="1" s="1"/>
  <c r="W379" i="1" s="1"/>
  <c r="U324" i="1"/>
  <c r="U23" i="1" s="1"/>
  <c r="U379" i="1" s="1"/>
  <c r="Z324" i="1"/>
  <c r="Z23" i="1" s="1"/>
  <c r="Z379" i="1" s="1"/>
  <c r="R327" i="1"/>
  <c r="R36" i="1" s="1"/>
  <c r="R392" i="1" s="1"/>
  <c r="P34" i="1"/>
  <c r="P390" i="1" s="1"/>
  <c r="AA264" i="1"/>
  <c r="AB53" i="1"/>
  <c r="AB55" i="1" s="1"/>
  <c r="AB322" i="1"/>
  <c r="AB323" i="5" s="1"/>
  <c r="V324" i="1"/>
  <c r="V23" i="1" s="1"/>
  <c r="V379" i="1" s="1"/>
  <c r="AA256" i="1"/>
  <c r="AA255" i="1" s="1"/>
  <c r="N314" i="1"/>
  <c r="N220" i="1"/>
  <c r="N10" i="1" s="1"/>
  <c r="N222" i="1"/>
  <c r="O237" i="1"/>
  <c r="O442" i="1" s="1"/>
  <c r="O102" i="1"/>
  <c r="N61" i="1" l="1"/>
  <c r="P329" i="1"/>
  <c r="P444" i="1"/>
  <c r="X324" i="1"/>
  <c r="X23" i="1" s="1"/>
  <c r="X379" i="1" s="1"/>
  <c r="X56" i="1"/>
  <c r="AA56" i="1"/>
  <c r="Z56" i="1"/>
  <c r="R34" i="1"/>
  <c r="R390" i="1" s="1"/>
  <c r="L323" i="5"/>
  <c r="U325" i="1"/>
  <c r="R328" i="1"/>
  <c r="Q329" i="1"/>
  <c r="AB324" i="1"/>
  <c r="AB23" i="1" s="1"/>
  <c r="W325" i="1"/>
  <c r="W326" i="1" s="1"/>
  <c r="Y325" i="1"/>
  <c r="S327" i="1"/>
  <c r="S330" i="1" s="1"/>
  <c r="T325" i="1"/>
  <c r="V325" i="1"/>
  <c r="V326" i="1" s="1"/>
  <c r="S325" i="1"/>
  <c r="S326" i="1" s="1"/>
  <c r="AA324" i="1"/>
  <c r="AA23" i="1" s="1"/>
  <c r="AA379" i="1" s="1"/>
  <c r="AB56" i="1"/>
  <c r="AC327" i="1"/>
  <c r="AC330" i="1" s="1"/>
  <c r="R330" i="1"/>
  <c r="L322" i="1"/>
  <c r="L55" i="1"/>
  <c r="AC56" i="1"/>
  <c r="L56" i="1" s="1"/>
  <c r="T327" i="1"/>
  <c r="T330" i="1" s="1"/>
  <c r="U327" i="1"/>
  <c r="U330" i="1" s="1"/>
  <c r="Z327" i="1"/>
  <c r="Z330" i="1" s="1"/>
  <c r="W327" i="1"/>
  <c r="W330" i="1" s="1"/>
  <c r="L53" i="1"/>
  <c r="Y327" i="1"/>
  <c r="Y330" i="1" s="1"/>
  <c r="V327" i="1"/>
  <c r="V330" i="1" s="1"/>
  <c r="O272" i="1"/>
  <c r="O274" i="1" s="1"/>
  <c r="O27" i="1" s="1"/>
  <c r="O383" i="1" s="1"/>
  <c r="O238" i="1"/>
  <c r="O64" i="1"/>
  <c r="O216" i="1"/>
  <c r="U326" i="1" l="1"/>
  <c r="T326" i="1"/>
  <c r="L334" i="1"/>
  <c r="R329" i="1"/>
  <c r="R444" i="1"/>
  <c r="Z325" i="1"/>
  <c r="Z326" i="1" s="1"/>
  <c r="X325" i="1"/>
  <c r="X326" i="1" s="1"/>
  <c r="X327" i="1"/>
  <c r="X330" i="1" s="1"/>
  <c r="L23" i="1"/>
  <c r="AB379" i="1"/>
  <c r="L379" i="1" s="1"/>
  <c r="U34" i="1"/>
  <c r="U390" i="1" s="1"/>
  <c r="O240" i="1"/>
  <c r="P239" i="1" s="1"/>
  <c r="S328" i="1"/>
  <c r="S36" i="1"/>
  <c r="S392" i="1" s="1"/>
  <c r="AC325" i="1"/>
  <c r="T36" i="1"/>
  <c r="T392" i="1" s="1"/>
  <c r="U36" i="1"/>
  <c r="U392" i="1" s="1"/>
  <c r="W36" i="1"/>
  <c r="W392" i="1" s="1"/>
  <c r="AA327" i="1"/>
  <c r="AA330" i="1" s="1"/>
  <c r="S34" i="1"/>
  <c r="S390" i="1" s="1"/>
  <c r="Y34" i="1"/>
  <c r="Y390" i="1" s="1"/>
  <c r="AA325" i="1"/>
  <c r="V34" i="1"/>
  <c r="V390" i="1" s="1"/>
  <c r="W34" i="1"/>
  <c r="W390" i="1" s="1"/>
  <c r="V328" i="1"/>
  <c r="V444" i="1" s="1"/>
  <c r="T34" i="1"/>
  <c r="T390" i="1" s="1"/>
  <c r="V36" i="1"/>
  <c r="V392" i="1" s="1"/>
  <c r="T328" i="1"/>
  <c r="T444" i="1" s="1"/>
  <c r="U328" i="1"/>
  <c r="U444" i="1" s="1"/>
  <c r="AB327" i="1"/>
  <c r="AB330" i="1" s="1"/>
  <c r="AB325" i="1"/>
  <c r="AB326" i="1" s="1"/>
  <c r="W328" i="1"/>
  <c r="W444" i="1" s="1"/>
  <c r="Z328" i="1"/>
  <c r="Z444" i="1" s="1"/>
  <c r="L324" i="1"/>
  <c r="O65" i="1"/>
  <c r="O218" i="1"/>
  <c r="O219" i="1" s="1"/>
  <c r="Y326" i="1" l="1"/>
  <c r="AA326" i="1"/>
  <c r="AC326" i="1"/>
  <c r="X34" i="1"/>
  <c r="X390" i="1" s="1"/>
  <c r="X328" i="1"/>
  <c r="X444" i="1" s="1"/>
  <c r="Z34" i="1"/>
  <c r="Z390" i="1" s="1"/>
  <c r="Y328" i="1"/>
  <c r="Y444" i="1" s="1"/>
  <c r="Z36" i="1"/>
  <c r="Z392" i="1" s="1"/>
  <c r="Y36" i="1"/>
  <c r="Y392" i="1" s="1"/>
  <c r="X36" i="1"/>
  <c r="X392" i="1" s="1"/>
  <c r="S329" i="1"/>
  <c r="S444" i="1"/>
  <c r="AC34" i="1"/>
  <c r="O199" i="1"/>
  <c r="O200" i="5" s="1"/>
  <c r="P267" i="1"/>
  <c r="P268" i="1" s="1"/>
  <c r="P270" i="1" s="1"/>
  <c r="T329" i="1"/>
  <c r="X329" i="1"/>
  <c r="U329" i="1"/>
  <c r="AA36" i="1"/>
  <c r="AA392" i="1" s="1"/>
  <c r="AA328" i="1"/>
  <c r="L333" i="1"/>
  <c r="L327" i="1"/>
  <c r="L330" i="1" s="1"/>
  <c r="AC328" i="1"/>
  <c r="AC444" i="1" s="1"/>
  <c r="V329" i="1"/>
  <c r="AC36" i="1"/>
  <c r="AB328" i="1"/>
  <c r="AB444" i="1" s="1"/>
  <c r="W329" i="1"/>
  <c r="AB34" i="1"/>
  <c r="AB390" i="1" s="1"/>
  <c r="AA34" i="1"/>
  <c r="AA390" i="1" s="1"/>
  <c r="AB36" i="1"/>
  <c r="AB392" i="1" s="1"/>
  <c r="O26" i="1"/>
  <c r="O382" i="1" s="1"/>
  <c r="P235" i="1"/>
  <c r="P236" i="5" s="1"/>
  <c r="Y329" i="1" l="1"/>
  <c r="Z329" i="1"/>
  <c r="AA329" i="1"/>
  <c r="AA444" i="1"/>
  <c r="AB329" i="1"/>
  <c r="L36" i="1"/>
  <c r="R97" i="1" s="1"/>
  <c r="AC392" i="1"/>
  <c r="L392" i="1" s="1"/>
  <c r="L34" i="1"/>
  <c r="AC390" i="1"/>
  <c r="L390" i="1" s="1"/>
  <c r="K390" i="1" s="1"/>
  <c r="O57" i="1"/>
  <c r="O313" i="1"/>
  <c r="O103" i="1"/>
  <c r="O209" i="1"/>
  <c r="O310" i="1" s="1"/>
  <c r="O241" i="1"/>
  <c r="L326" i="1"/>
  <c r="O40" i="5"/>
  <c r="O79" i="5"/>
  <c r="L335" i="1"/>
  <c r="AC329" i="1"/>
  <c r="P102" i="1"/>
  <c r="P237" i="1"/>
  <c r="P442" i="1" s="1"/>
  <c r="O396" i="5" l="1"/>
  <c r="O447" i="5"/>
  <c r="L329" i="1"/>
  <c r="Y359" i="1"/>
  <c r="S359" i="1"/>
  <c r="O314" i="1"/>
  <c r="O222" i="1"/>
  <c r="O220" i="1"/>
  <c r="O10" i="1" s="1"/>
  <c r="U35" i="1"/>
  <c r="U391" i="1" s="1"/>
  <c r="AA35" i="1"/>
  <c r="AA391" i="1" s="1"/>
  <c r="V35" i="1"/>
  <c r="V391" i="1" s="1"/>
  <c r="Y35" i="1"/>
  <c r="Y391" i="1" s="1"/>
  <c r="N35" i="1"/>
  <c r="N391" i="1" s="1"/>
  <c r="X35" i="1"/>
  <c r="X391" i="1" s="1"/>
  <c r="O35" i="1"/>
  <c r="O391" i="1" s="1"/>
  <c r="S35" i="1"/>
  <c r="S391" i="1" s="1"/>
  <c r="P35" i="1"/>
  <c r="P391" i="1" s="1"/>
  <c r="R35" i="1"/>
  <c r="R391" i="1" s="1"/>
  <c r="Q35" i="1"/>
  <c r="Q391" i="1" s="1"/>
  <c r="AC35" i="1"/>
  <c r="AC391" i="1" s="1"/>
  <c r="Z35" i="1"/>
  <c r="Z391" i="1" s="1"/>
  <c r="AB35" i="1"/>
  <c r="AB391" i="1" s="1"/>
  <c r="W35" i="1"/>
  <c r="W391" i="1" s="1"/>
  <c r="L35" i="1"/>
  <c r="L391" i="1" s="1"/>
  <c r="T35" i="1"/>
  <c r="T391" i="1" s="1"/>
  <c r="P272" i="1"/>
  <c r="P274" i="1" s="1"/>
  <c r="P27" i="1" s="1"/>
  <c r="P383" i="1" s="1"/>
  <c r="P238" i="1"/>
  <c r="P64" i="1"/>
  <c r="P216" i="1"/>
  <c r="O61" i="1" l="1"/>
  <c r="P240" i="1"/>
  <c r="P199" i="1" s="1"/>
  <c r="P65" i="1"/>
  <c r="P218" i="1"/>
  <c r="P219" i="1" s="1"/>
  <c r="Q267" i="1" l="1"/>
  <c r="Q268" i="1" s="1"/>
  <c r="Q270" i="1" s="1"/>
  <c r="Q239" i="1"/>
  <c r="P241" i="1"/>
  <c r="P209" i="1"/>
  <c r="P310" i="1" s="1"/>
  <c r="P103" i="1"/>
  <c r="P57" i="1"/>
  <c r="P313" i="1"/>
  <c r="Q235" i="1"/>
  <c r="Q236" i="5" s="1"/>
  <c r="P26" i="1"/>
  <c r="P382" i="1" s="1"/>
  <c r="P222" i="1" l="1"/>
  <c r="P220" i="1"/>
  <c r="P10" i="1" s="1"/>
  <c r="Q102" i="1"/>
  <c r="Q237" i="1"/>
  <c r="Q442" i="1" s="1"/>
  <c r="P314" i="1"/>
  <c r="P61" i="1" l="1"/>
  <c r="Q64" i="1"/>
  <c r="Q216" i="1"/>
  <c r="Q272" i="1"/>
  <c r="Q274" i="1" s="1"/>
  <c r="Q27" i="1" s="1"/>
  <c r="Q383" i="1" s="1"/>
  <c r="Q238" i="1"/>
  <c r="Q240" i="1" l="1"/>
  <c r="R267" i="1" s="1"/>
  <c r="Q218" i="1"/>
  <c r="Q219" i="1" s="1"/>
  <c r="Q65" i="1"/>
  <c r="R239" i="1" l="1"/>
  <c r="R235" i="1" s="1"/>
  <c r="R236" i="5" s="1"/>
  <c r="Q199" i="1"/>
  <c r="Q313" i="1" s="1"/>
  <c r="R268" i="1"/>
  <c r="R270" i="1" s="1"/>
  <c r="Q26" i="1"/>
  <c r="Q382" i="1" s="1"/>
  <c r="Q57" i="1" l="1"/>
  <c r="Q103" i="1"/>
  <c r="Q209" i="1"/>
  <c r="Q310" i="1" s="1"/>
  <c r="Q314" i="1" s="1"/>
  <c r="Q241" i="1"/>
  <c r="R102" i="1"/>
  <c r="R237" i="1"/>
  <c r="R442" i="1" s="1"/>
  <c r="Q61" i="1" l="1"/>
  <c r="Q222" i="1"/>
  <c r="Q220" i="1"/>
  <c r="Q10" i="1" s="1"/>
  <c r="R64" i="1"/>
  <c r="R216" i="1"/>
  <c r="R272" i="1"/>
  <c r="R274" i="1" s="1"/>
  <c r="R27" i="1" s="1"/>
  <c r="R383" i="1" s="1"/>
  <c r="R238" i="1"/>
  <c r="R240" i="1" l="1"/>
  <c r="S267" i="1" s="1"/>
  <c r="R218" i="1"/>
  <c r="R219" i="1" s="1"/>
  <c r="R65" i="1"/>
  <c r="R199" i="1" l="1"/>
  <c r="S239" i="1"/>
  <c r="S235" i="1" s="1"/>
  <c r="S236" i="5" s="1"/>
  <c r="S268" i="1"/>
  <c r="S270" i="1" s="1"/>
  <c r="R26" i="1"/>
  <c r="R382" i="1" s="1"/>
  <c r="R241" i="1" l="1"/>
  <c r="R103" i="1"/>
  <c r="R313" i="1"/>
  <c r="R57" i="1"/>
  <c r="R209" i="1"/>
  <c r="R310" i="1" s="1"/>
  <c r="S102" i="1"/>
  <c r="S237" i="1"/>
  <c r="S442" i="1" s="1"/>
  <c r="R314" i="1" l="1"/>
  <c r="R220" i="1"/>
  <c r="R10" i="1" s="1"/>
  <c r="S64" i="1"/>
  <c r="S65" i="1" s="1"/>
  <c r="S26" i="1" s="1"/>
  <c r="S382" i="1" s="1"/>
  <c r="S216" i="1"/>
  <c r="S272" i="1"/>
  <c r="S274" i="1" s="1"/>
  <c r="S27" i="1" s="1"/>
  <c r="S383" i="1" s="1"/>
  <c r="S238" i="1"/>
  <c r="R61" i="1" l="1"/>
  <c r="S240" i="1"/>
  <c r="T239" i="1" s="1"/>
  <c r="S218" i="1"/>
  <c r="S219" i="1" s="1"/>
  <c r="T267" i="1" l="1"/>
  <c r="T268" i="1" s="1"/>
  <c r="T270" i="1" s="1"/>
  <c r="S199" i="1"/>
  <c r="T235" i="1"/>
  <c r="T236" i="5" s="1"/>
  <c r="S57" i="1" l="1"/>
  <c r="S103" i="1"/>
  <c r="S209" i="1"/>
  <c r="S310" i="1" s="1"/>
  <c r="S241" i="1"/>
  <c r="S313" i="1"/>
  <c r="T237" i="1"/>
  <c r="T442" i="1" s="1"/>
  <c r="T102" i="1"/>
  <c r="S314" i="1" l="1"/>
  <c r="S61" i="1" s="1"/>
  <c r="S220" i="1"/>
  <c r="S10" i="1" s="1"/>
  <c r="T272" i="1"/>
  <c r="T274" i="1" s="1"/>
  <c r="T27" i="1" s="1"/>
  <c r="T383" i="1" s="1"/>
  <c r="T238" i="1"/>
  <c r="T64" i="1"/>
  <c r="T65" i="1" s="1"/>
  <c r="T26" i="1" s="1"/>
  <c r="T382" i="1" s="1"/>
  <c r="T216" i="1"/>
  <c r="T240" i="1" l="1"/>
  <c r="U239" i="1" s="1"/>
  <c r="T218" i="1"/>
  <c r="T219" i="1" s="1"/>
  <c r="T199" i="1" l="1"/>
  <c r="U267" i="1"/>
  <c r="U235" i="1"/>
  <c r="U236" i="5" s="1"/>
  <c r="U268" i="1" l="1"/>
  <c r="U270" i="1" s="1"/>
  <c r="T209" i="1"/>
  <c r="T310" i="1" s="1"/>
  <c r="T103" i="1"/>
  <c r="T57" i="1"/>
  <c r="T241" i="1"/>
  <c r="T313" i="1"/>
  <c r="T314" i="1" s="1"/>
  <c r="T61" i="1" s="1"/>
  <c r="U102" i="1"/>
  <c r="U237" i="1"/>
  <c r="U442" i="1" s="1"/>
  <c r="T220" i="1"/>
  <c r="T10" i="1" l="1"/>
  <c r="U272" i="1"/>
  <c r="U274" i="1" s="1"/>
  <c r="U27" i="1" s="1"/>
  <c r="U383" i="1" s="1"/>
  <c r="U238" i="1"/>
  <c r="U64" i="1"/>
  <c r="U65" i="1" s="1"/>
  <c r="U26" i="1" s="1"/>
  <c r="U382" i="1" s="1"/>
  <c r="U216" i="1"/>
  <c r="U240" i="1" l="1"/>
  <c r="V239" i="1" s="1"/>
  <c r="U218" i="1"/>
  <c r="U219" i="1" s="1"/>
  <c r="U199" i="1" l="1"/>
  <c r="U200" i="5" s="1"/>
  <c r="U40" i="5" s="1"/>
  <c r="U447" i="5" s="1"/>
  <c r="V267" i="1"/>
  <c r="V268" i="1" s="1"/>
  <c r="V270" i="1" s="1"/>
  <c r="V235" i="1"/>
  <c r="V236" i="5" s="1"/>
  <c r="U313" i="1" l="1"/>
  <c r="U57" i="1"/>
  <c r="U209" i="1"/>
  <c r="U310" i="1" s="1"/>
  <c r="U103" i="1"/>
  <c r="U79" i="5"/>
  <c r="U396" i="5"/>
  <c r="U241" i="1"/>
  <c r="V102" i="1"/>
  <c r="V237" i="1"/>
  <c r="V442" i="1" s="1"/>
  <c r="U314" i="1" l="1"/>
  <c r="U61" i="1" s="1"/>
  <c r="U220" i="1"/>
  <c r="U10" i="1" s="1"/>
  <c r="V64" i="1"/>
  <c r="V65" i="1" s="1"/>
  <c r="V26" i="1" s="1"/>
  <c r="V382" i="1" s="1"/>
  <c r="V216" i="1"/>
  <c r="V272" i="1"/>
  <c r="V274" i="1" s="1"/>
  <c r="V27" i="1" s="1"/>
  <c r="V383" i="1" s="1"/>
  <c r="V238" i="1"/>
  <c r="V240" i="1" l="1"/>
  <c r="W267" i="1" s="1"/>
  <c r="V218" i="1"/>
  <c r="V219" i="1" s="1"/>
  <c r="V199" i="1" l="1"/>
  <c r="V200" i="5" s="1"/>
  <c r="V79" i="5" s="1"/>
  <c r="W239" i="1"/>
  <c r="W235" i="1"/>
  <c r="W236" i="5" s="1"/>
  <c r="W268" i="1"/>
  <c r="W270" i="1" s="1"/>
  <c r="V57" i="1" l="1"/>
  <c r="V103" i="1"/>
  <c r="V313" i="1"/>
  <c r="V209" i="1"/>
  <c r="V310" i="1" s="1"/>
  <c r="V314" i="1" s="1"/>
  <c r="V61" i="1" s="1"/>
  <c r="V241" i="1"/>
  <c r="V40" i="5"/>
  <c r="W237" i="1"/>
  <c r="W442" i="1" s="1"/>
  <c r="W102" i="1"/>
  <c r="V447" i="5" l="1"/>
  <c r="V220" i="1"/>
  <c r="V10" i="1" s="1"/>
  <c r="V396" i="5"/>
  <c r="W64" i="1"/>
  <c r="W65" i="1" s="1"/>
  <c r="W26" i="1" s="1"/>
  <c r="W382" i="1" s="1"/>
  <c r="W216" i="1"/>
  <c r="W272" i="1"/>
  <c r="W274" i="1" s="1"/>
  <c r="W27" i="1" s="1"/>
  <c r="W383" i="1" s="1"/>
  <c r="W238" i="1"/>
  <c r="W240" i="1" l="1"/>
  <c r="X267" i="1" s="1"/>
  <c r="W218" i="1"/>
  <c r="W219" i="1" s="1"/>
  <c r="X239" i="1" l="1"/>
  <c r="X235" i="1" s="1"/>
  <c r="X236" i="5" s="1"/>
  <c r="W199" i="1"/>
  <c r="W200" i="5" s="1"/>
  <c r="W40" i="5" s="1"/>
  <c r="W447" i="5" s="1"/>
  <c r="X268" i="1"/>
  <c r="X270" i="1" s="1"/>
  <c r="W313" i="1" l="1"/>
  <c r="W103" i="1"/>
  <c r="W396" i="5"/>
  <c r="W79" i="5"/>
  <c r="W241" i="1"/>
  <c r="W57" i="1"/>
  <c r="W209" i="1"/>
  <c r="W310" i="1" s="1"/>
  <c r="X237" i="1"/>
  <c r="X442" i="1" s="1"/>
  <c r="X102" i="1"/>
  <c r="W314" i="1" l="1"/>
  <c r="W61" i="1" s="1"/>
  <c r="W220" i="1"/>
  <c r="W10" i="1" s="1"/>
  <c r="X64" i="1"/>
  <c r="X65" i="1" s="1"/>
  <c r="X26" i="1" s="1"/>
  <c r="X382" i="1" s="1"/>
  <c r="X216" i="1"/>
  <c r="X272" i="1"/>
  <c r="X274" i="1" s="1"/>
  <c r="X27" i="1" s="1"/>
  <c r="X383" i="1" s="1"/>
  <c r="X238" i="1"/>
  <c r="X240" i="1" l="1"/>
  <c r="Y267" i="1" s="1"/>
  <c r="X218" i="1"/>
  <c r="X219" i="1" s="1"/>
  <c r="Y239" i="1" l="1"/>
  <c r="Y235" i="1" s="1"/>
  <c r="Y236" i="5" s="1"/>
  <c r="X199" i="1"/>
  <c r="X200" i="5" s="1"/>
  <c r="X40" i="5" s="1"/>
  <c r="X447" i="5" s="1"/>
  <c r="Y268" i="1"/>
  <c r="Y270" i="1" s="1"/>
  <c r="X396" i="5" l="1"/>
  <c r="X57" i="1"/>
  <c r="X103" i="1"/>
  <c r="X313" i="1"/>
  <c r="X79" i="5"/>
  <c r="X241" i="1"/>
  <c r="X209" i="1"/>
  <c r="X310" i="1" s="1"/>
  <c r="Y237" i="1"/>
  <c r="Y442" i="1" s="1"/>
  <c r="Y102" i="1"/>
  <c r="X314" i="1" l="1"/>
  <c r="X61" i="1" s="1"/>
  <c r="X220" i="1"/>
  <c r="X10" i="1" s="1"/>
  <c r="Y64" i="1"/>
  <c r="Y65" i="1" s="1"/>
  <c r="Y26" i="1" s="1"/>
  <c r="Y382" i="1" s="1"/>
  <c r="Y216" i="1"/>
  <c r="Y272" i="1"/>
  <c r="Y274" i="1" s="1"/>
  <c r="Y27" i="1" s="1"/>
  <c r="Y383" i="1" s="1"/>
  <c r="Y238" i="1"/>
  <c r="Y240" i="1" l="1"/>
  <c r="Y199" i="1" s="1"/>
  <c r="Y200" i="5" s="1"/>
  <c r="Y218" i="1"/>
  <c r="Y219" i="1" s="1"/>
  <c r="Z267" i="1" l="1"/>
  <c r="Z268" i="1" s="1"/>
  <c r="Z270" i="1" s="1"/>
  <c r="Z239" i="1"/>
  <c r="Z235" i="1" s="1"/>
  <c r="Z236" i="5" s="1"/>
  <c r="Y40" i="5"/>
  <c r="Y447" i="5" s="1"/>
  <c r="Y79" i="5"/>
  <c r="Y209" i="1"/>
  <c r="Y310" i="1" s="1"/>
  <c r="Y103" i="1"/>
  <c r="Y57" i="1"/>
  <c r="Y313" i="1"/>
  <c r="Y241" i="1"/>
  <c r="Y396" i="5" l="1"/>
  <c r="Y314" i="1"/>
  <c r="Y61" i="1" s="1"/>
  <c r="Z237" i="1"/>
  <c r="Z442" i="1" s="1"/>
  <c r="Z102" i="1"/>
  <c r="Y220" i="1"/>
  <c r="Y10" i="1" s="1"/>
  <c r="Z64" i="1" l="1"/>
  <c r="Z65" i="1" s="1"/>
  <c r="Z26" i="1" s="1"/>
  <c r="Z382" i="1" s="1"/>
  <c r="Z216" i="1"/>
  <c r="Z272" i="1"/>
  <c r="Z274" i="1" s="1"/>
  <c r="Z27" i="1" s="1"/>
  <c r="Z383" i="1" s="1"/>
  <c r="Z238" i="1"/>
  <c r="Z240" i="1" l="1"/>
  <c r="AA239" i="1" s="1"/>
  <c r="Z218" i="1"/>
  <c r="Z219" i="1" s="1"/>
  <c r="Z199" i="1" l="1"/>
  <c r="Z200" i="5" s="1"/>
  <c r="Z40" i="5" s="1"/>
  <c r="Z447" i="5" s="1"/>
  <c r="AA267" i="1"/>
  <c r="AA268" i="1" s="1"/>
  <c r="AA270" i="1" s="1"/>
  <c r="AA235" i="1"/>
  <c r="AA236" i="5" s="1"/>
  <c r="Z396" i="5" l="1"/>
  <c r="Z241" i="1"/>
  <c r="Z313" i="1"/>
  <c r="Z103" i="1"/>
  <c r="Z57" i="1"/>
  <c r="Z209" i="1"/>
  <c r="Z310" i="1" s="1"/>
  <c r="Z79" i="5"/>
  <c r="AA237" i="1"/>
  <c r="AA442" i="1" s="1"/>
  <c r="AA102" i="1"/>
  <c r="Z314" i="1" l="1"/>
  <c r="Z61" i="1" s="1"/>
  <c r="Z220" i="1"/>
  <c r="Z10" i="1" s="1"/>
  <c r="AA272" i="1"/>
  <c r="AA274" i="1" s="1"/>
  <c r="AA27" i="1" s="1"/>
  <c r="AA383" i="1" s="1"/>
  <c r="AA238" i="1"/>
  <c r="AA64" i="1"/>
  <c r="AA65" i="1" s="1"/>
  <c r="AA26" i="1" s="1"/>
  <c r="AA382" i="1" s="1"/>
  <c r="AA216" i="1"/>
  <c r="AA240" i="1" l="1"/>
  <c r="AB267" i="1" s="1"/>
  <c r="AA218" i="1"/>
  <c r="AA219" i="1" s="1"/>
  <c r="AA199" i="1" l="1"/>
  <c r="AA200" i="5" s="1"/>
  <c r="AA40" i="5" s="1"/>
  <c r="AA447" i="5" s="1"/>
  <c r="AB239" i="1"/>
  <c r="AB235" i="1" s="1"/>
  <c r="AB236" i="5" s="1"/>
  <c r="AB268" i="1"/>
  <c r="AB270" i="1" s="1"/>
  <c r="AA79" i="5" l="1"/>
  <c r="AA396" i="5"/>
  <c r="AA209" i="1"/>
  <c r="AA310" i="1" s="1"/>
  <c r="AA57" i="1"/>
  <c r="AA313" i="1"/>
  <c r="AA103" i="1"/>
  <c r="AA241" i="1"/>
  <c r="AB102" i="1"/>
  <c r="AB237" i="1"/>
  <c r="AB442" i="1" s="1"/>
  <c r="AA220" i="1" l="1"/>
  <c r="AA10" i="1" s="1"/>
  <c r="AA314" i="1"/>
  <c r="AA61" i="1" s="1"/>
  <c r="AB272" i="1"/>
  <c r="AB274" i="1" s="1"/>
  <c r="AB27" i="1" s="1"/>
  <c r="AB383" i="1" s="1"/>
  <c r="AB238" i="1"/>
  <c r="AB64" i="1"/>
  <c r="AB65" i="1" s="1"/>
  <c r="AB26" i="1" s="1"/>
  <c r="AB382" i="1" s="1"/>
  <c r="AB216" i="1"/>
  <c r="AB240" i="1" l="1"/>
  <c r="AC239" i="1" s="1"/>
  <c r="AB218" i="1"/>
  <c r="AB219" i="1" s="1"/>
  <c r="AB199" i="1" l="1"/>
  <c r="AB200" i="5" s="1"/>
  <c r="AB40" i="5" s="1"/>
  <c r="AB447" i="5" s="1"/>
  <c r="AC267" i="1"/>
  <c r="AC235" i="1"/>
  <c r="AC236" i="5" s="1"/>
  <c r="L236" i="5" s="1"/>
  <c r="AC268" i="1" l="1"/>
  <c r="AC270" i="1" s="1"/>
  <c r="AB396" i="5"/>
  <c r="AB241" i="1"/>
  <c r="AB103" i="1"/>
  <c r="AB57" i="1"/>
  <c r="AB313" i="1"/>
  <c r="AB209" i="1"/>
  <c r="AB310" i="1" s="1"/>
  <c r="AB79" i="5"/>
  <c r="AC237" i="1"/>
  <c r="AC442" i="1" s="1"/>
  <c r="AC102" i="1"/>
  <c r="L235" i="1"/>
  <c r="L237" i="1" s="1"/>
  <c r="L238" i="1" s="1"/>
  <c r="L240" i="1" s="1"/>
  <c r="AB314" i="1" l="1"/>
  <c r="AB61" i="1" s="1"/>
  <c r="AB220" i="1"/>
  <c r="AB10" i="1" s="1"/>
  <c r="AC64" i="1"/>
  <c r="AC216" i="1"/>
  <c r="AC272" i="1"/>
  <c r="AC274" i="1" s="1"/>
  <c r="AC27" i="1" s="1"/>
  <c r="AC238" i="1"/>
  <c r="L27" i="1" l="1"/>
  <c r="P358" i="1" s="1"/>
  <c r="AC383" i="1"/>
  <c r="L383" i="1" s="1"/>
  <c r="V358" i="1" s="1"/>
  <c r="AC240" i="1"/>
  <c r="AC199" i="1" s="1"/>
  <c r="AC65" i="1"/>
  <c r="L64" i="1"/>
  <c r="AC218" i="1"/>
  <c r="AC219" i="1" s="1"/>
  <c r="AC241" i="1" l="1"/>
  <c r="AC200" i="5"/>
  <c r="AC57" i="1"/>
  <c r="L57" i="1" s="1"/>
  <c r="AC209" i="1"/>
  <c r="AC310" i="1" s="1"/>
  <c r="AC313" i="1"/>
  <c r="AC103" i="1"/>
  <c r="AC26" i="1"/>
  <c r="L65" i="1"/>
  <c r="L26" i="1" l="1"/>
  <c r="AC382" i="1"/>
  <c r="L382" i="1" s="1"/>
  <c r="AC40" i="5"/>
  <c r="AC79" i="5"/>
  <c r="U97" i="1"/>
  <c r="K34" i="1"/>
  <c r="AC314" i="1"/>
  <c r="AC220" i="1"/>
  <c r="AC10" i="1" s="1"/>
  <c r="AC61" i="1" l="1"/>
  <c r="L61" i="1" s="1"/>
  <c r="L314" i="1"/>
  <c r="AC396" i="5"/>
  <c r="AC447" i="5"/>
  <c r="T130" i="5" l="1"/>
  <c r="S130" i="5" l="1"/>
  <c r="R130" i="5" l="1"/>
  <c r="Q130" i="5" l="1"/>
  <c r="N115" i="5" l="1"/>
  <c r="K115" i="5" s="1"/>
  <c r="AC262" i="5" l="1"/>
  <c r="Z262" i="5"/>
  <c r="AB262" i="5"/>
  <c r="W262" i="5"/>
  <c r="V262" i="5"/>
  <c r="Y262" i="5"/>
  <c r="X262" i="5"/>
  <c r="AA262" i="5"/>
  <c r="U262" i="5"/>
  <c r="AC86" i="5" l="1"/>
  <c r="AA86" i="5"/>
  <c r="V86" i="5"/>
  <c r="Z86" i="5"/>
  <c r="Y86" i="5"/>
  <c r="U86" i="5"/>
  <c r="AB86" i="5"/>
  <c r="W86" i="5"/>
  <c r="X86" i="5"/>
  <c r="W285" i="5" l="1"/>
  <c r="W206" i="5"/>
  <c r="W47" i="5" s="1"/>
  <c r="Z285" i="5"/>
  <c r="Z206" i="5"/>
  <c r="Z47" i="5" s="1"/>
  <c r="V285" i="5"/>
  <c r="V206" i="5"/>
  <c r="V47" i="5" s="1"/>
  <c r="AB285" i="5"/>
  <c r="AB206" i="5"/>
  <c r="AB47" i="5" s="1"/>
  <c r="U285" i="5"/>
  <c r="U206" i="5"/>
  <c r="U47" i="5" s="1"/>
  <c r="AA285" i="5"/>
  <c r="AA206" i="5"/>
  <c r="AA47" i="5" s="1"/>
  <c r="X285" i="5"/>
  <c r="X206" i="5"/>
  <c r="X47" i="5" s="1"/>
  <c r="Y285" i="5"/>
  <c r="Y206" i="5"/>
  <c r="Y47" i="5" s="1"/>
  <c r="AC285" i="5"/>
  <c r="AC206" i="5"/>
  <c r="AC47" i="5" s="1"/>
  <c r="Y450" i="5" l="1"/>
  <c r="Y403" i="5"/>
  <c r="U403" i="5"/>
  <c r="U450" i="5"/>
  <c r="Z450" i="5"/>
  <c r="Z403" i="5"/>
  <c r="X403" i="5"/>
  <c r="X450" i="5"/>
  <c r="AC403" i="5"/>
  <c r="AC450" i="5"/>
  <c r="W450" i="5"/>
  <c r="W403" i="5"/>
  <c r="AB450" i="5"/>
  <c r="AB403" i="5"/>
  <c r="AA403" i="5"/>
  <c r="AA450" i="5"/>
  <c r="V403" i="5"/>
  <c r="V450" i="5"/>
  <c r="P128" i="5" l="1"/>
  <c r="P129" i="5"/>
  <c r="R128" i="5"/>
  <c r="R129" i="5"/>
  <c r="Q128" i="5"/>
  <c r="Q129" i="5"/>
  <c r="S128" i="5"/>
  <c r="S129" i="5"/>
  <c r="T129" i="5"/>
  <c r="T128" i="5"/>
  <c r="O128" i="5" l="1"/>
  <c r="O185" i="5" s="1"/>
  <c r="N129" i="5"/>
  <c r="N119" i="5"/>
  <c r="P126" i="5"/>
  <c r="N128" i="5"/>
  <c r="K128" i="5" s="1"/>
  <c r="N126" i="5"/>
  <c r="T126" i="5"/>
  <c r="N121" i="5"/>
  <c r="R126" i="5"/>
  <c r="O126" i="5"/>
  <c r="O183" i="5" s="1"/>
  <c r="Q126" i="5"/>
  <c r="S126" i="5"/>
  <c r="O129" i="5"/>
  <c r="O186" i="5" s="1"/>
  <c r="N120" i="5" l="1"/>
  <c r="S121" i="5"/>
  <c r="S119" i="5"/>
  <c r="Q121" i="5"/>
  <c r="O121" i="5"/>
  <c r="O179" i="5" s="1"/>
  <c r="T119" i="5"/>
  <c r="R119" i="5"/>
  <c r="K129" i="5"/>
  <c r="R121" i="5"/>
  <c r="K126" i="5"/>
  <c r="P121" i="5"/>
  <c r="O119" i="5"/>
  <c r="T121" i="5"/>
  <c r="Q119" i="5"/>
  <c r="P119" i="5"/>
  <c r="O177" i="5" l="1"/>
  <c r="O120" i="5"/>
  <c r="O178" i="5" s="1"/>
  <c r="P120" i="5"/>
  <c r="K121" i="5"/>
  <c r="K119" i="5"/>
  <c r="R120" i="5"/>
  <c r="T120" i="5"/>
  <c r="N127" i="5"/>
  <c r="Q120" i="5"/>
  <c r="S120" i="5"/>
  <c r="K120" i="5" l="1"/>
  <c r="O127" i="5"/>
  <c r="O184" i="5" s="1"/>
  <c r="T127" i="5"/>
  <c r="R127" i="5"/>
  <c r="P127" i="5"/>
  <c r="Q127" i="5"/>
  <c r="S127" i="5"/>
  <c r="K127" i="5" l="1"/>
  <c r="P132" i="5"/>
  <c r="Q132" i="5"/>
  <c r="R132" i="5"/>
  <c r="T132" i="5"/>
  <c r="S132" i="5"/>
  <c r="N86" i="5" l="1"/>
  <c r="N262" i="5"/>
  <c r="O86" i="5" l="1"/>
  <c r="N285" i="5"/>
  <c r="N206" i="5"/>
  <c r="N47" i="5" s="1"/>
  <c r="O262" i="5"/>
  <c r="S262" i="5"/>
  <c r="N403" i="5" l="1"/>
  <c r="N450" i="5"/>
  <c r="P86" i="5"/>
  <c r="O285" i="5"/>
  <c r="O206" i="5"/>
  <c r="O47" i="5" s="1"/>
  <c r="P262" i="5"/>
  <c r="T262" i="5"/>
  <c r="P285" i="5" l="1"/>
  <c r="P206" i="5"/>
  <c r="P47" i="5" s="1"/>
  <c r="O403" i="5"/>
  <c r="O450" i="5"/>
  <c r="Q262" i="5"/>
  <c r="P403" i="5" l="1"/>
  <c r="P450" i="5"/>
  <c r="R86" i="5"/>
  <c r="R262" i="5"/>
  <c r="R285" i="5" l="1"/>
  <c r="R206" i="5"/>
  <c r="R47" i="5" s="1"/>
  <c r="S86" i="5"/>
  <c r="O132" i="5" l="1"/>
  <c r="O190" i="5" s="1"/>
  <c r="T86" i="5"/>
  <c r="S285" i="5"/>
  <c r="S206" i="5"/>
  <c r="S47" i="5" s="1"/>
  <c r="R450" i="5"/>
  <c r="R403" i="5"/>
  <c r="N132" i="5"/>
  <c r="S403" i="5" l="1"/>
  <c r="S450" i="5"/>
  <c r="K132" i="5"/>
  <c r="T285" i="5"/>
  <c r="T206" i="5"/>
  <c r="T47" i="5" s="1"/>
  <c r="T403" i="5" l="1"/>
  <c r="T450" i="5"/>
  <c r="Q86" i="5" l="1"/>
  <c r="Q285" i="5" l="1"/>
  <c r="Q206" i="5"/>
  <c r="Q47" i="5" s="1"/>
  <c r="Q403" i="5" l="1"/>
  <c r="L403" i="5" s="1"/>
  <c r="Q450" i="5"/>
  <c r="L47" i="5"/>
  <c r="T122" i="5" l="1"/>
  <c r="O122" i="5"/>
  <c r="O282" i="5" l="1"/>
  <c r="O203" i="5"/>
  <c r="Q122" i="5"/>
  <c r="T123" i="5"/>
  <c r="P122" i="5"/>
  <c r="N122" i="5"/>
  <c r="O123" i="5"/>
  <c r="O124" i="5" s="1"/>
  <c r="S122" i="5"/>
  <c r="R122" i="5"/>
  <c r="O180" i="5"/>
  <c r="Q286" i="5" l="1"/>
  <c r="Q211" i="5"/>
  <c r="R281" i="5"/>
  <c r="R202" i="5"/>
  <c r="P286" i="5"/>
  <c r="P211" i="5"/>
  <c r="S282" i="5"/>
  <c r="S203" i="5"/>
  <c r="S283" i="5"/>
  <c r="S204" i="5"/>
  <c r="O281" i="5"/>
  <c r="O202" i="5"/>
  <c r="N281" i="5"/>
  <c r="N202" i="5"/>
  <c r="T282" i="5"/>
  <c r="T109" i="5"/>
  <c r="T203" i="5"/>
  <c r="T286" i="5"/>
  <c r="T211" i="5"/>
  <c r="R201" i="5"/>
  <c r="T283" i="5"/>
  <c r="T204" i="5"/>
  <c r="K122" i="5"/>
  <c r="O286" i="5"/>
  <c r="O211" i="5"/>
  <c r="P283" i="5"/>
  <c r="P204" i="5"/>
  <c r="P123" i="5"/>
  <c r="O201" i="5"/>
  <c r="O83" i="5"/>
  <c r="O44" i="5"/>
  <c r="O400" i="5" s="1"/>
  <c r="S109" i="5"/>
  <c r="S123" i="5"/>
  <c r="N123" i="5"/>
  <c r="T281" i="5"/>
  <c r="T202" i="5"/>
  <c r="O125" i="5"/>
  <c r="O17" i="5" s="1"/>
  <c r="O373" i="5" s="1"/>
  <c r="O133" i="5"/>
  <c r="O182" i="5"/>
  <c r="O191" i="5" s="1"/>
  <c r="O195" i="5" s="1"/>
  <c r="O283" i="5"/>
  <c r="O204" i="5"/>
  <c r="O30" i="5"/>
  <c r="O386" i="5" s="1"/>
  <c r="O181" i="5"/>
  <c r="T201" i="5"/>
  <c r="Q123" i="5"/>
  <c r="N201" i="5"/>
  <c r="T30" i="5"/>
  <c r="T386" i="5" s="1"/>
  <c r="R123" i="5"/>
  <c r="S286" i="5" l="1"/>
  <c r="S211" i="5"/>
  <c r="Q282" i="5"/>
  <c r="Q109" i="5"/>
  <c r="Q203" i="5"/>
  <c r="R42" i="5"/>
  <c r="R81" i="5"/>
  <c r="P282" i="5"/>
  <c r="P109" i="5"/>
  <c r="P203" i="5"/>
  <c r="T83" i="5"/>
  <c r="T44" i="5"/>
  <c r="T400" i="5" s="1"/>
  <c r="R43" i="5"/>
  <c r="R399" i="5" s="1"/>
  <c r="R82" i="5"/>
  <c r="R30" i="5"/>
  <c r="R386" i="5" s="1"/>
  <c r="T280" i="5"/>
  <c r="T43" i="5"/>
  <c r="T399" i="5" s="1"/>
  <c r="T82" i="5"/>
  <c r="S30" i="5"/>
  <c r="S386" i="5" s="1"/>
  <c r="O81" i="5"/>
  <c r="O42" i="5"/>
  <c r="P201" i="5"/>
  <c r="R280" i="5"/>
  <c r="O43" i="5"/>
  <c r="O399" i="5" s="1"/>
  <c r="O82" i="5"/>
  <c r="N81" i="5"/>
  <c r="N42" i="5"/>
  <c r="O138" i="5"/>
  <c r="O143" i="5" s="1"/>
  <c r="O153" i="5"/>
  <c r="O280" i="5"/>
  <c r="P84" i="5"/>
  <c r="P45" i="5"/>
  <c r="P401" i="5" s="1"/>
  <c r="N286" i="5"/>
  <c r="N211" i="5"/>
  <c r="S44" i="5"/>
  <c r="S400" i="5" s="1"/>
  <c r="S83" i="5"/>
  <c r="O284" i="5"/>
  <c r="O205" i="5"/>
  <c r="N280" i="5"/>
  <c r="N109" i="5"/>
  <c r="N282" i="5"/>
  <c r="N203" i="5"/>
  <c r="T88" i="5"/>
  <c r="T46" i="5"/>
  <c r="Q88" i="5"/>
  <c r="Q46" i="5"/>
  <c r="R282" i="5"/>
  <c r="R109" i="5"/>
  <c r="R203" i="5"/>
  <c r="P281" i="5"/>
  <c r="P202" i="5"/>
  <c r="Q283" i="5"/>
  <c r="Q204" i="5"/>
  <c r="O110" i="5"/>
  <c r="O109" i="5"/>
  <c r="R286" i="5"/>
  <c r="R211" i="5"/>
  <c r="S280" i="5"/>
  <c r="S201" i="5"/>
  <c r="T45" i="5"/>
  <c r="T401" i="5" s="1"/>
  <c r="T84" i="5"/>
  <c r="S281" i="5"/>
  <c r="S202" i="5"/>
  <c r="S84" i="5"/>
  <c r="S45" i="5"/>
  <c r="S401" i="5" s="1"/>
  <c r="P46" i="5"/>
  <c r="P88" i="5"/>
  <c r="T81" i="5"/>
  <c r="T42" i="5"/>
  <c r="Q30" i="5"/>
  <c r="Q386" i="5" s="1"/>
  <c r="Q281" i="5"/>
  <c r="Q202" i="5"/>
  <c r="N30" i="5"/>
  <c r="K123" i="5"/>
  <c r="R283" i="5"/>
  <c r="R204" i="5"/>
  <c r="Q280" i="5"/>
  <c r="Q201" i="5"/>
  <c r="N283" i="5"/>
  <c r="N204" i="5"/>
  <c r="O84" i="5"/>
  <c r="O45" i="5"/>
  <c r="O401" i="5" s="1"/>
  <c r="P30" i="5"/>
  <c r="P386" i="5" s="1"/>
  <c r="O214" i="5"/>
  <c r="O46" i="5"/>
  <c r="O88" i="5"/>
  <c r="N43" i="5"/>
  <c r="N82" i="5"/>
  <c r="Q81" i="5" l="1"/>
  <c r="Q42" i="5"/>
  <c r="L42" i="5" s="1"/>
  <c r="P42" i="5"/>
  <c r="P81" i="5"/>
  <c r="S82" i="5"/>
  <c r="S43" i="5"/>
  <c r="S399" i="5" s="1"/>
  <c r="R46" i="5"/>
  <c r="R88" i="5"/>
  <c r="R83" i="5"/>
  <c r="R44" i="5"/>
  <c r="R400" i="5" s="1"/>
  <c r="T402" i="5"/>
  <c r="T449" i="5"/>
  <c r="N88" i="5"/>
  <c r="N46" i="5"/>
  <c r="P280" i="5"/>
  <c r="P449" i="5"/>
  <c r="P402" i="5"/>
  <c r="Q402" i="5"/>
  <c r="Q449" i="5"/>
  <c r="N386" i="5"/>
  <c r="L386" i="5" s="1"/>
  <c r="L30" i="5"/>
  <c r="T398" i="5"/>
  <c r="T41" i="5"/>
  <c r="O18" i="5"/>
  <c r="O154" i="5"/>
  <c r="O159" i="5"/>
  <c r="R398" i="5"/>
  <c r="S88" i="5"/>
  <c r="S46" i="5"/>
  <c r="O288" i="5"/>
  <c r="Q82" i="5"/>
  <c r="Q43" i="5"/>
  <c r="Q399" i="5" s="1"/>
  <c r="Q84" i="5"/>
  <c r="Q45" i="5"/>
  <c r="Q401" i="5" s="1"/>
  <c r="O144" i="5"/>
  <c r="O162" i="5"/>
  <c r="O41" i="5"/>
  <c r="O398" i="5"/>
  <c r="Q83" i="5"/>
  <c r="Q44" i="5"/>
  <c r="Q400" i="5" s="1"/>
  <c r="S42" i="5"/>
  <c r="S81" i="5"/>
  <c r="L81" i="5" s="1"/>
  <c r="P43" i="5"/>
  <c r="P399" i="5" s="1"/>
  <c r="P82" i="5"/>
  <c r="N398" i="5"/>
  <c r="O48" i="5"/>
  <c r="O85" i="5"/>
  <c r="N83" i="5"/>
  <c r="N44" i="5"/>
  <c r="O449" i="5"/>
  <c r="O402" i="5"/>
  <c r="N399" i="5"/>
  <c r="N45" i="5"/>
  <c r="N84" i="5"/>
  <c r="L84" i="5" s="1"/>
  <c r="R45" i="5"/>
  <c r="R401" i="5" s="1"/>
  <c r="R84" i="5"/>
  <c r="O111" i="5"/>
  <c r="P44" i="5"/>
  <c r="P400" i="5" s="1"/>
  <c r="P83" i="5"/>
  <c r="N41" i="5" l="1"/>
  <c r="N397" i="5"/>
  <c r="N448" i="5"/>
  <c r="L83" i="5"/>
  <c r="O451" i="5"/>
  <c r="O404" i="5"/>
  <c r="L88" i="5"/>
  <c r="O19" i="5"/>
  <c r="O374" i="5"/>
  <c r="O375" i="5" s="1"/>
  <c r="O163" i="5"/>
  <c r="O20" i="5"/>
  <c r="R449" i="5"/>
  <c r="R402" i="5"/>
  <c r="S449" i="5"/>
  <c r="S402" i="5"/>
  <c r="L82" i="5"/>
  <c r="R41" i="5"/>
  <c r="P398" i="5"/>
  <c r="P41" i="5"/>
  <c r="N401" i="5"/>
  <c r="L401" i="5" s="1"/>
  <c r="L45" i="5"/>
  <c r="T397" i="5"/>
  <c r="T448" i="5"/>
  <c r="L43" i="5"/>
  <c r="Q398" i="5"/>
  <c r="Q41" i="5"/>
  <c r="L399" i="5"/>
  <c r="S41" i="5"/>
  <c r="S398" i="5"/>
  <c r="O59" i="5"/>
  <c r="N400" i="5"/>
  <c r="L400" i="5" s="1"/>
  <c r="L44" i="5"/>
  <c r="O448" i="5"/>
  <c r="O38" i="5"/>
  <c r="O397" i="5"/>
  <c r="O394" i="5" s="1"/>
  <c r="N449" i="5"/>
  <c r="N402" i="5"/>
  <c r="L402" i="5" s="1"/>
  <c r="L46" i="5"/>
  <c r="L398" i="5" l="1"/>
  <c r="O395" i="5"/>
  <c r="O453" i="5"/>
  <c r="O39" i="5"/>
  <c r="O454" i="5" s="1"/>
  <c r="S397" i="5"/>
  <c r="S448" i="5"/>
  <c r="P448" i="5"/>
  <c r="P397" i="5"/>
  <c r="Q448" i="5"/>
  <c r="Q397" i="5"/>
  <c r="R448" i="5"/>
  <c r="R397" i="5"/>
  <c r="O21" i="5"/>
  <c r="O377" i="5" s="1"/>
  <c r="O436" i="5" s="1"/>
  <c r="O376" i="5"/>
  <c r="O435" i="5" s="1"/>
  <c r="L41" i="5"/>
  <c r="L397" i="5" l="1"/>
  <c r="U205" i="5" l="1"/>
  <c r="U284" i="5" l="1"/>
  <c r="U288" i="5" s="1"/>
  <c r="V205" i="5"/>
  <c r="U48" i="5"/>
  <c r="U85" i="5"/>
  <c r="V48" i="5" l="1"/>
  <c r="V85" i="5"/>
  <c r="V252" i="5"/>
  <c r="V284" i="5"/>
  <c r="V288" i="5" s="1"/>
  <c r="U451" i="5"/>
  <c r="U404" i="5"/>
  <c r="U394" i="5" s="1"/>
  <c r="U395" i="5" s="1"/>
  <c r="U38" i="5"/>
  <c r="U59" i="5"/>
  <c r="W205" i="5"/>
  <c r="U39" i="5" l="1"/>
  <c r="U454" i="5" s="1"/>
  <c r="U453" i="5"/>
  <c r="V59" i="5"/>
  <c r="V289" i="5"/>
  <c r="V227" i="5"/>
  <c r="X205" i="5"/>
  <c r="W85" i="5"/>
  <c r="W48" i="5"/>
  <c r="W252" i="5"/>
  <c r="W284" i="5"/>
  <c r="W288" i="5" s="1"/>
  <c r="V404" i="5"/>
  <c r="V394" i="5" s="1"/>
  <c r="V395" i="5" s="1"/>
  <c r="V451" i="5"/>
  <c r="V38" i="5"/>
  <c r="W227" i="5" l="1"/>
  <c r="V39" i="5"/>
  <c r="V454" i="5" s="1"/>
  <c r="V453" i="5"/>
  <c r="W404" i="5"/>
  <c r="W394" i="5" s="1"/>
  <c r="W395" i="5" s="1"/>
  <c r="W451" i="5"/>
  <c r="W38" i="5"/>
  <c r="X252" i="5"/>
  <c r="X284" i="5"/>
  <c r="X288" i="5" s="1"/>
  <c r="Y205" i="5"/>
  <c r="W59" i="5"/>
  <c r="W289" i="5"/>
  <c r="X85" i="5"/>
  <c r="X48" i="5"/>
  <c r="X404" i="5" l="1"/>
  <c r="X394" i="5" s="1"/>
  <c r="X395" i="5" s="1"/>
  <c r="X451" i="5"/>
  <c r="X38" i="5"/>
  <c r="Z205" i="5"/>
  <c r="Y252" i="5"/>
  <c r="Y284" i="5"/>
  <c r="Y288" i="5" s="1"/>
  <c r="X59" i="5"/>
  <c r="X289" i="5"/>
  <c r="X227" i="5"/>
  <c r="Y48" i="5"/>
  <c r="Y85" i="5"/>
  <c r="W453" i="5"/>
  <c r="W39" i="5"/>
  <c r="W454" i="5" s="1"/>
  <c r="Z252" i="5" l="1"/>
  <c r="Z284" i="5"/>
  <c r="Z288" i="5" s="1"/>
  <c r="AA205" i="5"/>
  <c r="Z85" i="5"/>
  <c r="Z48" i="5"/>
  <c r="X39" i="5"/>
  <c r="X454" i="5" s="1"/>
  <c r="X453" i="5"/>
  <c r="Y227" i="5"/>
  <c r="Y451" i="5"/>
  <c r="Y404" i="5"/>
  <c r="Y394" i="5" s="1"/>
  <c r="Y395" i="5" s="1"/>
  <c r="Y38" i="5"/>
  <c r="Y289" i="5"/>
  <c r="Y59" i="5"/>
  <c r="Z227" i="5" l="1"/>
  <c r="AB205" i="5"/>
  <c r="Y39" i="5"/>
  <c r="Y454" i="5" s="1"/>
  <c r="Y453" i="5"/>
  <c r="AA252" i="5"/>
  <c r="AA284" i="5"/>
  <c r="AA288" i="5" s="1"/>
  <c r="Z451" i="5"/>
  <c r="Z404" i="5"/>
  <c r="Z394" i="5" s="1"/>
  <c r="Z395" i="5" s="1"/>
  <c r="Z38" i="5"/>
  <c r="Z289" i="5"/>
  <c r="Z59" i="5"/>
  <c r="AA85" i="5"/>
  <c r="AA48" i="5"/>
  <c r="AB48" i="5" l="1"/>
  <c r="AB85" i="5"/>
  <c r="AA59" i="5"/>
  <c r="AA289" i="5"/>
  <c r="AA227" i="5"/>
  <c r="AB252" i="5"/>
  <c r="AB284" i="5"/>
  <c r="AB288" i="5" s="1"/>
  <c r="AA451" i="5"/>
  <c r="AA404" i="5"/>
  <c r="AA394" i="5" s="1"/>
  <c r="AA395" i="5" s="1"/>
  <c r="AA38" i="5"/>
  <c r="Z39" i="5"/>
  <c r="Z454" i="5" s="1"/>
  <c r="Z453" i="5"/>
  <c r="AC205" i="5"/>
  <c r="AB289" i="5" l="1"/>
  <c r="AB59" i="5"/>
  <c r="AC85" i="5"/>
  <c r="AC48" i="5"/>
  <c r="AC252" i="5"/>
  <c r="AC284" i="5"/>
  <c r="AC288" i="5" s="1"/>
  <c r="AB227" i="5"/>
  <c r="AA453" i="5"/>
  <c r="AA39" i="5"/>
  <c r="AA454" i="5" s="1"/>
  <c r="AB451" i="5"/>
  <c r="AB404" i="5"/>
  <c r="AB394" i="5" s="1"/>
  <c r="AB395" i="5" s="1"/>
  <c r="AB38" i="5"/>
  <c r="AC227" i="5" l="1"/>
  <c r="AC451" i="5"/>
  <c r="AC404" i="5"/>
  <c r="AC394" i="5" s="1"/>
  <c r="AC395" i="5" s="1"/>
  <c r="AC38" i="5"/>
  <c r="AB453" i="5"/>
  <c r="AB39" i="5"/>
  <c r="AB454" i="5" s="1"/>
  <c r="AC289" i="5"/>
  <c r="AC59" i="5"/>
  <c r="AC453" i="5" l="1"/>
  <c r="AC39" i="5"/>
  <c r="AC454" i="5" s="1"/>
  <c r="T118" i="5" l="1"/>
  <c r="T134" i="5"/>
  <c r="T192" i="5" s="1"/>
  <c r="T136" i="5"/>
  <c r="T193" i="5" s="1"/>
  <c r="S118" i="5" l="1"/>
  <c r="T287" i="5"/>
  <c r="T212" i="5"/>
  <c r="T200" i="5"/>
  <c r="T187" i="5"/>
  <c r="T189" i="5"/>
  <c r="T177" i="5"/>
  <c r="T116" i="5"/>
  <c r="T176" i="5"/>
  <c r="T124" i="5"/>
  <c r="T16" i="5"/>
  <c r="T372" i="5" s="1"/>
  <c r="T434" i="5" s="1"/>
  <c r="T185" i="5"/>
  <c r="T186" i="5"/>
  <c r="T188" i="5"/>
  <c r="T183" i="5"/>
  <c r="T179" i="5"/>
  <c r="T178" i="5"/>
  <c r="T184" i="5"/>
  <c r="T190" i="5"/>
  <c r="T180" i="5"/>
  <c r="T181" i="5"/>
  <c r="T137" i="5"/>
  <c r="T194" i="5" s="1"/>
  <c r="T205" i="5"/>
  <c r="T247" i="5"/>
  <c r="S136" i="5"/>
  <c r="S193" i="5" s="1"/>
  <c r="T79" i="5" l="1"/>
  <c r="T40" i="5"/>
  <c r="T133" i="5"/>
  <c r="T125" i="5"/>
  <c r="T17" i="5" s="1"/>
  <c r="T373" i="5" s="1"/>
  <c r="T279" i="5"/>
  <c r="T110" i="5"/>
  <c r="T108" i="5"/>
  <c r="T111" i="5" s="1"/>
  <c r="R118" i="5"/>
  <c r="S247" i="5"/>
  <c r="S134" i="5"/>
  <c r="S192" i="5" s="1"/>
  <c r="T48" i="5"/>
  <c r="T85" i="5"/>
  <c r="T182" i="5"/>
  <c r="T191" i="5" s="1"/>
  <c r="T195" i="5" s="1"/>
  <c r="S137" i="5"/>
  <c r="S194" i="5" s="1"/>
  <c r="T89" i="5"/>
  <c r="T214" i="5"/>
  <c r="S200" i="5"/>
  <c r="T284" i="5"/>
  <c r="U252" i="5"/>
  <c r="S176" i="5"/>
  <c r="S177" i="5"/>
  <c r="S124" i="5"/>
  <c r="S116" i="5"/>
  <c r="S189" i="5"/>
  <c r="S16" i="5"/>
  <c r="S372" i="5" s="1"/>
  <c r="S434" i="5" s="1"/>
  <c r="S185" i="5"/>
  <c r="S186" i="5"/>
  <c r="S187" i="5"/>
  <c r="S188" i="5"/>
  <c r="S183" i="5"/>
  <c r="S179" i="5"/>
  <c r="S178" i="5"/>
  <c r="S184" i="5"/>
  <c r="S190" i="5"/>
  <c r="S180" i="5"/>
  <c r="S181" i="5"/>
  <c r="S287" i="5"/>
  <c r="S212" i="5"/>
  <c r="R136" i="5"/>
  <c r="T138" i="5" l="1"/>
  <c r="T143" i="5" s="1"/>
  <c r="T153" i="5"/>
  <c r="S40" i="5"/>
  <c r="S79" i="5"/>
  <c r="S205" i="5"/>
  <c r="R134" i="5"/>
  <c r="R192" i="5" s="1"/>
  <c r="S89" i="5"/>
  <c r="S214" i="5"/>
  <c r="S110" i="5"/>
  <c r="S108" i="5"/>
  <c r="S111" i="5" s="1"/>
  <c r="T404" i="5"/>
  <c r="T451" i="5"/>
  <c r="S125" i="5"/>
  <c r="S17" i="5" s="1"/>
  <c r="S373" i="5" s="1"/>
  <c r="S133" i="5"/>
  <c r="R247" i="5"/>
  <c r="T288" i="5"/>
  <c r="S182" i="5"/>
  <c r="S191" i="5" s="1"/>
  <c r="S195" i="5" s="1"/>
  <c r="S279" i="5"/>
  <c r="R287" i="5"/>
  <c r="R212" i="5"/>
  <c r="U248" i="5"/>
  <c r="U249" i="5" s="1"/>
  <c r="R137" i="5"/>
  <c r="R194" i="5" s="1"/>
  <c r="R200" i="5"/>
  <c r="U227" i="5"/>
  <c r="T447" i="5"/>
  <c r="T396" i="5"/>
  <c r="T38" i="5"/>
  <c r="Q118" i="5"/>
  <c r="R124" i="5"/>
  <c r="R182" i="5" s="1"/>
  <c r="R116" i="5"/>
  <c r="R186" i="5"/>
  <c r="R185" i="5"/>
  <c r="R16" i="5"/>
  <c r="R372" i="5" s="1"/>
  <c r="R434" i="5" s="1"/>
  <c r="R193" i="5"/>
  <c r="R189" i="5"/>
  <c r="R177" i="5"/>
  <c r="R176" i="5"/>
  <c r="R187" i="5"/>
  <c r="R188" i="5"/>
  <c r="R183" i="5"/>
  <c r="R179" i="5"/>
  <c r="R178" i="5"/>
  <c r="R184" i="5"/>
  <c r="R190" i="5"/>
  <c r="R180" i="5"/>
  <c r="R181" i="5"/>
  <c r="Q136" i="5"/>
  <c r="T394" i="5" l="1"/>
  <c r="T395" i="5" s="1"/>
  <c r="R79" i="5"/>
  <c r="R40" i="5"/>
  <c r="Q187" i="5"/>
  <c r="Q176" i="5"/>
  <c r="Q189" i="5"/>
  <c r="Q124" i="5"/>
  <c r="Q193" i="5"/>
  <c r="Q116" i="5"/>
  <c r="Q186" i="5"/>
  <c r="Q185" i="5"/>
  <c r="Q16" i="5"/>
  <c r="Q372" i="5" s="1"/>
  <c r="Q434" i="5" s="1"/>
  <c r="Q177" i="5"/>
  <c r="Q188" i="5"/>
  <c r="Q182" i="5"/>
  <c r="Q183" i="5"/>
  <c r="Q179" i="5"/>
  <c r="Q178" i="5"/>
  <c r="Q184" i="5"/>
  <c r="Q190" i="5"/>
  <c r="Q180" i="5"/>
  <c r="Q181" i="5"/>
  <c r="Q247" i="5"/>
  <c r="R110" i="5"/>
  <c r="R108" i="5"/>
  <c r="R89" i="5"/>
  <c r="R214" i="5"/>
  <c r="T59" i="5"/>
  <c r="U289" i="5"/>
  <c r="S138" i="5"/>
  <c r="S143" i="5" s="1"/>
  <c r="S153" i="5"/>
  <c r="R191" i="5"/>
  <c r="R195" i="5" s="1"/>
  <c r="Q200" i="5"/>
  <c r="T39" i="5"/>
  <c r="T454" i="5" s="1"/>
  <c r="T453" i="5"/>
  <c r="R279" i="5"/>
  <c r="S447" i="5"/>
  <c r="S396" i="5"/>
  <c r="Q137" i="5"/>
  <c r="Q194" i="5" s="1"/>
  <c r="T154" i="5"/>
  <c r="T18" i="5"/>
  <c r="T159" i="5"/>
  <c r="R205" i="5"/>
  <c r="V266" i="5"/>
  <c r="S48" i="5"/>
  <c r="S85" i="5"/>
  <c r="T144" i="5"/>
  <c r="T162" i="5"/>
  <c r="R125" i="5"/>
  <c r="R17" i="5" s="1"/>
  <c r="R373" i="5" s="1"/>
  <c r="R133" i="5"/>
  <c r="P118" i="5"/>
  <c r="T227" i="5"/>
  <c r="T248" i="5"/>
  <c r="T249" i="5" s="1"/>
  <c r="S284" i="5"/>
  <c r="S288" i="5" s="1"/>
  <c r="T252" i="5"/>
  <c r="Q134" i="5"/>
  <c r="Q192" i="5" s="1"/>
  <c r="Q287" i="5"/>
  <c r="Q212" i="5"/>
  <c r="P136" i="5"/>
  <c r="P134" i="5"/>
  <c r="P192" i="5" s="1"/>
  <c r="R111" i="5" l="1"/>
  <c r="P130" i="5"/>
  <c r="P188" i="5" s="1"/>
  <c r="Q279" i="5"/>
  <c r="T20" i="5"/>
  <c r="T163" i="5"/>
  <c r="Q89" i="5"/>
  <c r="Q214" i="5"/>
  <c r="S59" i="5"/>
  <c r="P176" i="5"/>
  <c r="P177" i="5"/>
  <c r="P187" i="5"/>
  <c r="P124" i="5"/>
  <c r="P116" i="5"/>
  <c r="P189" i="5"/>
  <c r="P186" i="5"/>
  <c r="P185" i="5"/>
  <c r="P193" i="5"/>
  <c r="P16" i="5"/>
  <c r="P372" i="5" s="1"/>
  <c r="P434" i="5" s="1"/>
  <c r="P183" i="5"/>
  <c r="P179" i="5"/>
  <c r="P178" i="5"/>
  <c r="P184" i="5"/>
  <c r="P190" i="5"/>
  <c r="P180" i="5"/>
  <c r="P181" i="5"/>
  <c r="R85" i="5"/>
  <c r="R48" i="5"/>
  <c r="Q110" i="5"/>
  <c r="Q108" i="5"/>
  <c r="S252" i="5"/>
  <c r="R284" i="5"/>
  <c r="R288" i="5" s="1"/>
  <c r="S289" i="5" s="1"/>
  <c r="S404" i="5"/>
  <c r="S394" i="5" s="1"/>
  <c r="S395" i="5" s="1"/>
  <c r="S451" i="5"/>
  <c r="R248" i="5"/>
  <c r="R249" i="5" s="1"/>
  <c r="S18" i="5"/>
  <c r="S159" i="5"/>
  <c r="S154" i="5"/>
  <c r="R396" i="5"/>
  <c r="R447" i="5"/>
  <c r="R38" i="5"/>
  <c r="P247" i="5"/>
  <c r="S162" i="5"/>
  <c r="S144" i="5"/>
  <c r="U266" i="5"/>
  <c r="P200" i="5"/>
  <c r="R153" i="5"/>
  <c r="R138" i="5"/>
  <c r="R143" i="5" s="1"/>
  <c r="Q284" i="5"/>
  <c r="Q288" i="5" s="1"/>
  <c r="Q205" i="5"/>
  <c r="P287" i="5"/>
  <c r="P212" i="5"/>
  <c r="P137" i="5"/>
  <c r="P194" i="5" s="1"/>
  <c r="S248" i="5"/>
  <c r="S249" i="5" s="1"/>
  <c r="T19" i="5"/>
  <c r="T374" i="5"/>
  <c r="T375" i="5" s="1"/>
  <c r="S38" i="5"/>
  <c r="Q79" i="5"/>
  <c r="Q40" i="5"/>
  <c r="T289" i="5"/>
  <c r="Q191" i="5"/>
  <c r="Q195" i="5" s="1"/>
  <c r="Q133" i="5"/>
  <c r="Q125" i="5"/>
  <c r="Q17" i="5" s="1"/>
  <c r="Q373" i="5" s="1"/>
  <c r="T266" i="5" l="1"/>
  <c r="P279" i="5"/>
  <c r="S374" i="5"/>
  <c r="S375" i="5" s="1"/>
  <c r="S19" i="5"/>
  <c r="P110" i="5"/>
  <c r="P108" i="5"/>
  <c r="P111" i="5" s="1"/>
  <c r="N118" i="5"/>
  <c r="Q396" i="5"/>
  <c r="Q447" i="5"/>
  <c r="P205" i="5"/>
  <c r="S20" i="5"/>
  <c r="S163" i="5"/>
  <c r="Q111" i="5"/>
  <c r="S453" i="5"/>
  <c r="S39" i="5"/>
  <c r="S454" i="5" s="1"/>
  <c r="P89" i="5"/>
  <c r="P214" i="5"/>
  <c r="R144" i="5"/>
  <c r="R162" i="5"/>
  <c r="R453" i="5"/>
  <c r="R39" i="5"/>
  <c r="R454" i="5" s="1"/>
  <c r="S266" i="5"/>
  <c r="S227" i="5"/>
  <c r="R227" i="5"/>
  <c r="R18" i="5"/>
  <c r="R154" i="5"/>
  <c r="R159" i="5"/>
  <c r="R252" i="5"/>
  <c r="R404" i="5"/>
  <c r="R394" i="5" s="1"/>
  <c r="R395" i="5" s="1"/>
  <c r="R451" i="5"/>
  <c r="P133" i="5"/>
  <c r="P125" i="5"/>
  <c r="P17" i="5" s="1"/>
  <c r="P373" i="5" s="1"/>
  <c r="Q59" i="5"/>
  <c r="Q48" i="5"/>
  <c r="Q85" i="5"/>
  <c r="P40" i="5"/>
  <c r="P79" i="5"/>
  <c r="R59" i="5"/>
  <c r="R289" i="5"/>
  <c r="P182" i="5"/>
  <c r="P191" i="5" s="1"/>
  <c r="P195" i="5" s="1"/>
  <c r="Q153" i="5"/>
  <c r="Q138" i="5"/>
  <c r="Q143" i="5" s="1"/>
  <c r="T21" i="5"/>
  <c r="T377" i="5" s="1"/>
  <c r="T436" i="5" s="1"/>
  <c r="T376" i="5"/>
  <c r="T435" i="5" s="1"/>
  <c r="Q227" i="5" l="1"/>
  <c r="P227" i="5"/>
  <c r="N130" i="5"/>
  <c r="N200" i="5"/>
  <c r="P153" i="5"/>
  <c r="P138" i="5"/>
  <c r="P143" i="5" s="1"/>
  <c r="R19" i="5"/>
  <c r="R374" i="5"/>
  <c r="R375" i="5" s="1"/>
  <c r="S21" i="5"/>
  <c r="S377" i="5" s="1"/>
  <c r="S436" i="5" s="1"/>
  <c r="S376" i="5"/>
  <c r="S435" i="5" s="1"/>
  <c r="N294" i="5"/>
  <c r="N287" i="5"/>
  <c r="N212" i="5"/>
  <c r="R163" i="5"/>
  <c r="R20" i="5"/>
  <c r="O294" i="5"/>
  <c r="N247" i="5"/>
  <c r="P447" i="5"/>
  <c r="P396" i="5"/>
  <c r="N205" i="5"/>
  <c r="P248" i="5"/>
  <c r="P249" i="5" s="1"/>
  <c r="N137" i="5"/>
  <c r="Q248" i="5"/>
  <c r="Q249" i="5" s="1"/>
  <c r="N134" i="5"/>
  <c r="K134" i="5" s="1"/>
  <c r="N136" i="5"/>
  <c r="K136" i="5" s="1"/>
  <c r="Q162" i="5"/>
  <c r="Q144" i="5"/>
  <c r="Q38" i="5"/>
  <c r="Q404" i="5"/>
  <c r="Q394" i="5" s="1"/>
  <c r="Q395" i="5" s="1"/>
  <c r="Q451" i="5"/>
  <c r="P85" i="5"/>
  <c r="P48" i="5"/>
  <c r="Q154" i="5"/>
  <c r="Q18" i="5"/>
  <c r="Q159" i="5"/>
  <c r="Q252" i="5"/>
  <c r="P284" i="5"/>
  <c r="P288" i="5" s="1"/>
  <c r="P252" i="5"/>
  <c r="N16" i="5"/>
  <c r="K118" i="5"/>
  <c r="N186" i="5"/>
  <c r="N124" i="5"/>
  <c r="N182" i="5" s="1"/>
  <c r="N189" i="5"/>
  <c r="N187" i="5"/>
  <c r="N116" i="5"/>
  <c r="N176" i="5"/>
  <c r="N185" i="5"/>
  <c r="I118" i="5"/>
  <c r="N177" i="5"/>
  <c r="N193" i="5"/>
  <c r="N183" i="5"/>
  <c r="N179" i="5"/>
  <c r="N178" i="5"/>
  <c r="N184" i="5"/>
  <c r="N190" i="5"/>
  <c r="N180" i="5"/>
  <c r="N181" i="5"/>
  <c r="L134" i="5" l="1"/>
  <c r="P289" i="5"/>
  <c r="P59" i="5"/>
  <c r="Q289" i="5"/>
  <c r="L136" i="5"/>
  <c r="L247" i="5"/>
  <c r="N188" i="5"/>
  <c r="N191" i="5" s="1"/>
  <c r="K130" i="5"/>
  <c r="L130" i="5" s="1"/>
  <c r="L188" i="5" s="1"/>
  <c r="P404" i="5"/>
  <c r="P394" i="5" s="1"/>
  <c r="P451" i="5"/>
  <c r="N192" i="5"/>
  <c r="Q266" i="5"/>
  <c r="P38" i="5"/>
  <c r="I114" i="5"/>
  <c r="I160" i="5"/>
  <c r="I161" i="5"/>
  <c r="I140" i="5"/>
  <c r="I139" i="5"/>
  <c r="I119" i="5"/>
  <c r="I142" i="5"/>
  <c r="I134" i="5"/>
  <c r="I130" i="5"/>
  <c r="Q453" i="5"/>
  <c r="Q39" i="5"/>
  <c r="Q454" i="5" s="1"/>
  <c r="N284" i="5"/>
  <c r="O252" i="5"/>
  <c r="N89" i="5"/>
  <c r="L89" i="5" s="1"/>
  <c r="N214" i="5"/>
  <c r="N40" i="5"/>
  <c r="N79" i="5"/>
  <c r="L79" i="5" s="1"/>
  <c r="N133" i="5"/>
  <c r="N125" i="5"/>
  <c r="N17" i="5" s="1"/>
  <c r="N373" i="5" s="1"/>
  <c r="Q374" i="5"/>
  <c r="Q375" i="5" s="1"/>
  <c r="Q19" i="5"/>
  <c r="L131" i="5"/>
  <c r="L189" i="5" s="1"/>
  <c r="L157" i="5"/>
  <c r="K116" i="5"/>
  <c r="L148" i="5"/>
  <c r="L150" i="5"/>
  <c r="L139" i="5"/>
  <c r="L167" i="5"/>
  <c r="L156" i="5"/>
  <c r="L192" i="5" s="1"/>
  <c r="L141" i="5"/>
  <c r="L135" i="5"/>
  <c r="L176" i="5"/>
  <c r="L160" i="5"/>
  <c r="L151" i="5"/>
  <c r="L161" i="5"/>
  <c r="K124" i="5"/>
  <c r="L149" i="5"/>
  <c r="L158" i="5"/>
  <c r="L168" i="5"/>
  <c r="L152" i="5"/>
  <c r="L140" i="5"/>
  <c r="L142" i="5"/>
  <c r="L128" i="5"/>
  <c r="L185" i="5" s="1"/>
  <c r="L129" i="5"/>
  <c r="L186" i="5" s="1"/>
  <c r="L126" i="5"/>
  <c r="L183" i="5" s="1"/>
  <c r="L120" i="5"/>
  <c r="L119" i="5"/>
  <c r="L121" i="5"/>
  <c r="L127" i="5"/>
  <c r="L184" i="5" s="1"/>
  <c r="L132" i="5"/>
  <c r="L190" i="5" s="1"/>
  <c r="L122" i="5"/>
  <c r="L123" i="5"/>
  <c r="K137" i="5"/>
  <c r="L137" i="5" s="1"/>
  <c r="L194" i="5" s="1"/>
  <c r="N194" i="5"/>
  <c r="O226" i="5"/>
  <c r="O164" i="5"/>
  <c r="O208" i="5"/>
  <c r="N279" i="5"/>
  <c r="N288" i="5" s="1"/>
  <c r="N85" i="5"/>
  <c r="N48" i="5"/>
  <c r="K16" i="5"/>
  <c r="N372" i="5"/>
  <c r="L16" i="5"/>
  <c r="P353" i="5" s="1"/>
  <c r="L315" i="5"/>
  <c r="Y352" i="5"/>
  <c r="P354" i="5"/>
  <c r="S352" i="5"/>
  <c r="N295" i="5"/>
  <c r="O295" i="5"/>
  <c r="N208" i="5"/>
  <c r="P144" i="5"/>
  <c r="P162" i="5"/>
  <c r="N110" i="5"/>
  <c r="N108" i="5"/>
  <c r="Q20" i="5"/>
  <c r="Q163" i="5"/>
  <c r="R266" i="5"/>
  <c r="R376" i="5"/>
  <c r="R435" i="5" s="1"/>
  <c r="R21" i="5"/>
  <c r="R377" i="5" s="1"/>
  <c r="R436" i="5" s="1"/>
  <c r="N164" i="5"/>
  <c r="P159" i="5"/>
  <c r="P154" i="5"/>
  <c r="P18" i="5"/>
  <c r="N195" i="5" l="1"/>
  <c r="N111" i="5"/>
  <c r="I137" i="5"/>
  <c r="Q376" i="5"/>
  <c r="Q435" i="5" s="1"/>
  <c r="Q21" i="5"/>
  <c r="Q377" i="5" s="1"/>
  <c r="Q436" i="5" s="1"/>
  <c r="P20" i="5"/>
  <c r="P163" i="5"/>
  <c r="O60" i="5"/>
  <c r="O305" i="5"/>
  <c r="O227" i="5"/>
  <c r="N252" i="5"/>
  <c r="L252" i="5" s="1"/>
  <c r="N226" i="5"/>
  <c r="N60" i="5"/>
  <c r="N305" i="5"/>
  <c r="O248" i="5"/>
  <c r="O249" i="5" s="1"/>
  <c r="O165" i="5"/>
  <c r="K125" i="5"/>
  <c r="L17" i="5" s="1"/>
  <c r="K133" i="5"/>
  <c r="I133" i="5" s="1"/>
  <c r="L124" i="5"/>
  <c r="L182" i="5" s="1"/>
  <c r="L191" i="5" s="1"/>
  <c r="N248" i="5"/>
  <c r="P294" i="5"/>
  <c r="P19" i="5"/>
  <c r="P374" i="5"/>
  <c r="P375" i="5" s="1"/>
  <c r="P395" i="5"/>
  <c r="L394" i="5"/>
  <c r="V359" i="5" s="1"/>
  <c r="N434" i="5"/>
  <c r="L372" i="5"/>
  <c r="V353" i="5" s="1"/>
  <c r="K372" i="5"/>
  <c r="V354" i="5"/>
  <c r="N404" i="5"/>
  <c r="L404" i="5" s="1"/>
  <c r="L48" i="5"/>
  <c r="N451" i="5"/>
  <c r="L40" i="5"/>
  <c r="N396" i="5"/>
  <c r="N447" i="5"/>
  <c r="N38" i="5"/>
  <c r="P39" i="5"/>
  <c r="P454" i="5" s="1"/>
  <c r="P453" i="5"/>
  <c r="L38" i="5"/>
  <c r="P359" i="5" s="1"/>
  <c r="N138" i="5"/>
  <c r="N143" i="5" s="1"/>
  <c r="N153" i="5"/>
  <c r="L193" i="5"/>
  <c r="N94" i="5"/>
  <c r="N289" i="5"/>
  <c r="N59" i="5"/>
  <c r="L59" i="5" s="1"/>
  <c r="O289" i="5"/>
  <c r="O94" i="5" l="1"/>
  <c r="P94" i="5" s="1"/>
  <c r="Q94" i="5" s="1"/>
  <c r="R94" i="5" s="1"/>
  <c r="S94" i="5" s="1"/>
  <c r="T94" i="5" s="1"/>
  <c r="U94" i="5" s="1"/>
  <c r="V94" i="5" s="1"/>
  <c r="W94" i="5" s="1"/>
  <c r="X94" i="5" s="1"/>
  <c r="Y94" i="5" s="1"/>
  <c r="Z94" i="5" s="1"/>
  <c r="AA94" i="5" s="1"/>
  <c r="AB94" i="5" s="1"/>
  <c r="AC94" i="5" s="1"/>
  <c r="L94" i="5"/>
  <c r="P295" i="5"/>
  <c r="P21" i="5"/>
  <c r="P377" i="5" s="1"/>
  <c r="P436" i="5" s="1"/>
  <c r="P376" i="5"/>
  <c r="P435" i="5" s="1"/>
  <c r="O166" i="5"/>
  <c r="O22" i="5" s="1"/>
  <c r="O378" i="5" s="1"/>
  <c r="O437" i="5" s="1"/>
  <c r="O169" i="5"/>
  <c r="L39" i="5"/>
  <c r="O97" i="5" s="1"/>
  <c r="N453" i="5"/>
  <c r="N39" i="5"/>
  <c r="N454" i="5" s="1"/>
  <c r="P164" i="5"/>
  <c r="P208" i="5"/>
  <c r="L248" i="5"/>
  <c r="L249" i="5" s="1"/>
  <c r="N249" i="5"/>
  <c r="L195" i="5"/>
  <c r="N227" i="5"/>
  <c r="L227" i="5" s="1"/>
  <c r="O170" i="5"/>
  <c r="P266" i="5"/>
  <c r="N159" i="5"/>
  <c r="N154" i="5"/>
  <c r="N18" i="5"/>
  <c r="L396" i="5"/>
  <c r="N394" i="5"/>
  <c r="O266" i="5"/>
  <c r="K153" i="5"/>
  <c r="I153" i="5" s="1"/>
  <c r="K138" i="5"/>
  <c r="I138" i="5" s="1"/>
  <c r="L133" i="5"/>
  <c r="N162" i="5"/>
  <c r="N144" i="5"/>
  <c r="S355" i="5"/>
  <c r="L373" i="5"/>
  <c r="Y355" i="5"/>
  <c r="N165" i="5" l="1"/>
  <c r="N163" i="5"/>
  <c r="N20" i="5"/>
  <c r="L395" i="5"/>
  <c r="N395" i="5"/>
  <c r="O251" i="5"/>
  <c r="O253" i="5" s="1"/>
  <c r="O254" i="5" s="1"/>
  <c r="O95" i="5"/>
  <c r="O316" i="5"/>
  <c r="P165" i="5"/>
  <c r="P60" i="5"/>
  <c r="P305" i="5"/>
  <c r="L138" i="5"/>
  <c r="K143" i="5"/>
  <c r="I143" i="5" s="1"/>
  <c r="N19" i="5"/>
  <c r="N374" i="5"/>
  <c r="L18" i="5"/>
  <c r="L19" i="5" s="1"/>
  <c r="O225" i="5"/>
  <c r="O228" i="5" s="1"/>
  <c r="P226" i="5"/>
  <c r="J164" i="5"/>
  <c r="S353" i="5"/>
  <c r="Y353" i="5"/>
  <c r="L153" i="5"/>
  <c r="K159" i="5"/>
  <c r="K154" i="5"/>
  <c r="Q294" i="5"/>
  <c r="O171" i="5"/>
  <c r="L159" i="5" l="1"/>
  <c r="I159" i="5"/>
  <c r="N170" i="5"/>
  <c r="Y356" i="5"/>
  <c r="S356" i="5"/>
  <c r="Q295" i="5"/>
  <c r="N375" i="5"/>
  <c r="L374" i="5"/>
  <c r="L375" i="5" s="1"/>
  <c r="Q164" i="5"/>
  <c r="K162" i="5"/>
  <c r="I162" i="5" s="1"/>
  <c r="L143" i="5"/>
  <c r="K144" i="5"/>
  <c r="L20" i="5"/>
  <c r="N21" i="5"/>
  <c r="N377" i="5" s="1"/>
  <c r="N436" i="5" s="1"/>
  <c r="N376" i="5"/>
  <c r="Q208" i="5"/>
  <c r="N169" i="5"/>
  <c r="N171" i="5" s="1"/>
  <c r="N166" i="5"/>
  <c r="N22" i="5" s="1"/>
  <c r="N378" i="5" s="1"/>
  <c r="N437" i="5" s="1"/>
  <c r="O53" i="5"/>
  <c r="O55" i="5" s="1"/>
  <c r="O440" i="5"/>
  <c r="P166" i="5"/>
  <c r="P22" i="5" s="1"/>
  <c r="P378" i="5" s="1"/>
  <c r="P437" i="5" s="1"/>
  <c r="P169" i="5"/>
  <c r="O256" i="5"/>
  <c r="O255" i="5" s="1"/>
  <c r="O322" i="5" l="1"/>
  <c r="O324" i="5" s="1"/>
  <c r="O261" i="5"/>
  <c r="O264" i="5" s="1"/>
  <c r="Q165" i="5"/>
  <c r="L162" i="5"/>
  <c r="K163" i="5"/>
  <c r="Q226" i="5"/>
  <c r="P170" i="5"/>
  <c r="P171" i="5" s="1"/>
  <c r="N251" i="5"/>
  <c r="N435" i="5"/>
  <c r="L376" i="5"/>
  <c r="V355" i="5" s="1"/>
  <c r="Q60" i="5"/>
  <c r="Q305" i="5"/>
  <c r="N95" i="5"/>
  <c r="N316" i="5"/>
  <c r="R294" i="5"/>
  <c r="R295" i="5" s="1"/>
  <c r="L21" i="5"/>
  <c r="P355" i="5"/>
  <c r="N217" i="5" l="1"/>
  <c r="N221" i="5" s="1"/>
  <c r="Q166" i="5"/>
  <c r="Q22" i="5" s="1"/>
  <c r="Q378" i="5" s="1"/>
  <c r="Q437" i="5" s="1"/>
  <c r="Q169" i="5"/>
  <c r="P251" i="5"/>
  <c r="P253" i="5" s="1"/>
  <c r="P254" i="5" s="1"/>
  <c r="N225" i="5"/>
  <c r="P95" i="5"/>
  <c r="P316" i="5"/>
  <c r="O23" i="5"/>
  <c r="O379" i="5" s="1"/>
  <c r="O327" i="5"/>
  <c r="O330" i="5" s="1"/>
  <c r="R60" i="5"/>
  <c r="S357" i="5"/>
  <c r="Y357" i="5"/>
  <c r="L377" i="5"/>
  <c r="R164" i="5"/>
  <c r="N253" i="5"/>
  <c r="N254" i="5" s="1"/>
  <c r="P225" i="5"/>
  <c r="P228" i="5" s="1"/>
  <c r="N228" i="5" l="1"/>
  <c r="O217" i="5"/>
  <c r="O221" i="5" s="1"/>
  <c r="Q170" i="5"/>
  <c r="S294" i="5"/>
  <c r="S295" i="5" s="1"/>
  <c r="R165" i="5"/>
  <c r="P256" i="5"/>
  <c r="P255" i="5" s="1"/>
  <c r="P440" i="5"/>
  <c r="P53" i="5"/>
  <c r="P55" i="5" s="1"/>
  <c r="R226" i="5"/>
  <c r="R208" i="5"/>
  <c r="R305" i="5" s="1"/>
  <c r="N261" i="5"/>
  <c r="N264" i="5" s="1"/>
  <c r="N270" i="5" s="1"/>
  <c r="P261" i="5" l="1"/>
  <c r="P264" i="5" s="1"/>
  <c r="R169" i="5"/>
  <c r="R166" i="5"/>
  <c r="R22" i="5" s="1"/>
  <c r="R378" i="5" s="1"/>
  <c r="R437" i="5" s="1"/>
  <c r="N235" i="5"/>
  <c r="N322" i="5"/>
  <c r="R170" i="5"/>
  <c r="P322" i="5"/>
  <c r="P324" i="5" s="1"/>
  <c r="P217" i="5"/>
  <c r="P221" i="5" s="1"/>
  <c r="S60" i="5"/>
  <c r="S164" i="5"/>
  <c r="Q251" i="5"/>
  <c r="N53" i="5"/>
  <c r="N440" i="5"/>
  <c r="Q225" i="5"/>
  <c r="S208" i="5"/>
  <c r="S305" i="5" s="1"/>
  <c r="Q171" i="5"/>
  <c r="Q95" i="5"/>
  <c r="Q316" i="5"/>
  <c r="N256" i="5"/>
  <c r="N255" i="5" s="1"/>
  <c r="Q253" i="5" l="1"/>
  <c r="Q254" i="5" s="1"/>
  <c r="N102" i="5"/>
  <c r="N64" i="5" s="1"/>
  <c r="Q228" i="5"/>
  <c r="R171" i="5"/>
  <c r="R95" i="5"/>
  <c r="R316" i="5"/>
  <c r="R225" i="5"/>
  <c r="R228" i="5" s="1"/>
  <c r="Q217" i="5"/>
  <c r="Q221" i="5" s="1"/>
  <c r="P327" i="5"/>
  <c r="P330" i="5" s="1"/>
  <c r="P23" i="5"/>
  <c r="P379" i="5" s="1"/>
  <c r="N324" i="5"/>
  <c r="T294" i="5"/>
  <c r="T295" i="5" s="1"/>
  <c r="O443" i="5"/>
  <c r="P443" i="5"/>
  <c r="N443" i="5"/>
  <c r="S165" i="5"/>
  <c r="R251" i="5"/>
  <c r="R253" i="5" s="1"/>
  <c r="R254" i="5" s="1"/>
  <c r="N55" i="5"/>
  <c r="S226" i="5"/>
  <c r="N237" i="5"/>
  <c r="Q256" i="5" l="1"/>
  <c r="Q255" i="5" s="1"/>
  <c r="T226" i="5"/>
  <c r="T164" i="5"/>
  <c r="R53" i="5"/>
  <c r="R55" i="5" s="1"/>
  <c r="R440" i="5"/>
  <c r="S166" i="5"/>
  <c r="S22" i="5" s="1"/>
  <c r="S378" i="5" s="1"/>
  <c r="S437" i="5" s="1"/>
  <c r="S169" i="5"/>
  <c r="O325" i="5"/>
  <c r="N325" i="5"/>
  <c r="N23" i="5"/>
  <c r="N327" i="5"/>
  <c r="P325" i="5"/>
  <c r="S170" i="5"/>
  <c r="Q261" i="5"/>
  <c r="Q264" i="5" s="1"/>
  <c r="T60" i="5"/>
  <c r="T305" i="5"/>
  <c r="O56" i="5"/>
  <c r="P56" i="5"/>
  <c r="N56" i="5"/>
  <c r="N65" i="5"/>
  <c r="Q53" i="5"/>
  <c r="Q440" i="5"/>
  <c r="R256" i="5"/>
  <c r="R255" i="5" s="1"/>
  <c r="N216" i="5"/>
  <c r="N218" i="5" s="1"/>
  <c r="N219" i="5" s="1"/>
  <c r="R217" i="5"/>
  <c r="R221" i="5" s="1"/>
  <c r="N442" i="5"/>
  <c r="N272" i="5"/>
  <c r="N274" i="5" s="1"/>
  <c r="N27" i="5" s="1"/>
  <c r="N238" i="5"/>
  <c r="N240" i="5" s="1"/>
  <c r="T208" i="5"/>
  <c r="Q322" i="5"/>
  <c r="S171" i="5" l="1"/>
  <c r="R261" i="5"/>
  <c r="R264" i="5" s="1"/>
  <c r="P34" i="5"/>
  <c r="P390" i="5" s="1"/>
  <c r="P326" i="5"/>
  <c r="N36" i="5"/>
  <c r="N392" i="5" s="1"/>
  <c r="N328" i="5"/>
  <c r="O328" i="5"/>
  <c r="P36" i="5"/>
  <c r="P392" i="5" s="1"/>
  <c r="P328" i="5"/>
  <c r="O36" i="5"/>
  <c r="O392" i="5" s="1"/>
  <c r="Q324" i="5"/>
  <c r="S217" i="5"/>
  <c r="S221" i="5" s="1"/>
  <c r="Q443" i="5"/>
  <c r="R443" i="5"/>
  <c r="N379" i="5"/>
  <c r="R322" i="5"/>
  <c r="R324" i="5" s="1"/>
  <c r="Q55" i="5"/>
  <c r="N26" i="5"/>
  <c r="N329" i="5"/>
  <c r="N34" i="5"/>
  <c r="N390" i="5" s="1"/>
  <c r="N326" i="5"/>
  <c r="U294" i="5"/>
  <c r="U295" i="5" s="1"/>
  <c r="U60" i="5" s="1"/>
  <c r="O34" i="5"/>
  <c r="O390" i="5" s="1"/>
  <c r="O326" i="5"/>
  <c r="O239" i="5"/>
  <c r="S251" i="5"/>
  <c r="N199" i="5"/>
  <c r="S95" i="5"/>
  <c r="S316" i="5"/>
  <c r="O267" i="5"/>
  <c r="O268" i="5" s="1"/>
  <c r="O270" i="5" s="1"/>
  <c r="T165" i="5"/>
  <c r="N383" i="5"/>
  <c r="S225" i="5"/>
  <c r="N330" i="5"/>
  <c r="U226" i="5" l="1"/>
  <c r="U164" i="5"/>
  <c r="O329" i="5"/>
  <c r="O444" i="5"/>
  <c r="T169" i="5"/>
  <c r="T166" i="5"/>
  <c r="T22" i="5" s="1"/>
  <c r="T378" i="5" s="1"/>
  <c r="T437" i="5" s="1"/>
  <c r="N241" i="5"/>
  <c r="N57" i="5"/>
  <c r="N209" i="5"/>
  <c r="N103" i="5"/>
  <c r="N313" i="5"/>
  <c r="S253" i="5"/>
  <c r="S254" i="5" s="1"/>
  <c r="Q23" i="5"/>
  <c r="Q327" i="5"/>
  <c r="Q330" i="5" s="1"/>
  <c r="R325" i="5"/>
  <c r="Q325" i="5"/>
  <c r="R23" i="5"/>
  <c r="R379" i="5" s="1"/>
  <c r="R327" i="5"/>
  <c r="R330" i="5" s="1"/>
  <c r="S228" i="5"/>
  <c r="T170" i="5"/>
  <c r="N382" i="5"/>
  <c r="U208" i="5"/>
  <c r="U305" i="5" s="1"/>
  <c r="P444" i="5"/>
  <c r="P329" i="5"/>
  <c r="O235" i="5"/>
  <c r="R56" i="5"/>
  <c r="Q56" i="5"/>
  <c r="S261" i="5" l="1"/>
  <c r="S264" i="5" s="1"/>
  <c r="R36" i="5"/>
  <c r="R392" i="5" s="1"/>
  <c r="Q328" i="5"/>
  <c r="Q36" i="5"/>
  <c r="Q392" i="5" s="1"/>
  <c r="R328" i="5"/>
  <c r="T251" i="5"/>
  <c r="T253" i="5" s="1"/>
  <c r="T254" i="5" s="1"/>
  <c r="Q379" i="5"/>
  <c r="T171" i="5"/>
  <c r="T95" i="5"/>
  <c r="T316" i="5"/>
  <c r="S322" i="5"/>
  <c r="Q326" i="5"/>
  <c r="Q34" i="5"/>
  <c r="Q390" i="5" s="1"/>
  <c r="S256" i="5"/>
  <c r="S255" i="5" s="1"/>
  <c r="U165" i="5"/>
  <c r="O237" i="5"/>
  <c r="V294" i="5"/>
  <c r="V295" i="5" s="1"/>
  <c r="S53" i="5"/>
  <c r="S440" i="5"/>
  <c r="R34" i="5"/>
  <c r="R390" i="5" s="1"/>
  <c r="R326" i="5"/>
  <c r="O102" i="5"/>
  <c r="O64" i="5" s="1"/>
  <c r="N310" i="5"/>
  <c r="N314" i="5" s="1"/>
  <c r="N220" i="5"/>
  <c r="N10" i="5" s="1"/>
  <c r="O216" i="5" l="1"/>
  <c r="O218" i="5" s="1"/>
  <c r="O219" i="5" s="1"/>
  <c r="T217" i="5"/>
  <c r="T221" i="5" s="1"/>
  <c r="R329" i="5"/>
  <c r="R444" i="5"/>
  <c r="O65" i="5"/>
  <c r="S443" i="5"/>
  <c r="Q444" i="5"/>
  <c r="Q329" i="5"/>
  <c r="S55" i="5"/>
  <c r="U166" i="5"/>
  <c r="U22" i="5" s="1"/>
  <c r="U378" i="5" s="1"/>
  <c r="U437" i="5" s="1"/>
  <c r="U169" i="5"/>
  <c r="S324" i="5"/>
  <c r="T225" i="5"/>
  <c r="U170" i="5"/>
  <c r="O442" i="5"/>
  <c r="O272" i="5"/>
  <c r="O274" i="5" s="1"/>
  <c r="O27" i="5" s="1"/>
  <c r="O238" i="5"/>
  <c r="O240" i="5" s="1"/>
  <c r="V60" i="5"/>
  <c r="N61" i="5"/>
  <c r="V226" i="5"/>
  <c r="V164" i="5"/>
  <c r="V165" i="5" l="1"/>
  <c r="P267" i="5"/>
  <c r="P268" i="5" s="1"/>
  <c r="P270" i="5" s="1"/>
  <c r="O383" i="5"/>
  <c r="S23" i="5"/>
  <c r="S327" i="5"/>
  <c r="S325" i="5"/>
  <c r="W294" i="5"/>
  <c r="W295" i="5" s="1"/>
  <c r="U95" i="5"/>
  <c r="U316" i="5"/>
  <c r="U171" i="5"/>
  <c r="V208" i="5"/>
  <c r="V305" i="5" s="1"/>
  <c r="U251" i="5"/>
  <c r="U253" i="5" s="1"/>
  <c r="U254" i="5" s="1"/>
  <c r="U225" i="5"/>
  <c r="U228" i="5" s="1"/>
  <c r="O199" i="5"/>
  <c r="O241" i="5" s="1"/>
  <c r="S56" i="5"/>
  <c r="T261" i="5"/>
  <c r="T264" i="5" s="1"/>
  <c r="P239" i="5"/>
  <c r="T228" i="5"/>
  <c r="O26" i="5"/>
  <c r="S379" i="5" l="1"/>
  <c r="T53" i="5"/>
  <c r="T440" i="5"/>
  <c r="T256" i="5"/>
  <c r="T255" i="5" s="1"/>
  <c r="W226" i="5"/>
  <c r="W164" i="5"/>
  <c r="P235" i="5"/>
  <c r="U53" i="5"/>
  <c r="U55" i="5" s="1"/>
  <c r="U440" i="5"/>
  <c r="U217" i="5"/>
  <c r="U221" i="5" s="1"/>
  <c r="U256" i="5"/>
  <c r="U255" i="5" s="1"/>
  <c r="T322" i="5"/>
  <c r="V169" i="5"/>
  <c r="V166" i="5"/>
  <c r="V22" i="5" s="1"/>
  <c r="V378" i="5" s="1"/>
  <c r="V437" i="5" s="1"/>
  <c r="S326" i="5"/>
  <c r="S34" i="5"/>
  <c r="S390" i="5" s="1"/>
  <c r="W60" i="5"/>
  <c r="O382" i="5"/>
  <c r="O57" i="5"/>
  <c r="O209" i="5"/>
  <c r="O103" i="5"/>
  <c r="O313" i="5"/>
  <c r="W208" i="5"/>
  <c r="S330" i="5"/>
  <c r="S328" i="5"/>
  <c r="S36" i="5"/>
  <c r="S392" i="5" s="1"/>
  <c r="V170" i="5"/>
  <c r="W305" i="5" l="1"/>
  <c r="V171" i="5"/>
  <c r="V95" i="5"/>
  <c r="V316" i="5"/>
  <c r="S444" i="5"/>
  <c r="S329" i="5"/>
  <c r="X294" i="5"/>
  <c r="X295" i="5" s="1"/>
  <c r="V251" i="5"/>
  <c r="V253" i="5" s="1"/>
  <c r="V254" i="5" s="1"/>
  <c r="T324" i="5"/>
  <c r="U322" i="5"/>
  <c r="U324" i="5" s="1"/>
  <c r="U443" i="5"/>
  <c r="T443" i="5"/>
  <c r="W165" i="5"/>
  <c r="T55" i="5"/>
  <c r="P237" i="5"/>
  <c r="V225" i="5"/>
  <c r="O310" i="5"/>
  <c r="O314" i="5" s="1"/>
  <c r="O220" i="5"/>
  <c r="O10" i="5" s="1"/>
  <c r="U261" i="5"/>
  <c r="U264" i="5" s="1"/>
  <c r="P102" i="5"/>
  <c r="P64" i="5" s="1"/>
  <c r="T23" i="5" l="1"/>
  <c r="T327" i="5"/>
  <c r="T325" i="5"/>
  <c r="U325" i="5"/>
  <c r="W170" i="5"/>
  <c r="O61" i="5"/>
  <c r="V228" i="5"/>
  <c r="U56" i="5"/>
  <c r="T56" i="5"/>
  <c r="W169" i="5"/>
  <c r="W166" i="5"/>
  <c r="W22" i="5" s="1"/>
  <c r="W378" i="5" s="1"/>
  <c r="W437" i="5" s="1"/>
  <c r="P216" i="5"/>
  <c r="P218" i="5" s="1"/>
  <c r="P219" i="5" s="1"/>
  <c r="X208" i="5"/>
  <c r="P65" i="5"/>
  <c r="U327" i="5"/>
  <c r="U330" i="5" s="1"/>
  <c r="U23" i="5"/>
  <c r="U379" i="5" s="1"/>
  <c r="X60" i="5"/>
  <c r="P442" i="5"/>
  <c r="P272" i="5"/>
  <c r="P274" i="5" s="1"/>
  <c r="P27" i="5" s="1"/>
  <c r="P238" i="5"/>
  <c r="P240" i="5" s="1"/>
  <c r="X226" i="5"/>
  <c r="X164" i="5"/>
  <c r="V217" i="5"/>
  <c r="V221" i="5" s="1"/>
  <c r="X305" i="5" l="1"/>
  <c r="W171" i="5"/>
  <c r="P26" i="5"/>
  <c r="P199" i="5"/>
  <c r="V261" i="5"/>
  <c r="V264" i="5" s="1"/>
  <c r="W251" i="5"/>
  <c r="W253" i="5" s="1"/>
  <c r="W254" i="5" s="1"/>
  <c r="Y294" i="5"/>
  <c r="Y295" i="5" s="1"/>
  <c r="W225" i="5"/>
  <c r="W228" i="5" s="1"/>
  <c r="T326" i="5"/>
  <c r="T34" i="5"/>
  <c r="T390" i="5" s="1"/>
  <c r="V322" i="5"/>
  <c r="V324" i="5" s="1"/>
  <c r="V256" i="5"/>
  <c r="V255" i="5" s="1"/>
  <c r="V53" i="5"/>
  <c r="V440" i="5"/>
  <c r="U326" i="5"/>
  <c r="U34" i="5"/>
  <c r="U390" i="5" s="1"/>
  <c r="X165" i="5"/>
  <c r="P383" i="5"/>
  <c r="Q267" i="5"/>
  <c r="Q268" i="5" s="1"/>
  <c r="Q270" i="5" s="1"/>
  <c r="T330" i="5"/>
  <c r="U328" i="5"/>
  <c r="U36" i="5"/>
  <c r="U392" i="5" s="1"/>
  <c r="T328" i="5"/>
  <c r="T36" i="5"/>
  <c r="T392" i="5" s="1"/>
  <c r="W217" i="5"/>
  <c r="W221" i="5" s="1"/>
  <c r="Q239" i="5"/>
  <c r="W95" i="5"/>
  <c r="W316" i="5"/>
  <c r="T379" i="5"/>
  <c r="W256" i="5" l="1"/>
  <c r="W255" i="5" s="1"/>
  <c r="Y60" i="5"/>
  <c r="X170" i="5"/>
  <c r="Y226" i="5"/>
  <c r="Y164" i="5"/>
  <c r="Q235" i="5"/>
  <c r="T444" i="5"/>
  <c r="T329" i="5"/>
  <c r="V443" i="5"/>
  <c r="V23" i="5"/>
  <c r="V327" i="5"/>
  <c r="V325" i="5"/>
  <c r="X169" i="5"/>
  <c r="X171" i="5" s="1"/>
  <c r="X166" i="5"/>
  <c r="X22" i="5" s="1"/>
  <c r="X378" i="5" s="1"/>
  <c r="X437" i="5" s="1"/>
  <c r="V55" i="5"/>
  <c r="W53" i="5"/>
  <c r="W55" i="5" s="1"/>
  <c r="W440" i="5"/>
  <c r="W443" i="5" s="1"/>
  <c r="P241" i="5"/>
  <c r="P103" i="5"/>
  <c r="P209" i="5"/>
  <c r="P313" i="5"/>
  <c r="P57" i="5"/>
  <c r="U329" i="5"/>
  <c r="U444" i="5"/>
  <c r="P382" i="5"/>
  <c r="V379" i="5" l="1"/>
  <c r="X95" i="5"/>
  <c r="X316" i="5"/>
  <c r="Z294" i="5"/>
  <c r="Z295" i="5" s="1"/>
  <c r="Z60" i="5" s="1"/>
  <c r="Q102" i="5"/>
  <c r="Q64" i="5" s="1"/>
  <c r="Y208" i="5"/>
  <c r="Y305" i="5" s="1"/>
  <c r="W322" i="5"/>
  <c r="W324" i="5" s="1"/>
  <c r="W56" i="5"/>
  <c r="V56" i="5"/>
  <c r="W261" i="5"/>
  <c r="W264" i="5" s="1"/>
  <c r="X251" i="5"/>
  <c r="X253" i="5" s="1"/>
  <c r="X254" i="5" s="1"/>
  <c r="P310" i="5"/>
  <c r="P314" i="5" s="1"/>
  <c r="P220" i="5"/>
  <c r="P10" i="5" s="1"/>
  <c r="Y165" i="5"/>
  <c r="V34" i="5"/>
  <c r="V390" i="5" s="1"/>
  <c r="V326" i="5"/>
  <c r="V330" i="5"/>
  <c r="V328" i="5"/>
  <c r="V36" i="5"/>
  <c r="V392" i="5" s="1"/>
  <c r="Q237" i="5"/>
  <c r="Z226" i="5" l="1"/>
  <c r="Z164" i="5"/>
  <c r="P61" i="5"/>
  <c r="Q216" i="5"/>
  <c r="Q218" i="5" s="1"/>
  <c r="Q219" i="5" s="1"/>
  <c r="X217" i="5"/>
  <c r="X221" i="5" s="1"/>
  <c r="Q65" i="5"/>
  <c r="Q442" i="5"/>
  <c r="Q272" i="5"/>
  <c r="Q274" i="5" s="1"/>
  <c r="Q27" i="5" s="1"/>
  <c r="Q238" i="5"/>
  <c r="Q240" i="5" s="1"/>
  <c r="X225" i="5"/>
  <c r="X228" i="5" s="1"/>
  <c r="V444" i="5"/>
  <c r="V329" i="5"/>
  <c r="Y166" i="5"/>
  <c r="Y22" i="5" s="1"/>
  <c r="Y378" i="5" s="1"/>
  <c r="Y437" i="5" s="1"/>
  <c r="Y169" i="5"/>
  <c r="X256" i="5"/>
  <c r="X255" i="5" s="1"/>
  <c r="Z208" i="5"/>
  <c r="Z305" i="5" s="1"/>
  <c r="W327" i="5"/>
  <c r="W23" i="5"/>
  <c r="W379" i="5" s="1"/>
  <c r="W325" i="5"/>
  <c r="X53" i="5" l="1"/>
  <c r="X55" i="5" s="1"/>
  <c r="X56" i="5" s="1"/>
  <c r="X440" i="5"/>
  <c r="X443" i="5" s="1"/>
  <c r="Q26" i="5"/>
  <c r="Y170" i="5"/>
  <c r="Y171" i="5" s="1"/>
  <c r="W326" i="5"/>
  <c r="W34" i="5"/>
  <c r="W390" i="5" s="1"/>
  <c r="W330" i="5"/>
  <c r="W328" i="5"/>
  <c r="W36" i="5"/>
  <c r="W392" i="5" s="1"/>
  <c r="Q383" i="5"/>
  <c r="Z165" i="5"/>
  <c r="X261" i="5"/>
  <c r="X264" i="5" s="1"/>
  <c r="Q199" i="5"/>
  <c r="Q241" i="5" s="1"/>
  <c r="AA294" i="5"/>
  <c r="AA295" i="5" s="1"/>
  <c r="AA60" i="5" s="1"/>
  <c r="R239" i="5"/>
  <c r="R267" i="5"/>
  <c r="R268" i="5" s="1"/>
  <c r="R270" i="5" s="1"/>
  <c r="Y95" i="5" l="1"/>
  <c r="Y316" i="5"/>
  <c r="Y251" i="5"/>
  <c r="Y253" i="5" s="1"/>
  <c r="Y254" i="5" s="1"/>
  <c r="R235" i="5"/>
  <c r="Q313" i="5"/>
  <c r="Q57" i="5"/>
  <c r="Q103" i="5"/>
  <c r="Q209" i="5"/>
  <c r="Z166" i="5"/>
  <c r="Z22" i="5" s="1"/>
  <c r="Z378" i="5" s="1"/>
  <c r="Z437" i="5" s="1"/>
  <c r="Z169" i="5"/>
  <c r="W444" i="5"/>
  <c r="W329" i="5"/>
  <c r="Q382" i="5"/>
  <c r="X322" i="5"/>
  <c r="X324" i="5" s="1"/>
  <c r="AA208" i="5"/>
  <c r="AA226" i="5"/>
  <c r="AA164" i="5"/>
  <c r="AA305" i="5" l="1"/>
  <c r="Z225" i="5"/>
  <c r="Z228" i="5" s="1"/>
  <c r="R237" i="5"/>
  <c r="AA165" i="5"/>
  <c r="AB294" i="5"/>
  <c r="AB295" i="5" s="1"/>
  <c r="R102" i="5"/>
  <c r="R64" i="5" s="1"/>
  <c r="Z170" i="5"/>
  <c r="Y225" i="5"/>
  <c r="Y228" i="5" s="1"/>
  <c r="Y256" i="5" s="1"/>
  <c r="Y255" i="5" s="1"/>
  <c r="Q310" i="5"/>
  <c r="Q314" i="5" s="1"/>
  <c r="Q220" i="5"/>
  <c r="Q10" i="5" s="1"/>
  <c r="Y217" i="5"/>
  <c r="Y221" i="5" s="1"/>
  <c r="X23" i="5"/>
  <c r="X379" i="5" s="1"/>
  <c r="X327" i="5"/>
  <c r="X325" i="5"/>
  <c r="Y261" i="5" l="1"/>
  <c r="Y264" i="5" s="1"/>
  <c r="R65" i="5"/>
  <c r="X326" i="5"/>
  <c r="X34" i="5"/>
  <c r="X390" i="5" s="1"/>
  <c r="R216" i="5"/>
  <c r="R218" i="5" s="1"/>
  <c r="R219" i="5" s="1"/>
  <c r="X330" i="5"/>
  <c r="X36" i="5"/>
  <c r="X392" i="5" s="1"/>
  <c r="X328" i="5"/>
  <c r="AB60" i="5"/>
  <c r="Z171" i="5"/>
  <c r="Z95" i="5"/>
  <c r="Z316" i="5"/>
  <c r="AB226" i="5"/>
  <c r="AB164" i="5"/>
  <c r="R442" i="5"/>
  <c r="R272" i="5"/>
  <c r="R274" i="5" s="1"/>
  <c r="R27" i="5" s="1"/>
  <c r="R238" i="5"/>
  <c r="R240" i="5" s="1"/>
  <c r="Z217" i="5"/>
  <c r="Q61" i="5"/>
  <c r="Z251" i="5"/>
  <c r="Z253" i="5" s="1"/>
  <c r="Z254" i="5" s="1"/>
  <c r="Z256" i="5" s="1"/>
  <c r="Z255" i="5" s="1"/>
  <c r="Z53" i="5"/>
  <c r="Z55" i="5" s="1"/>
  <c r="Z440" i="5"/>
  <c r="Y440" i="5"/>
  <c r="Y443" i="5" s="1"/>
  <c r="Y53" i="5"/>
  <c r="Y55" i="5" s="1"/>
  <c r="Y56" i="5" s="1"/>
  <c r="AA169" i="5"/>
  <c r="AA166" i="5"/>
  <c r="AA22" i="5" s="1"/>
  <c r="AA378" i="5" s="1"/>
  <c r="AA437" i="5" s="1"/>
  <c r="Z443" i="5" l="1"/>
  <c r="Z56" i="5"/>
  <c r="X444" i="5"/>
  <c r="X329" i="5"/>
  <c r="R26" i="5"/>
  <c r="Y322" i="5"/>
  <c r="Y324" i="5" s="1"/>
  <c r="R383" i="5"/>
  <c r="AC294" i="5"/>
  <c r="AC295" i="5" s="1"/>
  <c r="AA170" i="5"/>
  <c r="R199" i="5"/>
  <c r="Z322" i="5"/>
  <c r="Z324" i="5" s="1"/>
  <c r="AB208" i="5"/>
  <c r="AB305" i="5" s="1"/>
  <c r="S239" i="5"/>
  <c r="AB165" i="5"/>
  <c r="S267" i="5"/>
  <c r="S268" i="5" s="1"/>
  <c r="S270" i="5" s="1"/>
  <c r="Z221" i="5"/>
  <c r="AA251" i="5" l="1"/>
  <c r="AA253" i="5" s="1"/>
  <c r="AA254" i="5" s="1"/>
  <c r="Y23" i="5"/>
  <c r="Y379" i="5" s="1"/>
  <c r="Y327" i="5"/>
  <c r="Y325" i="5"/>
  <c r="R241" i="5"/>
  <c r="R209" i="5"/>
  <c r="R57" i="5"/>
  <c r="R313" i="5"/>
  <c r="R103" i="5"/>
  <c r="AC60" i="5"/>
  <c r="L60" i="5" s="1"/>
  <c r="R382" i="5"/>
  <c r="AC208" i="5"/>
  <c r="Z261" i="5"/>
  <c r="Z264" i="5" s="1"/>
  <c r="AC164" i="5"/>
  <c r="AB166" i="5"/>
  <c r="AB22" i="5" s="1"/>
  <c r="AB378" i="5" s="1"/>
  <c r="AB437" i="5" s="1"/>
  <c r="AB169" i="5"/>
  <c r="AA217" i="5"/>
  <c r="AA221" i="5" s="1"/>
  <c r="S235" i="5"/>
  <c r="S237" i="5" s="1"/>
  <c r="Z23" i="5"/>
  <c r="Z379" i="5" s="1"/>
  <c r="Z327" i="5"/>
  <c r="Z325" i="5"/>
  <c r="AA95" i="5"/>
  <c r="AA316" i="5"/>
  <c r="AA171" i="5"/>
  <c r="AA225" i="5"/>
  <c r="AA228" i="5" s="1"/>
  <c r="AC305" i="5" l="1"/>
  <c r="AA256" i="5"/>
  <c r="AA255" i="5" s="1"/>
  <c r="Y34" i="5"/>
  <c r="Y390" i="5" s="1"/>
  <c r="Y326" i="5"/>
  <c r="Z326" i="5"/>
  <c r="Z34" i="5"/>
  <c r="Z390" i="5" s="1"/>
  <c r="AC165" i="5"/>
  <c r="K164" i="5"/>
  <c r="I164" i="5" s="1"/>
  <c r="Z330" i="5"/>
  <c r="Z36" i="5"/>
  <c r="Z392" i="5" s="1"/>
  <c r="Z328" i="5"/>
  <c r="Y330" i="5"/>
  <c r="Y36" i="5"/>
  <c r="Y392" i="5" s="1"/>
  <c r="Y328" i="5"/>
  <c r="AA53" i="5"/>
  <c r="AA55" i="5" s="1"/>
  <c r="AA56" i="5" s="1"/>
  <c r="AA440" i="5"/>
  <c r="AA443" i="5" s="1"/>
  <c r="S272" i="5"/>
  <c r="S274" i="5" s="1"/>
  <c r="S27" i="5" s="1"/>
  <c r="S383" i="5" s="1"/>
  <c r="S442" i="5"/>
  <c r="S238" i="5"/>
  <c r="S240" i="5" s="1"/>
  <c r="AC226" i="5"/>
  <c r="L226" i="5" s="1"/>
  <c r="R310" i="5"/>
  <c r="R314" i="5" s="1"/>
  <c r="R220" i="5"/>
  <c r="R10" i="5" s="1"/>
  <c r="AB170" i="5"/>
  <c r="S102" i="5"/>
  <c r="S64" i="5" s="1"/>
  <c r="S65" i="5" s="1"/>
  <c r="S26" i="5" s="1"/>
  <c r="S382" i="5" s="1"/>
  <c r="R61" i="5" l="1"/>
  <c r="AA322" i="5"/>
  <c r="AA324" i="5" s="1"/>
  <c r="L164" i="5"/>
  <c r="K165" i="5"/>
  <c r="AA261" i="5"/>
  <c r="AA264" i="5" s="1"/>
  <c r="AC166" i="5"/>
  <c r="AC22" i="5" s="1"/>
  <c r="AC378" i="5" s="1"/>
  <c r="AC437" i="5" s="1"/>
  <c r="AC169" i="5"/>
  <c r="AB95" i="5"/>
  <c r="AB316" i="5"/>
  <c r="AB251" i="5"/>
  <c r="AB253" i="5" s="1"/>
  <c r="AB254" i="5" s="1"/>
  <c r="S216" i="5"/>
  <c r="S218" i="5" s="1"/>
  <c r="S219" i="5" s="1"/>
  <c r="AB171" i="5"/>
  <c r="AC170" i="5"/>
  <c r="Z329" i="5"/>
  <c r="Z444" i="5"/>
  <c r="Y444" i="5"/>
  <c r="Y329" i="5"/>
  <c r="AC251" i="5" l="1"/>
  <c r="L165" i="5"/>
  <c r="K169" i="5"/>
  <c r="I169" i="5" s="1"/>
  <c r="K166" i="5"/>
  <c r="AC171" i="5"/>
  <c r="AC95" i="5"/>
  <c r="L95" i="5" s="1"/>
  <c r="K170" i="5"/>
  <c r="AC316" i="5"/>
  <c r="AB217" i="5"/>
  <c r="AB221" i="5" s="1"/>
  <c r="AC225" i="5"/>
  <c r="AB225" i="5"/>
  <c r="AB228" i="5" s="1"/>
  <c r="AB256" i="5" s="1"/>
  <c r="AB255" i="5" s="1"/>
  <c r="AA23" i="5"/>
  <c r="AA379" i="5" s="1"/>
  <c r="AA327" i="5"/>
  <c r="AA330" i="5" s="1"/>
  <c r="AA325" i="5"/>
  <c r="T239" i="5"/>
  <c r="T267" i="5"/>
  <c r="T268" i="5" s="1"/>
  <c r="T270" i="5" s="1"/>
  <c r="S199" i="5"/>
  <c r="L170" i="5" l="1"/>
  <c r="I170" i="5"/>
  <c r="S209" i="5"/>
  <c r="S313" i="5"/>
  <c r="S103" i="5"/>
  <c r="S57" i="5"/>
  <c r="S241" i="5"/>
  <c r="AA326" i="5"/>
  <c r="AA34" i="5"/>
  <c r="AA390" i="5" s="1"/>
  <c r="AB261" i="5"/>
  <c r="AB264" i="5" s="1"/>
  <c r="T235" i="5"/>
  <c r="T237" i="5" s="1"/>
  <c r="AA36" i="5"/>
  <c r="AA392" i="5" s="1"/>
  <c r="AA328" i="5"/>
  <c r="AC228" i="5"/>
  <c r="L225" i="5"/>
  <c r="L228" i="5" s="1"/>
  <c r="AB53" i="5"/>
  <c r="AB55" i="5" s="1"/>
  <c r="AB56" i="5" s="1"/>
  <c r="AB440" i="5"/>
  <c r="AB443" i="5" s="1"/>
  <c r="AC253" i="5"/>
  <c r="AC254" i="5" s="1"/>
  <c r="AC256" i="5" s="1"/>
  <c r="AC255" i="5" s="1"/>
  <c r="L251" i="5"/>
  <c r="L253" i="5" s="1"/>
  <c r="L254" i="5" s="1"/>
  <c r="L169" i="5"/>
  <c r="K171" i="5"/>
  <c r="AC217" i="5"/>
  <c r="AC221" i="5" s="1"/>
  <c r="Y358" i="5"/>
  <c r="S358" i="5"/>
  <c r="L22" i="5"/>
  <c r="L378" i="5" s="1"/>
  <c r="L171" i="5" l="1"/>
  <c r="I171" i="5"/>
  <c r="T442" i="5"/>
  <c r="T272" i="5"/>
  <c r="T274" i="5" s="1"/>
  <c r="T27" i="5" s="1"/>
  <c r="T383" i="5" s="1"/>
  <c r="T238" i="5"/>
  <c r="T240" i="5" s="1"/>
  <c r="AC261" i="5"/>
  <c r="AC264" i="5" s="1"/>
  <c r="AC322" i="5"/>
  <c r="AB322" i="5"/>
  <c r="AB324" i="5" s="1"/>
  <c r="T102" i="5"/>
  <c r="T64" i="5" s="1"/>
  <c r="T65" i="5" s="1"/>
  <c r="T26" i="5" s="1"/>
  <c r="T382" i="5" s="1"/>
  <c r="AA329" i="5"/>
  <c r="AA444" i="5"/>
  <c r="AC440" i="5"/>
  <c r="AC443" i="5" s="1"/>
  <c r="AC53" i="5"/>
  <c r="S310" i="5"/>
  <c r="S314" i="5" s="1"/>
  <c r="S61" i="5" s="1"/>
  <c r="S220" i="5"/>
  <c r="S10" i="5" s="1"/>
  <c r="AC324" i="5" l="1"/>
  <c r="L322" i="5"/>
  <c r="T216" i="5"/>
  <c r="T218" i="5" s="1"/>
  <c r="T219" i="5" s="1"/>
  <c r="AB23" i="5"/>
  <c r="AB379" i="5" s="1"/>
  <c r="AB327" i="5"/>
  <c r="AB325" i="5"/>
  <c r="AC55" i="5"/>
  <c r="L53" i="5"/>
  <c r="U267" i="5" l="1"/>
  <c r="U268" i="5" s="1"/>
  <c r="U270" i="5" s="1"/>
  <c r="AB330" i="5"/>
  <c r="AB36" i="5"/>
  <c r="AB392" i="5" s="1"/>
  <c r="AB328" i="5"/>
  <c r="U239" i="5"/>
  <c r="T199" i="5"/>
  <c r="L55" i="5"/>
  <c r="AC56" i="5"/>
  <c r="L56" i="5" s="1"/>
  <c r="AB34" i="5"/>
  <c r="AB390" i="5" s="1"/>
  <c r="AB326" i="5"/>
  <c r="AC327" i="5"/>
  <c r="AC23" i="5"/>
  <c r="L334" i="5"/>
  <c r="AC325" i="5"/>
  <c r="L324" i="5"/>
  <c r="K37" i="5" l="1"/>
  <c r="K393" i="5"/>
  <c r="AC330" i="5"/>
  <c r="AC36" i="5"/>
  <c r="L333" i="5"/>
  <c r="AC328" i="5"/>
  <c r="L327" i="5"/>
  <c r="L330" i="5" s="1"/>
  <c r="AC379" i="5"/>
  <c r="L379" i="5" s="1"/>
  <c r="L23" i="5"/>
  <c r="AB329" i="5"/>
  <c r="AB444" i="5"/>
  <c r="AC326" i="5"/>
  <c r="L326" i="5" s="1"/>
  <c r="AC34" i="5"/>
  <c r="T103" i="5"/>
  <c r="T57" i="5"/>
  <c r="T313" i="5"/>
  <c r="T209" i="5"/>
  <c r="T241" i="5"/>
  <c r="U235" i="5"/>
  <c r="U237" i="5" s="1"/>
  <c r="U272" i="5" l="1"/>
  <c r="U274" i="5" s="1"/>
  <c r="U27" i="5" s="1"/>
  <c r="U383" i="5" s="1"/>
  <c r="U442" i="5"/>
  <c r="U238" i="5"/>
  <c r="U240" i="5" s="1"/>
  <c r="U102" i="5"/>
  <c r="U64" i="5" s="1"/>
  <c r="U65" i="5" s="1"/>
  <c r="U26" i="5" s="1"/>
  <c r="U382" i="5" s="1"/>
  <c r="L335" i="5"/>
  <c r="AC444" i="5"/>
  <c r="AC329" i="5"/>
  <c r="L329" i="5" s="1"/>
  <c r="AC390" i="5"/>
  <c r="L390" i="5" s="1"/>
  <c r="K390" i="5" s="1"/>
  <c r="L34" i="5"/>
  <c r="Y359" i="5"/>
  <c r="S359" i="5"/>
  <c r="AC392" i="5"/>
  <c r="L392" i="5" s="1"/>
  <c r="L36" i="5"/>
  <c r="R97" i="5" s="1"/>
  <c r="T310" i="5"/>
  <c r="T314" i="5" s="1"/>
  <c r="T61" i="5" s="1"/>
  <c r="T220" i="5"/>
  <c r="T10" i="5" s="1"/>
  <c r="U216" i="5" l="1"/>
  <c r="U218" i="5" s="1"/>
  <c r="U219" i="5" s="1"/>
  <c r="X35" i="5"/>
  <c r="X391" i="5" s="1"/>
  <c r="T35" i="5"/>
  <c r="T391" i="5" s="1"/>
  <c r="AB35" i="5"/>
  <c r="AB391" i="5" s="1"/>
  <c r="AC35" i="5"/>
  <c r="AC391" i="5" s="1"/>
  <c r="S35" i="5"/>
  <c r="S391" i="5" s="1"/>
  <c r="L35" i="5"/>
  <c r="L391" i="5" s="1"/>
  <c r="Q35" i="5"/>
  <c r="Q391" i="5" s="1"/>
  <c r="R35" i="5"/>
  <c r="R391" i="5" s="1"/>
  <c r="Z35" i="5"/>
  <c r="Z391" i="5" s="1"/>
  <c r="AA35" i="5"/>
  <c r="AA391" i="5" s="1"/>
  <c r="Y35" i="5"/>
  <c r="Y391" i="5" s="1"/>
  <c r="U35" i="5"/>
  <c r="U391" i="5" s="1"/>
  <c r="O35" i="5"/>
  <c r="O391" i="5" s="1"/>
  <c r="N35" i="5"/>
  <c r="N391" i="5" s="1"/>
  <c r="W35" i="5"/>
  <c r="W391" i="5" s="1"/>
  <c r="P35" i="5"/>
  <c r="P391" i="5" s="1"/>
  <c r="V35" i="5"/>
  <c r="V391" i="5" s="1"/>
  <c r="U199" i="5" l="1"/>
  <c r="V239" i="5"/>
  <c r="V267" i="5"/>
  <c r="V268" i="5" s="1"/>
  <c r="V270" i="5" s="1"/>
  <c r="U103" i="5" l="1"/>
  <c r="U57" i="5"/>
  <c r="U313" i="5"/>
  <c r="U209" i="5"/>
  <c r="U241" i="5"/>
  <c r="V235" i="5"/>
  <c r="V237" i="5" s="1"/>
  <c r="V102" i="5" l="1"/>
  <c r="V64" i="5" s="1"/>
  <c r="V65" i="5" s="1"/>
  <c r="V26" i="5" s="1"/>
  <c r="V382" i="5" s="1"/>
  <c r="V272" i="5"/>
  <c r="V274" i="5" s="1"/>
  <c r="V27" i="5" s="1"/>
  <c r="V383" i="5" s="1"/>
  <c r="V442" i="5"/>
  <c r="V238" i="5"/>
  <c r="V240" i="5" s="1"/>
  <c r="U310" i="5"/>
  <c r="U314" i="5" s="1"/>
  <c r="U61" i="5" s="1"/>
  <c r="U220" i="5"/>
  <c r="U10" i="5" s="1"/>
  <c r="V216" i="5" l="1"/>
  <c r="V218" i="5" s="1"/>
  <c r="V219" i="5" s="1"/>
  <c r="V199" i="5" l="1"/>
  <c r="W239" i="5"/>
  <c r="W267" i="5"/>
  <c r="W268" i="5" s="1"/>
  <c r="W270" i="5" s="1"/>
  <c r="W235" i="5" l="1"/>
  <c r="W237" i="5" s="1"/>
  <c r="V103" i="5"/>
  <c r="V313" i="5"/>
  <c r="V209" i="5"/>
  <c r="V57" i="5"/>
  <c r="V241" i="5"/>
  <c r="V310" i="5" l="1"/>
  <c r="V314" i="5" s="1"/>
  <c r="V61" i="5" s="1"/>
  <c r="V220" i="5"/>
  <c r="V10" i="5" s="1"/>
  <c r="W442" i="5"/>
  <c r="W272" i="5"/>
  <c r="W274" i="5" s="1"/>
  <c r="W27" i="5" s="1"/>
  <c r="W383" i="5" s="1"/>
  <c r="W238" i="5"/>
  <c r="W240" i="5" s="1"/>
  <c r="W102" i="5"/>
  <c r="W64" i="5" s="1"/>
  <c r="W65" i="5" s="1"/>
  <c r="W26" i="5" s="1"/>
  <c r="W382" i="5" s="1"/>
  <c r="W216" i="5" l="1"/>
  <c r="W218" i="5" s="1"/>
  <c r="W219" i="5" s="1"/>
  <c r="X239" i="5" l="1"/>
  <c r="W199" i="5"/>
  <c r="X267" i="5"/>
  <c r="X268" i="5" s="1"/>
  <c r="X270" i="5" s="1"/>
  <c r="W57" i="5" l="1"/>
  <c r="W209" i="5"/>
  <c r="W313" i="5"/>
  <c r="W103" i="5"/>
  <c r="W241" i="5"/>
  <c r="X235" i="5"/>
  <c r="X237" i="5" s="1"/>
  <c r="W310" i="5" l="1"/>
  <c r="W314" i="5" s="1"/>
  <c r="W61" i="5" s="1"/>
  <c r="W220" i="5"/>
  <c r="W10" i="5" s="1"/>
  <c r="X442" i="5"/>
  <c r="X272" i="5"/>
  <c r="X274" i="5" s="1"/>
  <c r="X27" i="5" s="1"/>
  <c r="X383" i="5" s="1"/>
  <c r="X238" i="5"/>
  <c r="X240" i="5" s="1"/>
  <c r="X102" i="5"/>
  <c r="X64" i="5" s="1"/>
  <c r="X65" i="5" s="1"/>
  <c r="X26" i="5" s="1"/>
  <c r="X382" i="5" s="1"/>
  <c r="X216" i="5" l="1"/>
  <c r="X218" i="5" s="1"/>
  <c r="X219" i="5" s="1"/>
  <c r="Y267" i="5" l="1"/>
  <c r="Y268" i="5" s="1"/>
  <c r="Y270" i="5" s="1"/>
  <c r="X199" i="5"/>
  <c r="Y239" i="5"/>
  <c r="X57" i="5" l="1"/>
  <c r="X209" i="5"/>
  <c r="X313" i="5"/>
  <c r="X103" i="5"/>
  <c r="X241" i="5"/>
  <c r="Y235" i="5"/>
  <c r="Y237" i="5" s="1"/>
  <c r="Y102" i="5" l="1"/>
  <c r="Y64" i="5" s="1"/>
  <c r="Y65" i="5" s="1"/>
  <c r="Y26" i="5" s="1"/>
  <c r="Y382" i="5" s="1"/>
  <c r="X310" i="5"/>
  <c r="X314" i="5" s="1"/>
  <c r="X61" i="5" s="1"/>
  <c r="X220" i="5"/>
  <c r="X10" i="5" s="1"/>
  <c r="Y442" i="5"/>
  <c r="Y272" i="5"/>
  <c r="Y274" i="5" s="1"/>
  <c r="Y27" i="5" s="1"/>
  <c r="Y383" i="5" s="1"/>
  <c r="Y238" i="5"/>
  <c r="Y240" i="5" s="1"/>
  <c r="Y216" i="5" l="1"/>
  <c r="Y218" i="5" s="1"/>
  <c r="Y219" i="5" s="1"/>
  <c r="Z239" i="5" l="1"/>
  <c r="Z267" i="5"/>
  <c r="Z268" i="5" s="1"/>
  <c r="Z270" i="5" s="1"/>
  <c r="Y199" i="5"/>
  <c r="Y209" i="5" l="1"/>
  <c r="Y313" i="5"/>
  <c r="Y57" i="5"/>
  <c r="Y103" i="5"/>
  <c r="Y241" i="5"/>
  <c r="Z235" i="5"/>
  <c r="Z237" i="5" s="1"/>
  <c r="Z102" i="5" l="1"/>
  <c r="Z64" i="5" s="1"/>
  <c r="Z65" i="5" s="1"/>
  <c r="Z26" i="5" s="1"/>
  <c r="Z382" i="5" s="1"/>
  <c r="Y310" i="5"/>
  <c r="Y314" i="5" s="1"/>
  <c r="Y61" i="5" s="1"/>
  <c r="Y220" i="5"/>
  <c r="Y10" i="5" s="1"/>
  <c r="Z442" i="5"/>
  <c r="Z272" i="5"/>
  <c r="Z274" i="5" s="1"/>
  <c r="Z27" i="5" s="1"/>
  <c r="Z383" i="5" s="1"/>
  <c r="Z238" i="5"/>
  <c r="Z240" i="5" s="1"/>
  <c r="Z216" i="5" l="1"/>
  <c r="Z218" i="5" s="1"/>
  <c r="Z219" i="5" s="1"/>
  <c r="AA267" i="5" l="1"/>
  <c r="AA268" i="5" s="1"/>
  <c r="AA270" i="5" s="1"/>
  <c r="Z199" i="5"/>
  <c r="AA239" i="5"/>
  <c r="Z313" i="5" l="1"/>
  <c r="Z57" i="5"/>
  <c r="Z103" i="5"/>
  <c r="Z209" i="5"/>
  <c r="Z241" i="5"/>
  <c r="AA235" i="5"/>
  <c r="AA237" i="5" s="1"/>
  <c r="AA442" i="5" l="1"/>
  <c r="AA272" i="5"/>
  <c r="AA274" i="5" s="1"/>
  <c r="AA27" i="5" s="1"/>
  <c r="AA383" i="5" s="1"/>
  <c r="AA238" i="5"/>
  <c r="AA240" i="5" s="1"/>
  <c r="AA102" i="5"/>
  <c r="AA64" i="5" s="1"/>
  <c r="AA65" i="5" s="1"/>
  <c r="AA26" i="5" s="1"/>
  <c r="AA382" i="5" s="1"/>
  <c r="Z310" i="5"/>
  <c r="Z314" i="5" s="1"/>
  <c r="Z61" i="5" s="1"/>
  <c r="Z220" i="5"/>
  <c r="Z10" i="5" s="1"/>
  <c r="AA216" i="5" l="1"/>
  <c r="AA218" i="5" s="1"/>
  <c r="AA219" i="5" s="1"/>
  <c r="AA199" i="5" l="1"/>
  <c r="AB239" i="5"/>
  <c r="AB267" i="5"/>
  <c r="AB268" i="5" s="1"/>
  <c r="AB270" i="5" s="1"/>
  <c r="AA313" i="5" l="1"/>
  <c r="AA57" i="5"/>
  <c r="AA209" i="5"/>
  <c r="AA103" i="5"/>
  <c r="AA241" i="5"/>
  <c r="AB235" i="5"/>
  <c r="AB237" i="5" s="1"/>
  <c r="AA310" i="5" l="1"/>
  <c r="AA314" i="5" s="1"/>
  <c r="AA61" i="5" s="1"/>
  <c r="AA220" i="5"/>
  <c r="AA10" i="5" s="1"/>
  <c r="AB102" i="5"/>
  <c r="AB64" i="5" s="1"/>
  <c r="AB65" i="5" s="1"/>
  <c r="AB26" i="5" s="1"/>
  <c r="AB382" i="5" s="1"/>
  <c r="AB442" i="5"/>
  <c r="AB272" i="5"/>
  <c r="AB274" i="5" s="1"/>
  <c r="AB27" i="5" s="1"/>
  <c r="AB383" i="5" s="1"/>
  <c r="AB238" i="5"/>
  <c r="AB240" i="5" s="1"/>
  <c r="AB216" i="5" l="1"/>
  <c r="AB218" i="5" s="1"/>
  <c r="AB219" i="5" s="1"/>
  <c r="AC239" i="5" l="1"/>
  <c r="AB199" i="5"/>
  <c r="AC267" i="5"/>
  <c r="AC268" i="5" s="1"/>
  <c r="AC270" i="5" s="1"/>
  <c r="AB103" i="5" l="1"/>
  <c r="AB57" i="5"/>
  <c r="AB313" i="5"/>
  <c r="AB209" i="5"/>
  <c r="AB241" i="5"/>
  <c r="AC235" i="5"/>
  <c r="AC102" i="5" l="1"/>
  <c r="AC64" i="5" s="1"/>
  <c r="AB310" i="5"/>
  <c r="AB314" i="5" s="1"/>
  <c r="AB61" i="5" s="1"/>
  <c r="AB220" i="5"/>
  <c r="AB10" i="5" s="1"/>
  <c r="AC237" i="5"/>
  <c r="L235" i="5"/>
  <c r="L237" i="5" s="1"/>
  <c r="L238" i="5" s="1"/>
  <c r="L240" i="5" s="1"/>
  <c r="AC216" i="5" l="1"/>
  <c r="AC218" i="5" s="1"/>
  <c r="AC219" i="5" s="1"/>
  <c r="AC65" i="5"/>
  <c r="L64" i="5"/>
  <c r="AC442" i="5"/>
  <c r="AC272" i="5"/>
  <c r="AC274" i="5" s="1"/>
  <c r="AC27" i="5" s="1"/>
  <c r="AC238" i="5"/>
  <c r="AC240" i="5" s="1"/>
  <c r="AC26" i="5" l="1"/>
  <c r="L65" i="5"/>
  <c r="AC383" i="5"/>
  <c r="L383" i="5" s="1"/>
  <c r="V358" i="5" s="1"/>
  <c r="L27" i="5"/>
  <c r="P358" i="5" s="1"/>
  <c r="AC199" i="5"/>
  <c r="AC57" i="5" l="1"/>
  <c r="L57" i="5" s="1"/>
  <c r="AC103" i="5"/>
  <c r="AC313" i="5"/>
  <c r="AC209" i="5"/>
  <c r="AC241" i="5"/>
  <c r="U97" i="5"/>
  <c r="K34" i="5"/>
  <c r="AC382" i="5"/>
  <c r="L382" i="5" s="1"/>
  <c r="L26" i="5"/>
  <c r="AC310" i="5" l="1"/>
  <c r="AC314" i="5" s="1"/>
  <c r="AC220" i="5"/>
  <c r="AC10" i="5" s="1"/>
  <c r="AC61" i="5" l="1"/>
  <c r="L61" i="5" s="1"/>
  <c r="L31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Tomchi</author>
    <author>Tom LAM</author>
  </authors>
  <commentList>
    <comment ref="J7" authorId="0" shapeId="0" xr:uid="{1F89C8AA-0C5E-4544-AD30-47AAF698E7C0}">
      <text>
        <r>
          <rPr>
            <sz val="12"/>
            <color indexed="81"/>
            <rFont val="Tahoma"/>
            <family val="2"/>
          </rPr>
          <t>Originator: T.Lam; Reviewed &amp; Approved by: J.Soon</t>
        </r>
        <r>
          <rPr>
            <b/>
            <sz val="12"/>
            <color indexed="81"/>
            <rFont val="Tahoma"/>
            <family val="2"/>
          </rPr>
          <t xml:space="preserve">
Revision History:
v0.1</t>
        </r>
        <r>
          <rPr>
            <sz val="12"/>
            <color indexed="81"/>
            <rFont val="Tahoma"/>
            <family val="2"/>
          </rPr>
          <t xml:space="preserve"> dd 131022: Issued for testing and feedback
</t>
        </r>
        <r>
          <rPr>
            <b/>
            <sz val="12"/>
            <color indexed="81"/>
            <rFont val="Tahoma"/>
            <family val="2"/>
          </rPr>
          <t>v0.2</t>
        </r>
        <r>
          <rPr>
            <sz val="12"/>
            <color indexed="81"/>
            <rFont val="Tahoma"/>
            <family val="2"/>
          </rPr>
          <t xml:space="preserve"> dd 141022: Updated for integration to CBD standard template. Formating, cell notes and formula changes.
</t>
        </r>
        <r>
          <rPr>
            <b/>
            <sz val="12"/>
            <color indexed="81"/>
            <rFont val="Tahoma"/>
            <family val="2"/>
          </rPr>
          <t>V0.3</t>
        </r>
        <r>
          <rPr>
            <sz val="12"/>
            <color indexed="81"/>
            <rFont val="Tahoma"/>
            <family val="2"/>
          </rPr>
          <t xml:space="preserve"> dd 181022: Further integration to CBD. capex (2B1) to hard code link to CBD Investment, inserted a new row (2B2) for manual capex input. Hard code the linked of Year 1 number of days of revenue to CQSC (2D). Refinement to year 1 calculation of ROI.
</t>
        </r>
        <r>
          <rPr>
            <b/>
            <sz val="12"/>
            <color indexed="81"/>
            <rFont val="Tahoma"/>
            <family val="2"/>
          </rPr>
          <t>V1.0</t>
        </r>
        <r>
          <rPr>
            <sz val="12"/>
            <color indexed="81"/>
            <rFont val="Tahoma"/>
            <family val="2"/>
          </rPr>
          <t xml:space="preserve"> dd 271022: Issued for pilot testing and implementation as part of CQSC integrated package. Created inventory components
</t>
        </r>
        <r>
          <rPr>
            <b/>
            <sz val="12"/>
            <color indexed="81"/>
            <rFont val="Tahoma"/>
            <family val="2"/>
          </rPr>
          <t>V1.1</t>
        </r>
        <r>
          <rPr>
            <sz val="12"/>
            <color indexed="81"/>
            <rFont val="Tahoma"/>
            <family val="2"/>
          </rPr>
          <t xml:space="preserve"> dd 051122: Debugging. Issued for pilot testing and implementation
</t>
        </r>
        <r>
          <rPr>
            <b/>
            <sz val="12"/>
            <color indexed="81"/>
            <rFont val="Tahoma"/>
            <family val="2"/>
          </rPr>
          <t xml:space="preserve">V1.2 </t>
        </r>
        <r>
          <rPr>
            <sz val="12"/>
            <color indexed="81"/>
            <rFont val="Tahoma"/>
            <family val="2"/>
          </rPr>
          <t xml:space="preserve">dd 131222 &amp; 040123: Tooling recoverable calculation tables in 2 places (1)Tooling Milestone calculation table column AE, (2) manual input. If method (1) Tooling Milestone calculation table is used, then Peak Funding Gap now includes maximum CF deficit due to tool payment vs customer collection. Total Investment includes Tooling PNL Loss. Debugging. 
</t>
        </r>
        <r>
          <rPr>
            <b/>
            <sz val="12"/>
            <color indexed="81"/>
            <rFont val="Tahoma"/>
            <family val="2"/>
          </rPr>
          <t>V1.3</t>
        </r>
        <r>
          <rPr>
            <sz val="12"/>
            <color indexed="81"/>
            <rFont val="Tahoma"/>
            <family val="2"/>
          </rPr>
          <t xml:space="preserve"> dd 190323: Split Investment between Capex vs Tooling investment / Deficit, new metrix EBIT% Total Revenue, Debugging: Updated Check formula to exclude Tooling recoverable offset, Typos, etc. All changes has no impact on PNL or ROI calculation. [CQSC: Investment tab depreciation schedule for capex, link to SFP254 depreciation life.]
</t>
        </r>
        <r>
          <rPr>
            <b/>
            <sz val="12"/>
            <color indexed="81"/>
            <rFont val="Tahoma"/>
            <family val="2"/>
          </rPr>
          <t>V1.3</t>
        </r>
        <r>
          <rPr>
            <sz val="12"/>
            <color indexed="81"/>
            <rFont val="Tahoma"/>
            <family val="2"/>
          </rPr>
          <t xml:space="preserve"> dd 200323: Debugging - corrected summation formula for Tooling Margin (row 142) and EBITDA per CBD (row 143).
</t>
        </r>
        <r>
          <rPr>
            <b/>
            <sz val="12"/>
            <color indexed="81"/>
            <rFont val="Tahoma"/>
            <family val="2"/>
          </rPr>
          <t>V1.4</t>
        </r>
        <r>
          <rPr>
            <sz val="12"/>
            <color indexed="81"/>
            <rFont val="Tahoma"/>
            <family val="2"/>
          </rPr>
          <t xml:space="preserve"> dd 190523: Creation of Section 9, being a replica of Section 1 but values are displayed in USD for presentation purposes. [date 020623] Section 7B, 1st Yr ROI starts if CF exceeds -0.05% of LTR (e.g. -$5K for LTR $10m), Section 1C, Ave Annual WC$ calculation excl 1st yr. [date 210623] In the Consol worksheet, Unlocked depreciation life on row 94 for manual input. No changes in formula or format. Updated Year furmula in AR73-87 in case mismatch btw tool fabrication year vs header years. Section1: EBITDA% formula use total revenue as denominator. [date 260623] Inserted Section 10, Charts for presentation.[050723] Depreciation cal in 1st Yr rev, row294, based on SOP mth (prev 50%). [180723] Debugging GP% at L375. [201223] Debugging ROI interval-yr glitch, Row 326 ROI count all Yrs w -ve Cum CF &gt;0.05%LTR Rev. [050124] Inserted IRR% for ref in K37, In CQSC file, starting Year N11 link to Part CBD and created new worksheet for USD Only Pre-CER as common currency for multi-programs consolidation. [100124] Tooling CBD: Year formula Z81 for Ph2 start date fail-safe; section 8 Scorecard "Rev (Parts+Tooling)", update Direct Method CF (row251) for presentation only. [230124] WACC display cell K392 updated. No chnge to calculations.[310124] CQSC update to v33
</t>
        </r>
        <r>
          <rPr>
            <b/>
            <sz val="12"/>
            <color indexed="81"/>
            <rFont val="Tahoma"/>
            <family val="2"/>
          </rPr>
          <t>v1.5</t>
        </r>
        <r>
          <rPr>
            <sz val="12"/>
            <color indexed="81"/>
            <rFont val="Tahoma"/>
            <family val="2"/>
          </rPr>
          <t xml:space="preserve"> dd090424. Updated formula in cells N78 and O78 to compute Revenue Days in SOP year in different scenarios. Revenue Days impact working capital calculation. </t>
        </r>
      </text>
    </comment>
    <comment ref="L8" authorId="1" shapeId="0" xr:uid="{B4D11B84-4E44-4DCC-AB31-24F7954A30F4}">
      <text>
        <r>
          <rPr>
            <sz val="12"/>
            <color indexed="81"/>
            <rFont val="Tahoma"/>
            <family val="2"/>
          </rPr>
          <t xml:space="preserve">If the autofill data is not correct, please overwrite this cell with the correct data or assumption.
</t>
        </r>
      </text>
    </comment>
    <comment ref="Z8" authorId="0" shapeId="0" xr:uid="{D8A9C7BB-3476-44B5-8890-522436D46690}">
      <text>
        <r>
          <rPr>
            <sz val="11"/>
            <color indexed="81"/>
            <rFont val="Tahoma"/>
            <family val="2"/>
          </rPr>
          <t xml:space="preserve">Cell shows results (or output) of financial model based on inputs entered. </t>
        </r>
        <r>
          <rPr>
            <b/>
            <sz val="11"/>
            <color indexed="81"/>
            <rFont val="Tahoma"/>
            <family val="2"/>
          </rPr>
          <t>Do NOT enter data into this cell</t>
        </r>
        <r>
          <rPr>
            <sz val="11"/>
            <color indexed="81"/>
            <rFont val="Tahoma"/>
            <family val="2"/>
          </rPr>
          <t xml:space="preserve">
</t>
        </r>
      </text>
    </comment>
    <comment ref="L11" authorId="1" shapeId="0" xr:uid="{431F2DE0-30D8-404F-B907-34EC6F7FB1BB}">
      <text>
        <r>
          <rPr>
            <sz val="12"/>
            <color indexed="81"/>
            <rFont val="Tahoma"/>
            <family val="2"/>
          </rPr>
          <t xml:space="preserve">Insert the </t>
        </r>
        <r>
          <rPr>
            <b/>
            <sz val="12"/>
            <color indexed="81"/>
            <rFont val="Tahoma"/>
            <family val="2"/>
          </rPr>
          <t>Calendar Year of SOP</t>
        </r>
        <r>
          <rPr>
            <sz val="12"/>
            <color indexed="81"/>
            <rFont val="Tahoma"/>
            <family val="2"/>
          </rPr>
          <t xml:space="preserve">
If the autofill data is not correct, please overwrite this cell with the correct data or assumption.
</t>
        </r>
      </text>
    </comment>
    <comment ref="L12" authorId="1" shapeId="0" xr:uid="{792D677B-9707-4557-9ED0-8DD49C4709E1}">
      <text>
        <r>
          <rPr>
            <sz val="12"/>
            <color indexed="81"/>
            <rFont val="Tahoma"/>
            <family val="2"/>
          </rPr>
          <t xml:space="preserve">Insert the </t>
        </r>
        <r>
          <rPr>
            <b/>
            <sz val="12"/>
            <color indexed="81"/>
            <rFont val="Tahoma"/>
            <family val="2"/>
          </rPr>
          <t>Calendar month of SOP in Year 1</t>
        </r>
        <r>
          <rPr>
            <sz val="12"/>
            <color indexed="81"/>
            <rFont val="Tahoma"/>
            <family val="2"/>
          </rPr>
          <t xml:space="preserve">
If the autofill data is not correct, please overwrite this cell with the correct data or assumption.
</t>
        </r>
      </text>
    </comment>
    <comment ref="N12" authorId="1" shapeId="0" xr:uid="{713927E7-5ACE-4244-8B8D-EA097B9417D5}">
      <text>
        <r>
          <rPr>
            <b/>
            <sz val="9"/>
            <color indexed="81"/>
            <rFont val="Tahoma"/>
            <family val="2"/>
          </rPr>
          <t>Insert if Calendar Year or Interplex Fiscal Year</t>
        </r>
        <r>
          <rPr>
            <sz val="9"/>
            <color indexed="81"/>
            <rFont val="Tahoma"/>
            <family val="2"/>
          </rPr>
          <t xml:space="preserve">
</t>
        </r>
      </text>
    </comment>
    <comment ref="I14" authorId="0" shapeId="0" xr:uid="{8052D193-F0B4-439C-933F-F5923E6B8FD2}">
      <text>
        <r>
          <rPr>
            <b/>
            <sz val="11"/>
            <color indexed="81"/>
            <rFont val="Tahoma"/>
            <family val="2"/>
          </rPr>
          <t xml:space="preserve">Sections A and B should be used when presenting the RFQ or CER for Corporate Approval. The CER financial model must be sent at least 3 working days before the presentation </t>
        </r>
        <r>
          <rPr>
            <sz val="11"/>
            <color indexed="81"/>
            <rFont val="Tahoma"/>
            <family val="2"/>
          </rPr>
          <t xml:space="preserve">
</t>
        </r>
      </text>
    </comment>
    <comment ref="J26" authorId="0" shapeId="0" xr:uid="{AC787EA1-0331-41F0-9E03-0D1E18837CCB}">
      <text>
        <r>
          <rPr>
            <b/>
            <sz val="10"/>
            <color indexed="81"/>
            <rFont val="Tahoma"/>
            <family val="2"/>
          </rPr>
          <t>Funding requirement for the year measured at year-end, after taking into account all cash collection made from customer during the year. This is for payment of capex, tooling, working capital, operating cost but partly offset by collections made during the year
Note:</t>
        </r>
        <r>
          <rPr>
            <sz val="10"/>
            <color indexed="81"/>
            <rFont val="Tahoma"/>
            <family val="2"/>
          </rPr>
          <t xml:space="preserve"> In contrast, Peak Funding gap is the maximum gap at the start of project during the DSO period (after payment of capex, expenses and inventory) but before any cash collection is made from customer
</t>
        </r>
      </text>
    </comment>
    <comment ref="J27" authorId="0" shapeId="0" xr:uid="{41010DCD-0494-425F-B05F-0910C0D95B5E}">
      <text>
        <r>
          <rPr>
            <b/>
            <sz val="9"/>
            <color indexed="81"/>
            <rFont val="Tahoma"/>
            <family val="2"/>
          </rPr>
          <t xml:space="preserve">Peak funding gap is the cash needed at project start-up before any customer collection have been made*. This is to pay for capex, inventory and expenses at the very begining of the project. Funding gap must be financed out of existing cash balances.
</t>
        </r>
        <r>
          <rPr>
            <sz val="9"/>
            <color indexed="81"/>
            <rFont val="Tahoma"/>
            <family val="2"/>
          </rPr>
          <t xml:space="preserve">* Note: Collection occurs after product delivery, invoicing and customer payment. Higher capex, revenue, DSO, DIO and lower DPO will results in greater amount of funding requirement. </t>
        </r>
      </text>
    </comment>
    <comment ref="J34" authorId="1" shapeId="0" xr:uid="{A28B47A1-9EB9-42FA-B94A-DDE25121C71F}">
      <text>
        <r>
          <rPr>
            <sz val="10"/>
            <color indexed="81"/>
            <rFont val="Tahoma"/>
            <family val="2"/>
          </rPr>
          <t>Project cumulative cash flow is typically negative at the commencement (due to investments, inventory purchases, etc) and turns positive after suffiicient cash flow has been cumulatively collected to cover the initial outlay. 
ROI is the forecasted period of time required to achieve CF break even between initial outlay and net cash collected (after paying all operating expenses)</t>
        </r>
      </text>
    </comment>
    <comment ref="K34" authorId="0" shapeId="0" xr:uid="{74E642B1-FE06-43B2-B03C-C3B924F31E32}">
      <text>
        <r>
          <rPr>
            <b/>
            <sz val="11"/>
            <color indexed="81"/>
            <rFont val="Tahoma"/>
            <family val="2"/>
          </rPr>
          <t xml:space="preserve">CPCF multiple </t>
        </r>
        <r>
          <rPr>
            <sz val="11"/>
            <color indexed="81"/>
            <rFont val="Tahoma"/>
            <family val="2"/>
          </rPr>
          <t xml:space="preserve">measures the multiple of cash returns from the investment, and is useful for ranking of different investment options. A project with higher multiple is in general more attractive than a project with a lower multiple because the higher multiple project returns more cash per $ invested. However, it is important to consider how far in future the cash is generated. A longer period increases risk and reduces the present value of that cash flow 
CPCF multiple is calculated as Cumulative Project Cash Flow divided by Total Funding requirement.
</t>
        </r>
      </text>
    </comment>
    <comment ref="J35" authorId="0" shapeId="0" xr:uid="{8881CB5C-B221-481F-942B-3BC8019653F7}">
      <text>
        <r>
          <rPr>
            <b/>
            <sz val="11"/>
            <color indexed="81"/>
            <rFont val="Tahoma"/>
            <family val="2"/>
          </rPr>
          <t>ROI or Payback period</t>
        </r>
        <r>
          <rPr>
            <sz val="11"/>
            <color indexed="81"/>
            <rFont val="Tahoma"/>
            <family val="2"/>
          </rPr>
          <t xml:space="preserve"> of investment is calculated as the time taken for operating cash flows generated from the project to recover the cost of capex, tooling co-invest if any, and working capital. 
Note: 
For simplicity, in Year 1, a sliding scale of time period is assumed for calculation of ROI depending on the month of SOP:
SOP in month 1-3 (Jan-Mar) </t>
        </r>
        <r>
          <rPr>
            <b/>
            <sz val="11"/>
            <color indexed="81"/>
            <rFont val="Tahoma"/>
            <family val="2"/>
          </rPr>
          <t xml:space="preserve">0.25 </t>
        </r>
        <r>
          <rPr>
            <sz val="11"/>
            <color indexed="81"/>
            <rFont val="Tahoma"/>
            <family val="2"/>
          </rPr>
          <t xml:space="preserve">years 
SOP in month 4-9 (Apr-Sep) </t>
        </r>
        <r>
          <rPr>
            <b/>
            <sz val="11"/>
            <color indexed="81"/>
            <rFont val="Tahoma"/>
            <family val="2"/>
          </rPr>
          <t xml:space="preserve">0.5 </t>
        </r>
        <r>
          <rPr>
            <sz val="11"/>
            <color indexed="81"/>
            <rFont val="Tahoma"/>
            <family val="2"/>
          </rPr>
          <t xml:space="preserve">years 
SOP in month 1-3 (Oct-Dec) </t>
        </r>
        <r>
          <rPr>
            <b/>
            <sz val="11"/>
            <color indexed="81"/>
            <rFont val="Tahoma"/>
            <family val="2"/>
          </rPr>
          <t>0.75</t>
        </r>
        <r>
          <rPr>
            <sz val="11"/>
            <color indexed="81"/>
            <rFont val="Tahoma"/>
            <family val="2"/>
          </rPr>
          <t xml:space="preserve"> years</t>
        </r>
      </text>
    </comment>
    <comment ref="J36" authorId="1" shapeId="0" xr:uid="{33918420-1E16-4F68-981E-4EE0D3FA4A27}">
      <text>
        <r>
          <rPr>
            <sz val="10"/>
            <color indexed="81"/>
            <rFont val="Tahoma"/>
            <family val="2"/>
          </rPr>
          <t xml:space="preserve">Represents the value of the project in terms of incremental future net cash flow after paying for initial outlays and operating expenses. Cash Flow is discounted to today's value using WACC (weighted average cost of capital) as stated. </t>
        </r>
      </text>
    </comment>
    <comment ref="J42" authorId="0" shapeId="0" xr:uid="{7AD3F7BD-8AD5-4C45-A287-AF8BA5493501}">
      <text>
        <r>
          <rPr>
            <b/>
            <sz val="11"/>
            <color indexed="81"/>
            <rFont val="Tahoma"/>
            <family val="2"/>
          </rPr>
          <t xml:space="preserve">Inventory for Raw Materials, Purchase Components, Sub-Contracted works and packaging. 
</t>
        </r>
        <r>
          <rPr>
            <u/>
            <sz val="11"/>
            <color indexed="81"/>
            <rFont val="Tahoma"/>
            <family val="2"/>
          </rPr>
          <t>Factors impacting RM Inventory days:</t>
        </r>
        <r>
          <rPr>
            <b/>
            <sz val="11"/>
            <color indexed="81"/>
            <rFont val="Tahoma"/>
            <family val="2"/>
          </rPr>
          <t xml:space="preserve"> 
</t>
        </r>
        <r>
          <rPr>
            <sz val="11"/>
            <color indexed="81"/>
            <rFont val="Tahoma"/>
            <family val="2"/>
          </rPr>
          <t>1)</t>
        </r>
        <r>
          <rPr>
            <b/>
            <sz val="11"/>
            <color indexed="81"/>
            <rFont val="Tahoma"/>
            <family val="2"/>
          </rPr>
          <t xml:space="preserve"> Supplier's MOQ (mininum purchase quantity)</t>
        </r>
        <r>
          <rPr>
            <sz val="11"/>
            <color indexed="81"/>
            <rFont val="Tahoma"/>
            <family val="2"/>
          </rPr>
          <t>. A high MOQ will result in a higher level of inventory purchase relative to amount required for consumption
2)</t>
        </r>
        <r>
          <rPr>
            <b/>
            <sz val="11"/>
            <color indexed="81"/>
            <rFont val="Tahoma"/>
            <family val="2"/>
          </rPr>
          <t xml:space="preserve"> Supplier's Lead time</t>
        </r>
        <r>
          <rPr>
            <sz val="11"/>
            <color indexed="81"/>
            <rFont val="Tahoma"/>
            <family val="2"/>
          </rPr>
          <t xml:space="preserve">. A longer lead time from PO placement to arrival of delivery may lead to higher RM inventory
3) </t>
        </r>
        <r>
          <rPr>
            <b/>
            <sz val="11"/>
            <color indexed="81"/>
            <rFont val="Tahoma"/>
            <family val="2"/>
          </rPr>
          <t>Freight &amp; Handling</t>
        </r>
        <r>
          <rPr>
            <sz val="11"/>
            <color indexed="81"/>
            <rFont val="Tahoma"/>
            <family val="2"/>
          </rPr>
          <t xml:space="preserve">. Longer time for freight, customs clearance and handling may lead to higher RM inventory
</t>
        </r>
      </text>
    </comment>
    <comment ref="J43" authorId="0" shapeId="0" xr:uid="{7ED7872C-04E4-44ED-8B84-09616BC7B107}">
      <text>
        <r>
          <rPr>
            <b/>
            <sz val="11"/>
            <color indexed="81"/>
            <rFont val="Tahoma"/>
            <family val="2"/>
          </rPr>
          <t xml:space="preserve">Inventory for WIP in production or held as semi-finished components.
</t>
        </r>
        <r>
          <rPr>
            <u/>
            <sz val="11"/>
            <color indexed="81"/>
            <rFont val="Tahoma"/>
            <family val="2"/>
          </rPr>
          <t xml:space="preserve">Factors impacting WIP DIO: </t>
        </r>
        <r>
          <rPr>
            <b/>
            <sz val="11"/>
            <color indexed="81"/>
            <rFont val="Tahoma"/>
            <family val="2"/>
          </rPr>
          <t xml:space="preserve">
A) Manufacturing lead time; </t>
        </r>
        <r>
          <rPr>
            <sz val="11"/>
            <color indexed="81"/>
            <rFont val="Tahoma"/>
            <family val="2"/>
          </rPr>
          <t xml:space="preserve">Longer manufacturing lead time may results in higher WIP inventory levels
</t>
        </r>
        <r>
          <rPr>
            <b/>
            <sz val="11"/>
            <color indexed="81"/>
            <rFont val="Tahoma"/>
            <family val="2"/>
          </rPr>
          <t>B) Production Batch Size vs Customer MOQ.</t>
        </r>
        <r>
          <rPr>
            <sz val="11"/>
            <color indexed="81"/>
            <rFont val="Tahoma"/>
            <family val="2"/>
          </rPr>
          <t xml:space="preserve"> If production batch size is greater than Customer MOQ, there may be surplus production and higher WIP
</t>
        </r>
        <r>
          <rPr>
            <b/>
            <sz val="11"/>
            <color indexed="81"/>
            <rFont val="Tahoma"/>
            <family val="2"/>
          </rPr>
          <t xml:space="preserve">C) Surplus labour capacity </t>
        </r>
        <r>
          <rPr>
            <sz val="11"/>
            <color indexed="81"/>
            <rFont val="Tahoma"/>
            <family val="2"/>
          </rPr>
          <t xml:space="preserve">at plant resulting in level loading. Level loading (producing beyond customer demand in order to utilize or absorp labour) may result in higher WIP
</t>
        </r>
        <r>
          <rPr>
            <b/>
            <sz val="11"/>
            <color indexed="81"/>
            <rFont val="Tahoma"/>
            <family val="2"/>
          </rPr>
          <t>D) Product complexity and number of child parts.</t>
        </r>
        <r>
          <rPr>
            <sz val="11"/>
            <color indexed="81"/>
            <rFont val="Tahoma"/>
            <family val="2"/>
          </rPr>
          <t xml:space="preserve"> Higher complexity/child parts may result in holding of semi-finished component awaiting final assembly 
</t>
        </r>
      </text>
    </comment>
    <comment ref="J44" authorId="0" shapeId="0" xr:uid="{AF2C04D8-BB10-4046-9D32-EC0C0D97EFED}">
      <text>
        <r>
          <rPr>
            <b/>
            <sz val="11"/>
            <color indexed="81"/>
            <rFont val="Tahoma"/>
            <family val="2"/>
          </rPr>
          <t>Inventory for Finished Goods held at Site based on Interplex's requirements</t>
        </r>
        <r>
          <rPr>
            <sz val="11"/>
            <color indexed="81"/>
            <rFont val="Tahoma"/>
            <family val="2"/>
          </rPr>
          <t xml:space="preserve"> in order to </t>
        </r>
        <r>
          <rPr>
            <u/>
            <sz val="11"/>
            <color indexed="81"/>
            <rFont val="Tahoma"/>
            <family val="2"/>
          </rPr>
          <t>meet our contractual obligation to customer</t>
        </r>
        <r>
          <rPr>
            <sz val="11"/>
            <color indexed="81"/>
            <rFont val="Tahoma"/>
            <family val="2"/>
          </rPr>
          <t xml:space="preserve"> for timely and sufficient supply. Excluding an in-transit inventory to customer location (per Incoterms), VMI or Hub arrangements.
</t>
        </r>
        <r>
          <rPr>
            <b/>
            <sz val="11"/>
            <color indexed="81"/>
            <rFont val="Tahoma"/>
            <family val="2"/>
          </rPr>
          <t xml:space="preserve">
</t>
        </r>
        <r>
          <rPr>
            <u/>
            <sz val="11"/>
            <color indexed="81"/>
            <rFont val="Tahoma"/>
            <family val="2"/>
          </rPr>
          <t xml:space="preserve">Factors impacting FG DIO at Site: </t>
        </r>
        <r>
          <rPr>
            <b/>
            <sz val="11"/>
            <color indexed="81"/>
            <rFont val="Tahoma"/>
            <family val="2"/>
          </rPr>
          <t xml:space="preserve">
</t>
        </r>
        <r>
          <rPr>
            <sz val="11"/>
            <color indexed="81"/>
            <rFont val="Tahoma"/>
            <family val="2"/>
          </rPr>
          <t xml:space="preserve">1) </t>
        </r>
        <r>
          <rPr>
            <b/>
            <sz val="11"/>
            <color indexed="81"/>
            <rFont val="Tahoma"/>
            <family val="2"/>
          </rPr>
          <t>Routine safety stock</t>
        </r>
        <r>
          <rPr>
            <sz val="11"/>
            <color indexed="81"/>
            <rFont val="Tahoma"/>
            <family val="2"/>
          </rPr>
          <t xml:space="preserve">. Stock maintained by Site to mitigate production delays or due to production level loading.
2) </t>
        </r>
        <r>
          <rPr>
            <b/>
            <sz val="11"/>
            <color indexed="81"/>
            <rFont val="Tahoma"/>
            <family val="2"/>
          </rPr>
          <t>Build to Customer's Forecast contract terms</t>
        </r>
        <r>
          <rPr>
            <sz val="11"/>
            <color indexed="81"/>
            <rFont val="Tahoma"/>
            <family val="2"/>
          </rPr>
          <t xml:space="preserve">. Site may have to maintain safety stock awaiting customer collection, or surplus stock if customer actual demand fall short of forecast.
3) </t>
        </r>
        <r>
          <rPr>
            <b/>
            <sz val="11"/>
            <color indexed="81"/>
            <rFont val="Tahoma"/>
            <family val="2"/>
          </rPr>
          <t>Production batch size is greater than Customer MOQ</t>
        </r>
        <r>
          <rPr>
            <sz val="11"/>
            <color indexed="81"/>
            <rFont val="Tahoma"/>
            <family val="2"/>
          </rPr>
          <t xml:space="preserve">. Surplus stock because production quantities exceeds customer minimum order quantity
4) </t>
        </r>
        <r>
          <rPr>
            <b/>
            <sz val="11"/>
            <color indexed="81"/>
            <rFont val="Tahoma"/>
            <family val="2"/>
          </rPr>
          <t>Customer lead time less than production lead time</t>
        </r>
        <r>
          <rPr>
            <sz val="11"/>
            <color indexed="81"/>
            <rFont val="Tahoma"/>
            <family val="2"/>
          </rPr>
          <t xml:space="preserve">. Higher safety stock to meet customer demand timely, because its too late to only start production after receipt of PO. e.g. if customer lead time is 2 day from PO, but mfg lead time is 6 days, then safety stock up to 3x (depending on size of customer order)
</t>
        </r>
      </text>
    </comment>
    <comment ref="J45" authorId="0" shapeId="0" xr:uid="{15904A14-1A29-47B7-8822-440F9B373AC8}">
      <text>
        <r>
          <rPr>
            <b/>
            <sz val="11"/>
            <color indexed="81"/>
            <rFont val="Tahoma"/>
            <family val="2"/>
          </rPr>
          <t xml:space="preserve">Inventory of Finished Goods in transit, at logistics hub, at customer premises under Hub or VMI (to be sold upon consumption). </t>
        </r>
        <r>
          <rPr>
            <sz val="11"/>
            <color indexed="81"/>
            <rFont val="Tahoma"/>
            <family val="2"/>
          </rPr>
          <t>This stock-in-transit &amp; stock-at-hub are on top of the stock held for Site's requirements.</t>
        </r>
        <r>
          <rPr>
            <b/>
            <sz val="11"/>
            <color indexed="81"/>
            <rFont val="Tahoma"/>
            <family val="2"/>
          </rPr>
          <t xml:space="preserve">
</t>
        </r>
        <r>
          <rPr>
            <u/>
            <sz val="11"/>
            <color indexed="81"/>
            <rFont val="Tahoma"/>
            <family val="2"/>
          </rPr>
          <t xml:space="preserve">Factors impacting Inventory days: 
</t>
        </r>
        <r>
          <rPr>
            <b/>
            <sz val="11"/>
            <color indexed="81"/>
            <rFont val="Tahoma"/>
            <family val="2"/>
          </rPr>
          <t>1)</t>
        </r>
        <r>
          <rPr>
            <sz val="11"/>
            <color indexed="81"/>
            <rFont val="Tahoma"/>
            <family val="2"/>
          </rPr>
          <t xml:space="preserve"> </t>
        </r>
        <r>
          <rPr>
            <b/>
            <sz val="11"/>
            <color indexed="81"/>
            <rFont val="Tahoma"/>
            <family val="2"/>
          </rPr>
          <t>INCOTERMS</t>
        </r>
        <r>
          <rPr>
            <sz val="11"/>
            <color indexed="81"/>
            <rFont val="Tahoma"/>
            <family val="2"/>
          </rPr>
          <t xml:space="preserve">, impacts In-Transit Inventory. Any Incoterms (excl. exworks) where delivery is at customer's or transporter's location (e.g. FOB, DAP, DDU, DDP, etc.) will increase stock-in-transit due to waiting on transporter, customs clerance, freight &amp; handling time, local transport, etc. (inventory remains on Interplex's books until arrival at final destination).
2) </t>
        </r>
        <r>
          <rPr>
            <b/>
            <sz val="11"/>
            <color indexed="81"/>
            <rFont val="Tahoma"/>
            <family val="2"/>
          </rPr>
          <t>Safety stock required by Customer's</t>
        </r>
        <r>
          <rPr>
            <sz val="11"/>
            <color indexed="81"/>
            <rFont val="Tahoma"/>
            <family val="2"/>
          </rPr>
          <t>. This is customer's requested safety stock. Interplex may be under contractual obligation to maintain a certain level of safety stock ensure certainty of supply to customer.    
3</t>
        </r>
        <r>
          <rPr>
            <b/>
            <sz val="11"/>
            <color indexed="81"/>
            <rFont val="Tahoma"/>
            <family val="2"/>
          </rPr>
          <t>)</t>
        </r>
        <r>
          <rPr>
            <sz val="11"/>
            <color indexed="81"/>
            <rFont val="Tahoma"/>
            <family val="2"/>
          </rPr>
          <t xml:space="preserve"> </t>
        </r>
        <r>
          <rPr>
            <b/>
            <sz val="11"/>
            <color indexed="81"/>
            <rFont val="Tahoma"/>
            <family val="2"/>
          </rPr>
          <t>VMI/Hub (consignment of FG awaiting consumption)</t>
        </r>
        <r>
          <rPr>
            <sz val="11"/>
            <color indexed="81"/>
            <rFont val="Tahoma"/>
            <family val="2"/>
          </rPr>
          <t xml:space="preserve">. Will increase inventory because inventory remains on Interplex books until consumed by customer. Check how much inventory Interplex must maintain in Hub based on contractual terms or VMI/ Hub term with customer. This is often expressed in # of days of stock.
</t>
        </r>
      </text>
    </comment>
    <comment ref="J49" authorId="1" shapeId="0" xr:uid="{690F96EB-D50F-4507-A392-E3E3040D4DBC}">
      <text>
        <r>
          <rPr>
            <b/>
            <sz val="10"/>
            <color indexed="81"/>
            <rFont val="Tahoma"/>
            <family val="2"/>
          </rPr>
          <t>Note:</t>
        </r>
        <r>
          <rPr>
            <sz val="10"/>
            <color indexed="81"/>
            <rFont val="Tahoma"/>
            <family val="2"/>
          </rPr>
          <t xml:space="preserve">
TOOLING/AUTOMATION CO-INVESTMENT balance must be zero (fully amortized at end of Project).
If not fully amortized, adjust the PNL amortization amount in Section 3A to fully amortize the co-investment. Make the amendment in the PNL: Amortiztn-Tool/Auto Co-Invest (non-cash)
Note: Tooling/Automation co-invest must be 100% amortized by end of project. Otherwise, model will return an error message. Amortization period (period of recovery from customer) should not exceed 3 years, or maximum of 5 years for very large strategic projects.
</t>
        </r>
      </text>
    </comment>
    <comment ref="J70" authorId="0" shapeId="0" xr:uid="{B76524B3-CD38-465F-AA85-E4D5DAECFA9F}">
      <text>
        <r>
          <rPr>
            <b/>
            <sz val="11"/>
            <color indexed="81"/>
            <rFont val="Tahoma"/>
            <family val="2"/>
          </rPr>
          <t>Enter capex amount according to the following periods:
1. Input downpayments in the financial year the downpayment is</t>
        </r>
        <r>
          <rPr>
            <b/>
            <u/>
            <sz val="11"/>
            <color indexed="81"/>
            <rFont val="Tahoma"/>
            <family val="2"/>
          </rPr>
          <t xml:space="preserve"> Paid</t>
        </r>
        <r>
          <rPr>
            <b/>
            <sz val="11"/>
            <color indexed="81"/>
            <rFont val="Tahoma"/>
            <family val="2"/>
          </rPr>
          <t xml:space="preserve">
2. Remainder of purchase price in the financial year the capex is </t>
        </r>
        <r>
          <rPr>
            <b/>
            <u/>
            <sz val="11"/>
            <color indexed="81"/>
            <rFont val="Tahoma"/>
            <family val="2"/>
          </rPr>
          <t xml:space="preserve">Received. </t>
        </r>
        <r>
          <rPr>
            <b/>
            <sz val="11"/>
            <color indexed="81"/>
            <rFont val="Tahoma"/>
            <family val="2"/>
          </rPr>
          <t xml:space="preserve">
</t>
        </r>
        <r>
          <rPr>
            <sz val="11"/>
            <color indexed="81"/>
            <rFont val="Tahoma"/>
            <family val="2"/>
          </rPr>
          <t>Do not include any Inter-Co transfer of existing machines/equipment. Refer example below</t>
        </r>
        <r>
          <rPr>
            <b/>
            <sz val="11"/>
            <color indexed="81"/>
            <rFont val="Tahoma"/>
            <family val="2"/>
          </rPr>
          <t xml:space="preserve">
RFQ with Capex requires pre-CER approval. To qualify as Capex, the expenditures (production machines, automation, etc.) must satisfy these criteria:</t>
        </r>
        <r>
          <rPr>
            <sz val="11"/>
            <color indexed="81"/>
            <rFont val="Tahoma"/>
            <family val="2"/>
          </rPr>
          <t xml:space="preserve">
1. Interplex has legal ownership, custody and control of the asset
2. Asset must be a physically identifiable item, used to generate income with useful life of min 2 years (e.g. machine/ automation, building, infrastructure, etc.) 
3. Asset has high generic design content and application i.e. suitable for use or change over to other programs in site's core business
4. Interplex has the right to use the asset for any customers or programs, if practicable
Any deviation requires CFO prior written exemption. An approved CER must be obtained for all capex.
</t>
        </r>
        <r>
          <rPr>
            <b/>
            <sz val="11"/>
            <color indexed="81"/>
            <rFont val="Tahoma"/>
            <family val="2"/>
          </rPr>
          <t xml:space="preserve">
E.g. Capex for machines with purhase price of $1 million </t>
        </r>
        <r>
          <rPr>
            <sz val="11"/>
            <color indexed="81"/>
            <rFont val="Tahoma"/>
            <family val="2"/>
          </rPr>
          <t xml:space="preserve">
Downpayment $300K payable in Dec 2021
Delivery date is Apr 2022
Payment of balance $700K in Dec 2022. 
In this case, capex for $1m should be input in FY21. Any deferred payment arrangement negotiated with vendor will be considered separately, and should be highlighted as a Note in your CER presentation   
</t>
        </r>
      </text>
    </comment>
    <comment ref="J73" authorId="1" shapeId="0" xr:uid="{E08EA3FD-570F-416C-BAC1-36FCDD4D0DA4}">
      <text>
        <r>
          <rPr>
            <b/>
            <sz val="12"/>
            <color indexed="81"/>
            <rFont val="Tahoma"/>
            <family val="2"/>
          </rPr>
          <t xml:space="preserve">Tooling/automation deficit is the PNL loss incurred (if any) by Interplex because the cost of producing the tooling or program specific automation exceeds the sales price to customer. Deficit is added to Total Investment because Interplex takes financial risk and approver must be made aware. </t>
        </r>
        <r>
          <rPr>
            <sz val="12"/>
            <color indexed="81"/>
            <rFont val="Tahoma"/>
            <family val="2"/>
          </rPr>
          <t xml:space="preserve">
</t>
        </r>
        <r>
          <rPr>
            <b/>
            <sz val="12"/>
            <color indexed="81"/>
            <rFont val="Tahoma"/>
            <family val="2"/>
          </rPr>
          <t>Cash Flow treatmen</t>
        </r>
        <r>
          <rPr>
            <sz val="12"/>
            <color indexed="81"/>
            <rFont val="Tahoma"/>
            <family val="2"/>
          </rPr>
          <t xml:space="preserve">t: Deficit is cash outflow in the year the loss is incurred, and impacts ROI. 
</t>
        </r>
        <r>
          <rPr>
            <b/>
            <sz val="12"/>
            <color indexed="81"/>
            <rFont val="Tahoma"/>
            <family val="2"/>
          </rPr>
          <t>PNL treatment</t>
        </r>
        <r>
          <rPr>
            <sz val="12"/>
            <color indexed="81"/>
            <rFont val="Tahoma"/>
            <family val="2"/>
          </rPr>
          <t>: The deficit is equal to the Loss in the Tooling PNL. A profit in tooling PNL will not be taken into account.</t>
        </r>
      </text>
    </comment>
    <comment ref="J74" authorId="1" shapeId="0" xr:uid="{CCB444D1-EFF2-46A7-943B-BE1A867FCF98}">
      <text>
        <r>
          <rPr>
            <b/>
            <sz val="12"/>
            <color indexed="81"/>
            <rFont val="Tahoma"/>
            <family val="2"/>
          </rPr>
          <t xml:space="preserve">Enter total cost of tool or automation for amortization per customer contract (refer financial qualification criteria below). </t>
        </r>
        <r>
          <rPr>
            <sz val="12"/>
            <color indexed="81"/>
            <rFont val="Tahoma"/>
            <family val="2"/>
          </rPr>
          <t xml:space="preserve">Amount should be entered in year of payment (usually year 1 as tooling/automation are normally completed before SOP). 
This input is mandatory if CBD PNL contains amortization expense.The amount is equal to the total LTR tooling amortization expense in the CBD. 
</t>
        </r>
        <r>
          <rPr>
            <b/>
            <sz val="12"/>
            <color indexed="81"/>
            <rFont val="Tahoma"/>
            <family val="2"/>
          </rPr>
          <t xml:space="preserve">
For cost amortization in PNL, customer Tool/Automation contract must satisfy these criteria. 
</t>
        </r>
        <r>
          <rPr>
            <sz val="12"/>
            <color indexed="81"/>
            <rFont val="Tahoma"/>
            <family val="2"/>
          </rPr>
          <t xml:space="preserve">1. Customer has agreed to Tool/Automation Selling Price and Amortization basis in writing (e.g. in PO or Purchase Contract)
2. Amortization (including relevant mark-up) has been factored into Part Price
3. Customer have contractual Liability for payment of any unamortized balance  
4. Interplex retain custody and control of the physical asset until fully amortized (paid by customer).
Refer Baseline Quotation Template 2.0 Amortization.
If above criteria not fully met, cost of customer's tooling must be recorded in Tooling COS PNL. If sale price is less than cost, the Tooling loss must be recognized in PNL. It must not be treated as capex or tooling amortization. For treatment as Capex, Automation Line must meet capex criteria (refer to Capex cell note above).
</t>
        </r>
        <r>
          <rPr>
            <b/>
            <sz val="12"/>
            <color indexed="81"/>
            <rFont val="Tahoma"/>
            <family val="2"/>
          </rPr>
          <t>Cash Flow treatmen</t>
        </r>
        <r>
          <rPr>
            <sz val="12"/>
            <color indexed="81"/>
            <rFont val="Tahoma"/>
            <family val="2"/>
          </rPr>
          <t xml:space="preserve">t: Co-invest will is cash outflow in the year paid, and impacts ROI. 
</t>
        </r>
        <r>
          <rPr>
            <b/>
            <sz val="12"/>
            <color indexed="81"/>
            <rFont val="Tahoma"/>
            <family val="2"/>
          </rPr>
          <t>PNL treatment</t>
        </r>
        <r>
          <rPr>
            <sz val="12"/>
            <color indexed="81"/>
            <rFont val="Tahoma"/>
            <family val="2"/>
          </rPr>
          <t xml:space="preserve">: Amortization expense impacts GP and EBITDA, but will not impact cash flow. </t>
        </r>
      </text>
    </comment>
    <comment ref="J75" authorId="0" shapeId="0" xr:uid="{1FDCE20D-0A6D-4225-9F01-64835BF69BE0}">
      <text>
        <r>
          <rPr>
            <b/>
            <sz val="11"/>
            <color indexed="81"/>
            <rFont val="Tahoma"/>
            <family val="2"/>
          </rPr>
          <t xml:space="preserve">Enter inter-co asset transfer value in the year the assets are received into the project.
</t>
        </r>
        <r>
          <rPr>
            <sz val="11"/>
            <color indexed="81"/>
            <rFont val="Tahoma"/>
            <family val="2"/>
          </rPr>
          <t xml:space="preserve">
Note: This amount will affect the project CF statement (Investing cash flow), and the funding gap / requirements. However, it will not impact ROI. 
 </t>
        </r>
        <r>
          <rPr>
            <b/>
            <sz val="11"/>
            <color indexed="81"/>
            <rFont val="Tahoma"/>
            <family val="2"/>
          </rPr>
          <t xml:space="preserve">
</t>
        </r>
        <r>
          <rPr>
            <sz val="11"/>
            <color indexed="81"/>
            <rFont val="Tahoma"/>
            <family val="2"/>
          </rPr>
          <t>Inter-co asset  transfer should only be used as an assumptions if the transfer of asset has been agreed between the sending and receiving Sites, or by advice from Corporate only.</t>
        </r>
      </text>
    </comment>
    <comment ref="N78" authorId="1" shapeId="0" xr:uid="{6935EE5C-DBE1-4F12-B340-6A8634C37BA5}">
      <text>
        <r>
          <rPr>
            <sz val="12"/>
            <color indexed="81"/>
            <rFont val="Tahoma"/>
            <family val="2"/>
          </rPr>
          <t xml:space="preserve">Use Default of 1. This is the year prior to SOP, therefore revenue should be zero. 
If the autofill data is not correct, please overwrite this cell with the correct data or assumption.
</t>
        </r>
      </text>
    </comment>
    <comment ref="J79" authorId="0" shapeId="0" xr:uid="{96885B2C-6289-4C42-BF4F-E337A8E324E3}">
      <text>
        <r>
          <rPr>
            <b/>
            <sz val="12"/>
            <color indexed="81"/>
            <rFont val="Tahoma"/>
            <family val="2"/>
          </rPr>
          <t xml:space="preserve">Enter the expected DSO days for the Project = Parts Payment Terms + 20 to 30 days. 
</t>
        </r>
        <r>
          <rPr>
            <sz val="12"/>
            <color indexed="81"/>
            <rFont val="Tahoma"/>
            <family val="2"/>
          </rPr>
          <t xml:space="preserve">Note: Add minimum 20 days on top of RFQ payment terms, to cover customer's internal process, typical delays due to 1) ignoring INCOTERM on title transfer*, 2) internal delays in recording receipt, 3) tax reconciliation, 4) infrequent payment runs, 5) delinquency or minor disputes. 
Consult site controller regarding payment track record of the RFQ customer.
* e.g. Customer recognizing payment liability only after physical receipt of goods in warehouse even though INCOTERMS is Exwork (liability upon pick-up) </t>
        </r>
      </text>
    </comment>
    <comment ref="J81" authorId="0" shapeId="0" xr:uid="{0AC10863-68DA-4F60-AF9D-C4A1F6B35FEA}">
      <text>
        <r>
          <rPr>
            <b/>
            <sz val="11"/>
            <color indexed="81"/>
            <rFont val="Tahoma"/>
            <family val="2"/>
          </rPr>
          <t xml:space="preserve">Enter the expected Inventory DIO days for Raw Materials, Purchase Components, Sub-Contracted works and packaging. 
</t>
        </r>
        <r>
          <rPr>
            <u/>
            <sz val="11"/>
            <color indexed="81"/>
            <rFont val="Tahoma"/>
            <family val="2"/>
          </rPr>
          <t>Factors impacting RM Inventory days:</t>
        </r>
        <r>
          <rPr>
            <b/>
            <sz val="11"/>
            <color indexed="81"/>
            <rFont val="Tahoma"/>
            <family val="2"/>
          </rPr>
          <t xml:space="preserve"> 
</t>
        </r>
        <r>
          <rPr>
            <sz val="11"/>
            <color indexed="81"/>
            <rFont val="Tahoma"/>
            <family val="2"/>
          </rPr>
          <t>1)</t>
        </r>
        <r>
          <rPr>
            <b/>
            <sz val="11"/>
            <color indexed="81"/>
            <rFont val="Tahoma"/>
            <family val="2"/>
          </rPr>
          <t xml:space="preserve"> Supplier's MOQ (mininum purchase quantity)</t>
        </r>
        <r>
          <rPr>
            <sz val="11"/>
            <color indexed="81"/>
            <rFont val="Tahoma"/>
            <family val="2"/>
          </rPr>
          <t>. A high MOQ will result in a higher level of inventory purchase relative to amount required for consumption
2)</t>
        </r>
        <r>
          <rPr>
            <b/>
            <sz val="11"/>
            <color indexed="81"/>
            <rFont val="Tahoma"/>
            <family val="2"/>
          </rPr>
          <t xml:space="preserve"> Supplier's Lead time</t>
        </r>
        <r>
          <rPr>
            <sz val="11"/>
            <color indexed="81"/>
            <rFont val="Tahoma"/>
            <family val="2"/>
          </rPr>
          <t xml:space="preserve">. A longer lead time from PO placement to arrival of delivery may lead to higher RM inventory
3) </t>
        </r>
        <r>
          <rPr>
            <b/>
            <sz val="11"/>
            <color indexed="81"/>
            <rFont val="Tahoma"/>
            <family val="2"/>
          </rPr>
          <t>Freight &amp; Handling</t>
        </r>
        <r>
          <rPr>
            <sz val="11"/>
            <color indexed="81"/>
            <rFont val="Tahoma"/>
            <family val="2"/>
          </rPr>
          <t xml:space="preserve">. Longer time for freight, customs clearance and handling may lead to higher RM inventory
</t>
        </r>
        <r>
          <rPr>
            <u/>
            <sz val="11"/>
            <color indexed="81"/>
            <rFont val="Tahoma"/>
            <family val="2"/>
          </rPr>
          <t>Calculation of RM Inventory $</t>
        </r>
        <r>
          <rPr>
            <sz val="11"/>
            <color indexed="81"/>
            <rFont val="Tahoma"/>
            <family val="2"/>
          </rPr>
          <t xml:space="preserve">
RM Inventory $ = Total Cost-to-COPA for the year x RM Inventory Days / 365 (other than year 1 where the actual number of revenue days is used)
Note: Do a sense check against Site's current DIO. Ensure any major variances between project assumptions and Site's prevailing rates are valid and explainable. Model will use Inventory days assumption to compute the inventory balance at each year end, which will inturn impact working capital and cash flows. </t>
        </r>
      </text>
    </comment>
    <comment ref="J82" authorId="0" shapeId="0" xr:uid="{4C8E6458-B0C9-4222-AAED-BB8122CD94FB}">
      <text>
        <r>
          <rPr>
            <b/>
            <sz val="10"/>
            <color indexed="81"/>
            <rFont val="Tahoma"/>
            <family val="2"/>
          </rPr>
          <t xml:space="preserve">Enter the expected Inventory DIO days for WIP.
</t>
        </r>
        <r>
          <rPr>
            <u/>
            <sz val="10"/>
            <color indexed="81"/>
            <rFont val="Tahoma"/>
            <family val="2"/>
          </rPr>
          <t xml:space="preserve">Factors impacting WIP DIO: </t>
        </r>
        <r>
          <rPr>
            <b/>
            <sz val="10"/>
            <color indexed="81"/>
            <rFont val="Tahoma"/>
            <family val="2"/>
          </rPr>
          <t xml:space="preserve">
A) Manufacturing lead time; </t>
        </r>
        <r>
          <rPr>
            <sz val="10"/>
            <color indexed="81"/>
            <rFont val="Tahoma"/>
            <family val="2"/>
          </rPr>
          <t xml:space="preserve">Longer manufacturing lead time may results in higher WIP inventory levels
</t>
        </r>
        <r>
          <rPr>
            <b/>
            <sz val="10"/>
            <color indexed="81"/>
            <rFont val="Tahoma"/>
            <family val="2"/>
          </rPr>
          <t>B) Production Batch Size vs Customer MOQ.</t>
        </r>
        <r>
          <rPr>
            <sz val="10"/>
            <color indexed="81"/>
            <rFont val="Tahoma"/>
            <family val="2"/>
          </rPr>
          <t xml:space="preserve"> If production batch size is greater than Customer MOQ, there may be surplus production and higher WIP
</t>
        </r>
        <r>
          <rPr>
            <b/>
            <sz val="10"/>
            <color indexed="81"/>
            <rFont val="Tahoma"/>
            <family val="2"/>
          </rPr>
          <t xml:space="preserve">C) Surplus labour capacity </t>
        </r>
        <r>
          <rPr>
            <sz val="10"/>
            <color indexed="81"/>
            <rFont val="Tahoma"/>
            <family val="2"/>
          </rPr>
          <t xml:space="preserve">at plant resulting in level loading. Level loading (producing beyond customer demand in order to utilize or absorp labour) may result in higher WIP
</t>
        </r>
        <r>
          <rPr>
            <b/>
            <sz val="10"/>
            <color indexed="81"/>
            <rFont val="Tahoma"/>
            <family val="2"/>
          </rPr>
          <t>D) Product complexity and number of child parts.</t>
        </r>
        <r>
          <rPr>
            <sz val="10"/>
            <color indexed="81"/>
            <rFont val="Tahoma"/>
            <family val="2"/>
          </rPr>
          <t xml:space="preserve"> Higher complexity/child parts may result in holding of semi-finished component awaiting final assembly 
</t>
        </r>
        <r>
          <rPr>
            <u/>
            <sz val="10"/>
            <color indexed="81"/>
            <rFont val="Tahoma"/>
            <family val="2"/>
          </rPr>
          <t>Calculation of WIP Inventory $</t>
        </r>
        <r>
          <rPr>
            <sz val="10"/>
            <color indexed="81"/>
            <rFont val="Tahoma"/>
            <family val="2"/>
          </rPr>
          <t xml:space="preserve">
WIP Inventory $ = Total Mfg cost* for the year x Inventory Days / 365 (other than year 1 where the actual number of revenue days is used, e.g. 180 days instead of 365 if sales was for 6 mnths revenue only)
*Model assumes full-absorption costing whereby Mfg cost comprises materials, packaging, sub-con, DL, IDL, FS (excluding one-off items) and Indirect COS. For WIP, overheads absorption is assumed at 50% of standard as it is assumed to be only 50% completed (FG: 100%)
Note: Do a sense check against Site's current DIO. Ensure any major variances between project assumptions and Site's prevailing rates are valid and explainable. 
</t>
        </r>
      </text>
    </comment>
    <comment ref="J83" authorId="0" shapeId="0" xr:uid="{C1D60A99-419C-45DF-B290-B2E0741E4834}">
      <text>
        <r>
          <rPr>
            <b/>
            <sz val="10"/>
            <color indexed="81"/>
            <rFont val="Tahoma"/>
            <family val="2"/>
          </rPr>
          <t>Enter expected Inventory DIO days for Finished Goods held at Site based on Interplex's requirements</t>
        </r>
        <r>
          <rPr>
            <sz val="10"/>
            <color indexed="81"/>
            <rFont val="Tahoma"/>
            <family val="2"/>
          </rPr>
          <t xml:space="preserve"> in order to </t>
        </r>
        <r>
          <rPr>
            <u/>
            <sz val="10"/>
            <color indexed="81"/>
            <rFont val="Tahoma"/>
            <family val="2"/>
          </rPr>
          <t>meet our contractual obligation to customer</t>
        </r>
        <r>
          <rPr>
            <sz val="10"/>
            <color indexed="81"/>
            <rFont val="Tahoma"/>
            <family val="2"/>
          </rPr>
          <t xml:space="preserve"> for timely and sufficient supply. Excluding an in-transit inventory to customer location (per Incoterms), VMI or Hub arrangements.
</t>
        </r>
        <r>
          <rPr>
            <b/>
            <sz val="10"/>
            <color indexed="81"/>
            <rFont val="Tahoma"/>
            <family val="2"/>
          </rPr>
          <t xml:space="preserve">
</t>
        </r>
        <r>
          <rPr>
            <u/>
            <sz val="10"/>
            <color indexed="81"/>
            <rFont val="Tahoma"/>
            <family val="2"/>
          </rPr>
          <t xml:space="preserve">Factors impacting FG DIO at Site: </t>
        </r>
        <r>
          <rPr>
            <b/>
            <sz val="10"/>
            <color indexed="81"/>
            <rFont val="Tahoma"/>
            <family val="2"/>
          </rPr>
          <t xml:space="preserve">
</t>
        </r>
        <r>
          <rPr>
            <sz val="10"/>
            <color indexed="81"/>
            <rFont val="Tahoma"/>
            <family val="2"/>
          </rPr>
          <t xml:space="preserve">1) </t>
        </r>
        <r>
          <rPr>
            <b/>
            <sz val="10"/>
            <color indexed="81"/>
            <rFont val="Tahoma"/>
            <family val="2"/>
          </rPr>
          <t>Routine safety stock</t>
        </r>
        <r>
          <rPr>
            <sz val="10"/>
            <color indexed="81"/>
            <rFont val="Tahoma"/>
            <family val="2"/>
          </rPr>
          <t xml:space="preserve">. Stock maintained by Site to mitigate production delays or due to production level loading.
2) </t>
        </r>
        <r>
          <rPr>
            <b/>
            <sz val="10"/>
            <color indexed="81"/>
            <rFont val="Tahoma"/>
            <family val="2"/>
          </rPr>
          <t>Build to Customer's Forecast contract terms</t>
        </r>
        <r>
          <rPr>
            <sz val="10"/>
            <color indexed="81"/>
            <rFont val="Tahoma"/>
            <family val="2"/>
          </rPr>
          <t xml:space="preserve">. Site may have to maintain safety stock awaiting customer collection, or surplus stock if customer actual demand fall short of forecast.
3) </t>
        </r>
        <r>
          <rPr>
            <b/>
            <sz val="10"/>
            <color indexed="81"/>
            <rFont val="Tahoma"/>
            <family val="2"/>
          </rPr>
          <t>Production batch size is greater than Customer MOQ</t>
        </r>
        <r>
          <rPr>
            <sz val="10"/>
            <color indexed="81"/>
            <rFont val="Tahoma"/>
            <family val="2"/>
          </rPr>
          <t xml:space="preserve">. Surplus stock because production quantities exceeds customer minimum order quantity
4) </t>
        </r>
        <r>
          <rPr>
            <b/>
            <sz val="10"/>
            <color indexed="81"/>
            <rFont val="Tahoma"/>
            <family val="2"/>
          </rPr>
          <t>Customer lead time less than production lead time</t>
        </r>
        <r>
          <rPr>
            <sz val="10"/>
            <color indexed="81"/>
            <rFont val="Tahoma"/>
            <family val="2"/>
          </rPr>
          <t xml:space="preserve">. Higher safety stock to meet customer demand timely, because its too late to only start production after receipt of PO. e.g. if customer lead time is 2 day from PO, but mfg lead time is 6 days, then safety stock up to 3x (depending on size of customer order)
Note: Do a sense check against Site's current DIO. Ensure any major variances between project assumptions and Site's prevailing rates are valid and explainable. 
</t>
        </r>
        <r>
          <rPr>
            <u/>
            <sz val="10"/>
            <color indexed="81"/>
            <rFont val="Tahoma"/>
            <family val="2"/>
          </rPr>
          <t>Calculation of FG Inventory</t>
        </r>
        <r>
          <rPr>
            <sz val="10"/>
            <color indexed="81"/>
            <rFont val="Tahoma"/>
            <family val="2"/>
          </rPr>
          <t xml:space="preserve">
FG Inv $ = Total Mfg cost* for the year x Inventory Days / 365 (other than year 1 where the actual number of revenue days is used, e.g. 180 days instead of 365 if sales was for 6 mnths revenue only)
*Model assumes full-absorption costing whereby Mfg cost comprises materials, packaging, sub-con, DL, IDL, FS (excluding one-off items) and Indirect COS. For FG, overheads absorption is assumed at 100% of standard because parts are 100% completed (WIP: 50%)
</t>
        </r>
      </text>
    </comment>
    <comment ref="J84" authorId="0" shapeId="0" xr:uid="{85ADFF3A-44C9-464F-BEF6-92124A5F56E2}">
      <text>
        <r>
          <rPr>
            <sz val="10"/>
            <color indexed="81"/>
            <rFont val="Tahoma"/>
            <family val="2"/>
          </rPr>
          <t xml:space="preserve">Enter expected DIO days for </t>
        </r>
        <r>
          <rPr>
            <b/>
            <sz val="10"/>
            <color indexed="81"/>
            <rFont val="Tahoma"/>
            <family val="2"/>
          </rPr>
          <t xml:space="preserve">Finished Goods in transit, at logistics hub, at customer premises under Hub or VMI (to be sold upon consumption). </t>
        </r>
        <r>
          <rPr>
            <sz val="10"/>
            <color indexed="81"/>
            <rFont val="Tahoma"/>
            <family val="2"/>
          </rPr>
          <t>This stock-in-transit &amp; stock-at-hub are on top of the stock held for Site's requirements.</t>
        </r>
        <r>
          <rPr>
            <b/>
            <sz val="10"/>
            <color indexed="81"/>
            <rFont val="Tahoma"/>
            <family val="2"/>
          </rPr>
          <t xml:space="preserve">
</t>
        </r>
        <r>
          <rPr>
            <u/>
            <sz val="10"/>
            <color indexed="81"/>
            <rFont val="Tahoma"/>
            <family val="2"/>
          </rPr>
          <t xml:space="preserve">Factors impacting Inventory days: 
</t>
        </r>
        <r>
          <rPr>
            <b/>
            <sz val="10"/>
            <color indexed="81"/>
            <rFont val="Tahoma"/>
            <family val="2"/>
          </rPr>
          <t>1)</t>
        </r>
        <r>
          <rPr>
            <sz val="10"/>
            <color indexed="81"/>
            <rFont val="Tahoma"/>
            <family val="2"/>
          </rPr>
          <t xml:space="preserve"> </t>
        </r>
        <r>
          <rPr>
            <b/>
            <sz val="10"/>
            <color indexed="81"/>
            <rFont val="Tahoma"/>
            <family val="2"/>
          </rPr>
          <t>INCOTERMS</t>
        </r>
        <r>
          <rPr>
            <sz val="10"/>
            <color indexed="81"/>
            <rFont val="Tahoma"/>
            <family val="2"/>
          </rPr>
          <t xml:space="preserve">, impacts In-Transit Inventory. Any Incoterms (excl. exworks) where delivery is at customer's or transporter's location (e.g. FOB, DAP, DDU, DDP, etc.) will increase stock-in-transit due to waiting on transporter, customs clerance, freight &amp; handling time, local transport, etc. (inventory remains on Interplex's books until arrival at final destination).
2) </t>
        </r>
        <r>
          <rPr>
            <b/>
            <sz val="10"/>
            <color indexed="81"/>
            <rFont val="Tahoma"/>
            <family val="2"/>
          </rPr>
          <t>Safety stock required by Customer's</t>
        </r>
        <r>
          <rPr>
            <sz val="10"/>
            <color indexed="81"/>
            <rFont val="Tahoma"/>
            <family val="2"/>
          </rPr>
          <t>. This is customer's requested safety stock. Interplex may be under contractual obligation to maintain a certain level of safety stock ensure certainty of supply to customer.    
3</t>
        </r>
        <r>
          <rPr>
            <b/>
            <sz val="10"/>
            <color indexed="81"/>
            <rFont val="Tahoma"/>
            <family val="2"/>
          </rPr>
          <t>)</t>
        </r>
        <r>
          <rPr>
            <sz val="10"/>
            <color indexed="81"/>
            <rFont val="Tahoma"/>
            <family val="2"/>
          </rPr>
          <t xml:space="preserve"> </t>
        </r>
        <r>
          <rPr>
            <b/>
            <sz val="10"/>
            <color indexed="81"/>
            <rFont val="Tahoma"/>
            <family val="2"/>
          </rPr>
          <t>VMI/Hub (consignment of FG awaiting consumption)</t>
        </r>
        <r>
          <rPr>
            <sz val="10"/>
            <color indexed="81"/>
            <rFont val="Tahoma"/>
            <family val="2"/>
          </rPr>
          <t xml:space="preserve">. Will increase inventory because inventory remains on Interplex books until consumed by customer. Check how much inventory Interplex must maintain in Hub based on contractual terms or VMI/ Hub term with customer. This is often expressed in # of days of stock.
</t>
        </r>
        <r>
          <rPr>
            <u/>
            <sz val="10"/>
            <color indexed="81"/>
            <rFont val="Tahoma"/>
            <family val="2"/>
          </rPr>
          <t>Calculation of FG $</t>
        </r>
        <r>
          <rPr>
            <sz val="10"/>
            <color indexed="81"/>
            <rFont val="Tahoma"/>
            <family val="2"/>
          </rPr>
          <t xml:space="preserve">
FG $ = Total Mfg cost* for the year x Inventory Days / 365 (other than year 1 where the actual number of revenue days is used, e.g. 180 days instead of 365 if sales was for 6 mnths revenue only)
*Model assumes full-absorption costing whereby Mfg cost comprises materials, packaging, sub-con, DL, IDL, FS (excluding one-off items) and Indirect COS. For FG, overheads absorption is assumed at 100% of standard because parts are 100% completed (WIP: 50%)
Note: Do a sense check against Site's current DIO. Ensure any major variances between project assumptions and Site's prevailing rates are valid and explainable. Model will use Inventory days assumption to compute the inventory balance at each year end, which will inturn impact working capital and cash flows. 
</t>
        </r>
      </text>
    </comment>
    <comment ref="J85" authorId="1" shapeId="0" xr:uid="{B48FF6A5-435F-4A5A-9E8C-1A854BC58918}">
      <text>
        <r>
          <rPr>
            <sz val="9"/>
            <color indexed="81"/>
            <rFont val="Tahoma"/>
            <family val="2"/>
          </rPr>
          <t xml:space="preserve">Input any known items. Otherwise, leave blank
</t>
        </r>
      </text>
    </comment>
    <comment ref="J86" authorId="0" shapeId="0" xr:uid="{4F96D7E6-6CF9-4B60-B539-599F13EEC517}">
      <text>
        <r>
          <rPr>
            <sz val="12"/>
            <color indexed="81"/>
            <rFont val="Tahoma"/>
            <family val="2"/>
          </rPr>
          <t>This row represents the Year-end closing balance of tooling recoverable on the balance sheet. Model computes debit balances only (payments &gt; collection). Credit balances are ignored. 
In the selection box:
1) if CBD Calculation is selected, then refer to the Tooling CF Calculation table at the bottom of Tooling CBD Worksheet,
2) If Manual Calculation is selected, then enter the forecasted tooling recoverable balance on next row. You may also use the Calculation table provided in column AE.
Note:
Net cash outflow is calculated as total tool/automation cost minus customer milestone recovery in each year (e.g. down payment, FOT, PPAP, etc.). Does not account for cash flow relating to Tooling surplus (profit) as this CF will be accounted for in the PNL when the suplus (profit) is recognized</t>
        </r>
      </text>
    </comment>
    <comment ref="J87" authorId="1" shapeId="0" xr:uid="{E0B2FAE9-1995-45A6-950A-DED4907F896A}">
      <text>
        <r>
          <rPr>
            <sz val="12"/>
            <color indexed="81"/>
            <rFont val="Tahoma"/>
            <family val="2"/>
          </rPr>
          <t>A method for calculating Tooling Recovrable has been provided in Column AE:AL. Refer to the calculation table. 
You may also over-write the input cell if you wish to do your own independent calculation (without using the methodology provided) 
Note: Tooling recoverable is used to calculate Peak Funding Gap</t>
        </r>
      </text>
    </comment>
    <comment ref="J88" authorId="0" shapeId="0" xr:uid="{D2B1657E-82FE-4E7F-B9B0-CFF006A841C3}">
      <text>
        <r>
          <rPr>
            <b/>
            <sz val="11"/>
            <color indexed="81"/>
            <rFont val="Tahoma"/>
            <family val="2"/>
          </rPr>
          <t xml:space="preserve">Enter the expected DPO days for the Project. 
</t>
        </r>
        <r>
          <rPr>
            <sz val="11"/>
            <color indexed="81"/>
            <rFont val="Tahoma"/>
            <family val="2"/>
          </rPr>
          <t xml:space="preserve">This is normally equal to the vendor payment terms from Direct Materials vendors. Model will compute trade payable balance:
Trade payables = (COGS + Production Cost x 30%*) x Acct Payable Days / 365 (other than year 1 where the actual number of revenue days is used)
*Only 30% of Production Cost is used as a large proportion is paid only without any credit terms e.g. IDL wages or salaries, rentals, etc.
</t>
        </r>
      </text>
    </comment>
    <comment ref="J89" authorId="1" shapeId="0" xr:uid="{B7232E79-4A15-4271-A376-80BACA1B0D24}">
      <text>
        <r>
          <rPr>
            <sz val="9"/>
            <color indexed="81"/>
            <rFont val="Tahoma"/>
            <family val="2"/>
          </rPr>
          <t xml:space="preserve">Input any known items. Otherwise, leave blank
</t>
        </r>
      </text>
    </comment>
    <comment ref="J94" authorId="0" shapeId="0" xr:uid="{EF325AE4-9D8F-4F28-827F-159BCD0F7435}">
      <text>
        <r>
          <rPr>
            <b/>
            <sz val="11"/>
            <color indexed="81"/>
            <rFont val="Tahoma"/>
            <family val="2"/>
          </rPr>
          <t xml:space="preserve">Enter the weighted average depreciation life of the asset items making up the Capex list.
</t>
        </r>
        <r>
          <rPr>
            <sz val="11"/>
            <color indexed="81"/>
            <rFont val="Tahoma"/>
            <family val="2"/>
          </rPr>
          <t xml:space="preserve">
Project depreciation begins in the firsy year of revenue on straightline basis over average useful life of capex with zero residual value, and continues until fully depreciated.
Depreciation for 1st year of capex acquisition is assumed to be 50% of annual depreciation on simplified assumption that capex was put in service in mid-year.</t>
        </r>
      </text>
    </comment>
    <comment ref="N94" authorId="1" shapeId="0" xr:uid="{A7F8B91B-F3CA-4465-BE55-FA1EBE71A912}">
      <text>
        <r>
          <rPr>
            <b/>
            <sz val="12"/>
            <color indexed="81"/>
            <rFont val="Tahoma"/>
            <family val="2"/>
          </rPr>
          <t>Note for SFP254 standalone version</t>
        </r>
        <r>
          <rPr>
            <sz val="12"/>
            <color indexed="81"/>
            <rFont val="Tahoma"/>
            <family val="2"/>
          </rPr>
          <t xml:space="preserve">: Input the weighted average depreciation life (yrs) considering all capex items. If capex consist of several asset categories with different depreciation life (e.g. Machines 10 yrs and Automation 3 yrs), you should manually calculate the depreciation expense per annum, and divide by the capex value (GBV) to derive the weighted average depreciation life (for input into this cell). In the </t>
        </r>
        <r>
          <rPr>
            <b/>
            <sz val="12"/>
            <color indexed="81"/>
            <rFont val="Tahoma"/>
            <family val="2"/>
          </rPr>
          <t>Consol worksheet,</t>
        </r>
        <r>
          <rPr>
            <sz val="12"/>
            <color indexed="81"/>
            <rFont val="Tahoma"/>
            <family val="2"/>
          </rPr>
          <t xml:space="preserve"> you must enter the weighted average depreciation life manually.
</t>
        </r>
        <r>
          <rPr>
            <b/>
            <sz val="12"/>
            <color indexed="81"/>
            <rFont val="Tahoma"/>
            <family val="2"/>
          </rPr>
          <t>Note for CQSC Integrated version</t>
        </r>
        <r>
          <rPr>
            <sz val="12"/>
            <color indexed="81"/>
            <rFont val="Tahoma"/>
            <family val="2"/>
          </rPr>
          <t xml:space="preserve">: If the autofill data is not correct, please overwrite this cell with the correct weighted average depreciation life. Use the methodology outlined above to do your calculation
</t>
        </r>
      </text>
    </comment>
    <comment ref="J95" authorId="0" shapeId="0" xr:uid="{9338439D-1362-4EB0-B672-1F82F553E420}">
      <text>
        <r>
          <rPr>
            <b/>
            <sz val="11"/>
            <color indexed="81"/>
            <rFont val="Tahoma"/>
            <family val="2"/>
          </rPr>
          <t xml:space="preserve">Enter the corporate income tax rate applicable to the site or to the project (if special tax rate apply to the project). Reduce rates due to tax incentive rate should NOT be used unless that incentive has ALREADY been approved by the relevant Tax Authority
</t>
        </r>
        <r>
          <rPr>
            <sz val="11"/>
            <color indexed="81"/>
            <rFont val="Tahoma"/>
            <family val="2"/>
          </rPr>
          <t xml:space="preserve">
Note: this model does not account for deferred tax asset arising from PNL losses (due to complications on cash flow statement). Therefore the PNL does not show a tax credit in event of operating losses.</t>
        </r>
      </text>
    </comment>
    <comment ref="N95" authorId="1" shapeId="0" xr:uid="{1446CA06-2681-4EF2-A777-8906D4E03373}">
      <text>
        <r>
          <rPr>
            <sz val="12"/>
            <color indexed="81"/>
            <rFont val="Tahoma"/>
            <family val="2"/>
          </rPr>
          <t xml:space="preserve">If the autofill data is not correct, please overwrite this cell with the correct data or assumption.
</t>
        </r>
      </text>
    </comment>
    <comment ref="I97" authorId="0" shapeId="0" xr:uid="{D19ED1C3-8EAE-486B-9FD6-72CA5056E98D}">
      <text>
        <r>
          <rPr>
            <b/>
            <sz val="11"/>
            <color indexed="81"/>
            <rFont val="Tahoma"/>
            <family val="2"/>
          </rPr>
          <t xml:space="preserve">Owner of Assumption: 
</t>
        </r>
        <r>
          <rPr>
            <sz val="11"/>
            <color indexed="81"/>
            <rFont val="Tahoma"/>
            <family val="2"/>
          </rPr>
          <t>Site Controller</t>
        </r>
      </text>
    </comment>
    <comment ref="J97" authorId="0" shapeId="0" xr:uid="{0913AF79-4B26-4F5F-A5B3-7D09427E1237}">
      <text>
        <r>
          <rPr>
            <sz val="9"/>
            <color indexed="81"/>
            <rFont val="Tahoma"/>
            <family val="2"/>
          </rPr>
          <t>Funding assumptions will generally be finalized by Corporate HQ. For the purposes of CER preparation, you should assume that funding requirement is met by 50% to 100% equity and have sufficient free cash flow at site to meet the funding requirements (check your latest cash at bank balance).</t>
        </r>
      </text>
    </comment>
    <comment ref="T97" authorId="0" shapeId="0" xr:uid="{450F0E0F-59F4-4D4A-A3E6-BC3C2A5F8DBE}">
      <text>
        <r>
          <rPr>
            <b/>
            <sz val="11"/>
            <color indexed="81"/>
            <rFont val="Tahoma"/>
            <family val="2"/>
          </rPr>
          <t xml:space="preserve">CPCF multiple </t>
        </r>
        <r>
          <rPr>
            <sz val="11"/>
            <color indexed="81"/>
            <rFont val="Tahoma"/>
            <family val="2"/>
          </rPr>
          <t xml:space="preserve">measures the multiple of cash returns from the investment, and is useful for ranking of different investment options. A project with higher multiple is in general more attractive than a project with a lower multiple because the higher multiple project returns more cash per $ invested. However, it is important to consider how far in future the cash is generated. A longer period increases risk and reduces the present value of that cash flow 
CPCF multiple is calculated as Cumulative Project Cash Flow divided by Total Funding requirement.
</t>
        </r>
      </text>
    </comment>
    <comment ref="J98" authorId="0" shapeId="0" xr:uid="{B039963C-FCDD-4E32-B056-6124469AEEA9}">
      <text>
        <r>
          <rPr>
            <sz val="9"/>
            <color indexed="81"/>
            <rFont val="Tahoma"/>
            <family val="2"/>
          </rPr>
          <t xml:space="preserve">For NPV calculation
</t>
        </r>
      </text>
    </comment>
    <comment ref="L98" authorId="0" shapeId="0" xr:uid="{95CE1413-3D58-442D-8A54-115F3DF22461}">
      <text>
        <r>
          <rPr>
            <b/>
            <sz val="9"/>
            <color indexed="81"/>
            <rFont val="Tahoma"/>
            <family val="2"/>
          </rPr>
          <t>Do not change - set by Corporate HQ at 15%</t>
        </r>
      </text>
    </comment>
    <comment ref="J99" authorId="0" shapeId="0" xr:uid="{643BFE50-AB28-45B0-8E83-99DB87B8E951}">
      <text>
        <r>
          <rPr>
            <b/>
            <sz val="11"/>
            <color indexed="81"/>
            <rFont val="Tahoma"/>
            <family val="2"/>
          </rPr>
          <t xml:space="preserve">Determines whether inter-co asset transfer is factored into ROI / NPV calculation. 
If No, (default setting) </t>
        </r>
        <r>
          <rPr>
            <sz val="11"/>
            <color indexed="81"/>
            <rFont val="Tahoma"/>
            <family val="2"/>
          </rPr>
          <t xml:space="preserve">the value of asset transfer is NOT considered an incremental investment to the Interplex group, and therefore will be EXCLUDED from ROI/NPV calculation. "No" is appropriate if the asset being transferred is under-utilized at its current Site, and there is minimal opportunity cost or loss of business as result of the transfer.
If </t>
        </r>
        <r>
          <rPr>
            <b/>
            <sz val="11"/>
            <color indexed="81"/>
            <rFont val="Tahoma"/>
            <family val="2"/>
          </rPr>
          <t>Yes</t>
        </r>
        <r>
          <rPr>
            <sz val="11"/>
            <color indexed="81"/>
            <rFont val="Tahoma"/>
            <family val="2"/>
          </rPr>
          <t>, the value of asset transfer IS considered an incremental investment, and therefore will be INCLUDED in ROI/NPV calculation. "No" is appropriate if the asset being transferred is currently utilized as there is an opportunity cost or loss of business at its current site as result of the transfer. "Yes" can also be used if we would like to compute ROI / NPV at Project/Site level, rather than at Interplex Group level.</t>
        </r>
      </text>
    </comment>
    <comment ref="J100" authorId="0" shapeId="0" xr:uid="{14BEC5BF-D1C7-4C4E-A2D1-C70FE3BEF5F1}">
      <text>
        <r>
          <rPr>
            <b/>
            <sz val="9"/>
            <color indexed="81"/>
            <rFont val="Tahoma"/>
            <family val="2"/>
          </rPr>
          <t>If external borrowings are used, enter the applicable interest rate. Otherwise use 7% p.a.</t>
        </r>
        <r>
          <rPr>
            <sz val="9"/>
            <color indexed="81"/>
            <rFont val="Tahoma"/>
            <family val="2"/>
          </rPr>
          <t xml:space="preserve">
</t>
        </r>
      </text>
    </comment>
    <comment ref="J101" authorId="0" shapeId="0" xr:uid="{3272CF3A-DE21-4035-A159-D9187B1F47D1}">
      <text>
        <r>
          <rPr>
            <b/>
            <sz val="11"/>
            <color indexed="81"/>
            <rFont val="Tahoma"/>
            <family val="2"/>
          </rPr>
          <t xml:space="preserve">Insert (+ figure) $ of external borrowings. In general, a minimum of 50% of capex value should be assumed to be funded by external borrowings except if Site has sufficient surplus cash in its bank account to finance the capex requirements. If this is left blank, the model assumes funding via equity or surplus cash.
All external borrowings must be repaid during the life of the project. Insert debt repayment assumption (-ve figure) such that the entire loan amount is repaid and project cash balance remains positive every year-end. 
</t>
        </r>
        <r>
          <rPr>
            <sz val="11"/>
            <color indexed="81"/>
            <rFont val="Tahoma"/>
            <family val="2"/>
          </rPr>
          <t xml:space="preserve">Use of debt will have the following effect on the model:
1. Interest Expense will be calculated on the debt value and recorded in the PNL
2. Balance sheet will record the outstanding amount of debt
3. Debt must be repaid. Any debt drawdown must be offset by a repayment such that the row total must add up to zero.
</t>
        </r>
      </text>
    </comment>
    <comment ref="N101" authorId="0" shapeId="0" xr:uid="{40BEE640-9EBA-4FBF-9F20-CAE3ACB8E161}">
      <text>
        <r>
          <rPr>
            <sz val="11"/>
            <color indexed="81"/>
            <rFont val="Tahoma"/>
            <family val="2"/>
          </rPr>
          <t>Insert debt funding amount such that Project Cash Balance at Year-end is positive (2 rows down). Make an assumption on debt repayment based on Project cash balance surplus. If Site has no capacity to assume debt, then enter funding in the Equity section below.
If not sure about debt, then assume all funding requirement is by way of equity. Insert funding requirement in cell below.</t>
        </r>
      </text>
    </comment>
    <comment ref="J102" authorId="0" shapeId="0" xr:uid="{ED05C973-8049-4348-9876-95B9CB7AF3DC}">
      <text>
        <r>
          <rPr>
            <b/>
            <sz val="11"/>
            <color indexed="81"/>
            <rFont val="Tahoma"/>
            <family val="2"/>
          </rPr>
          <t>After determining external debt funding amount, the model will automatically assume the balance of funding requirements will be made via equity. Funding is needed to pay for capex and working capital requirements of the project.
The use of equity will have the following effect:
1. Equity value will be recorded in shareholder equity on the balance sheet
2. No interest cost is calculated</t>
        </r>
      </text>
    </comment>
    <comment ref="N102" authorId="0" shapeId="0" xr:uid="{713DFF0E-5290-4AEB-8521-84A49DFB7106}">
      <text>
        <r>
          <rPr>
            <sz val="11"/>
            <color indexed="81"/>
            <rFont val="Tahoma"/>
            <family val="2"/>
          </rPr>
          <t>After determining debt funding, insert equity funding amount such that Project Cash Balance at Year-end is positive (1 rows down). Equity funding for project could originate from site surplus cash flow or new equity injection.</t>
        </r>
      </text>
    </comment>
    <comment ref="J107" authorId="1" shapeId="0" xr:uid="{52321AC2-707F-4B79-9514-5DDD24C78E02}">
      <text>
        <r>
          <rPr>
            <b/>
            <sz val="10"/>
            <color indexed="81"/>
            <rFont val="Tahoma"/>
            <family val="2"/>
          </rPr>
          <t>Unfavorable or Excess WC / (Favourable WC)</t>
        </r>
        <r>
          <rPr>
            <sz val="10"/>
            <color indexed="81"/>
            <rFont val="Tahoma"/>
            <family val="2"/>
          </rPr>
          <t xml:space="preserve">
</t>
        </r>
      </text>
    </comment>
    <comment ref="J109" authorId="1" shapeId="0" xr:uid="{346ADCA9-9152-49E4-AC93-CE94F69D3AC7}">
      <text>
        <r>
          <rPr>
            <sz val="10"/>
            <color indexed="81"/>
            <rFont val="Tahoma"/>
            <family val="2"/>
          </rPr>
          <t>Standard working capital allowance is calculated assuming 50% Raw Materials and 50% FG
i.e. Standard WC allocance = DIO of 15 days for RM and 15 days for WIP&amp;FG</t>
        </r>
      </text>
    </comment>
    <comment ref="I113" authorId="0" shapeId="0" xr:uid="{F16D77C6-A38C-4ADF-8792-F1E75F311012}">
      <text>
        <r>
          <rPr>
            <b/>
            <sz val="11"/>
            <color indexed="81"/>
            <rFont val="Tahoma"/>
            <family val="2"/>
          </rPr>
          <t xml:space="preserve">Owner of Section
</t>
        </r>
        <r>
          <rPr>
            <sz val="11"/>
            <color indexed="81"/>
            <rFont val="Tahoma"/>
            <family val="2"/>
          </rPr>
          <t xml:space="preserve">Site/Region Controller </t>
        </r>
      </text>
    </comment>
    <comment ref="J137" authorId="0" shapeId="0" xr:uid="{C12B4A62-EDD7-4CEF-A6BE-2892C4FF8F96}">
      <text>
        <r>
          <rPr>
            <sz val="11"/>
            <color indexed="81"/>
            <rFont val="Tahoma"/>
            <family val="2"/>
          </rPr>
          <t>Maybe used for any unsual items such as govt grants, subsidies, etc.</t>
        </r>
      </text>
    </comment>
    <comment ref="N139" authorId="1" shapeId="0" xr:uid="{7EEBCEF7-CCF8-4362-8CE5-E9219B764A14}">
      <text>
        <r>
          <rPr>
            <b/>
            <sz val="12"/>
            <color indexed="81"/>
            <rFont val="Tahoma"/>
            <family val="2"/>
          </rPr>
          <t>Calendar Year of Tooling Sale</t>
        </r>
        <r>
          <rPr>
            <sz val="12"/>
            <color indexed="81"/>
            <rFont val="Tahoma"/>
            <family val="2"/>
          </rPr>
          <t xml:space="preserve"> should according to year customer PPAP approval is expected (Note: Should be same or before SOP year for 1st tool set)
</t>
        </r>
      </text>
    </comment>
    <comment ref="P139" authorId="1" shapeId="0" xr:uid="{74DBE4D6-ECE5-4C45-A2F0-08C9D7FED9EB}">
      <text>
        <r>
          <rPr>
            <b/>
            <sz val="12"/>
            <color indexed="81"/>
            <rFont val="Tahoma"/>
            <family val="2"/>
          </rPr>
          <t>Calendar Year of Tooling Sale</t>
        </r>
        <r>
          <rPr>
            <sz val="12"/>
            <color indexed="81"/>
            <rFont val="Tahoma"/>
            <family val="2"/>
          </rPr>
          <t xml:space="preserve"> should according to year customer PPAP approval is expected (Note: Should be same or before SOP year for 1st tool set)
</t>
        </r>
      </text>
    </comment>
    <comment ref="R139" authorId="1" shapeId="0" xr:uid="{096F2ED4-6BBA-42C4-80E9-93DB742158A8}">
      <text>
        <r>
          <rPr>
            <b/>
            <sz val="12"/>
            <color indexed="81"/>
            <rFont val="Tahoma"/>
            <family val="2"/>
          </rPr>
          <t>Calendar Year of Tooling Sale</t>
        </r>
        <r>
          <rPr>
            <sz val="12"/>
            <color indexed="81"/>
            <rFont val="Tahoma"/>
            <family val="2"/>
          </rPr>
          <t xml:space="preserve"> should according to year customer PPAP approval is expected (Note: Should be same or before SOP year for 1st tool set)
</t>
        </r>
      </text>
    </comment>
    <comment ref="T139" authorId="1" shapeId="0" xr:uid="{BF6E0F1E-8290-4222-88EA-A1325CF44E07}">
      <text>
        <r>
          <rPr>
            <b/>
            <sz val="12"/>
            <color indexed="81"/>
            <rFont val="Tahoma"/>
            <family val="2"/>
          </rPr>
          <t>Calendar Year of Tooling Sale</t>
        </r>
        <r>
          <rPr>
            <sz val="12"/>
            <color indexed="81"/>
            <rFont val="Tahoma"/>
            <family val="2"/>
          </rPr>
          <t xml:space="preserve"> should according to year customer PPAP approval is expected (Note: Should be same or before SOP year for 1st tool set)
</t>
        </r>
      </text>
    </comment>
    <comment ref="V139" authorId="1" shapeId="0" xr:uid="{835A42D4-0F3E-4DDB-9471-CA120F4FEA4A}">
      <text>
        <r>
          <rPr>
            <b/>
            <sz val="12"/>
            <color indexed="81"/>
            <rFont val="Tahoma"/>
            <family val="2"/>
          </rPr>
          <t>Calendar Year of Tooling Sale</t>
        </r>
        <r>
          <rPr>
            <sz val="12"/>
            <color indexed="81"/>
            <rFont val="Tahoma"/>
            <family val="2"/>
          </rPr>
          <t xml:space="preserve"> should according to year customer PPAP approval is expected (Note: Should be same or before SOP year for 1st tool set)
</t>
        </r>
      </text>
    </comment>
    <comment ref="X139" authorId="1" shapeId="0" xr:uid="{E85AE7C3-EEE5-4DCD-A116-80C2927C9E81}">
      <text>
        <r>
          <rPr>
            <b/>
            <sz val="12"/>
            <color indexed="81"/>
            <rFont val="Tahoma"/>
            <family val="2"/>
          </rPr>
          <t>Calendar Year of Tooling Sale</t>
        </r>
        <r>
          <rPr>
            <sz val="12"/>
            <color indexed="81"/>
            <rFont val="Tahoma"/>
            <family val="2"/>
          </rPr>
          <t xml:space="preserve"> should according to year customer PPAP approval is expected (Note: Should be same or before SOP year for 1st tool set)
</t>
        </r>
      </text>
    </comment>
    <comment ref="J140" authorId="1" shapeId="0" xr:uid="{17E407A9-1335-4236-8F1E-D26BDB164FF9}">
      <text>
        <r>
          <rPr>
            <b/>
            <sz val="11"/>
            <color indexed="81"/>
            <rFont val="Tahoma"/>
            <family val="2"/>
          </rPr>
          <t>Enter the Cost of Tooling or Automation as quoted by vendor. If vendor is TIC or other Inter-Co, refer note below.</t>
        </r>
        <r>
          <rPr>
            <sz val="11"/>
            <color indexed="81"/>
            <rFont val="Tahoma"/>
            <family val="2"/>
          </rPr>
          <t xml:space="preserve">
Note: If the tool/automation is manufactured by TIC or other Inter-Co, please request for and enter TIC internal cost (excluding profit margin). If despite making the request, this information is not available, assume the COS is 90% of TIC quoted price.
</t>
        </r>
      </text>
    </comment>
    <comment ref="J146" authorId="1" shapeId="0" xr:uid="{2F4E82E1-D61E-4F4B-BDED-76CFD0803300}">
      <text>
        <r>
          <rPr>
            <sz val="11"/>
            <color indexed="81"/>
            <rFont val="Tahoma"/>
            <family val="2"/>
          </rPr>
          <t xml:space="preserve">This section is created for any manual adjustments that Finance controller consider appropriate to presented a more accurate PNL of the project. 
This section should be used by qualified member of Finance function ONLY.
Adjustments here will create deviations between the CBD PNL versus Pre-CER PNL. And cash flow affected accordingly. e.g. adjustments for fixed vs variable overheads, tooling amortizationf, fixed vs variable SG&amp;A, etc.
</t>
        </r>
      </text>
    </comment>
    <comment ref="J148" authorId="1" shapeId="0" xr:uid="{FFF9E6BF-AFC8-4702-9EC0-0CE17C230F8C}">
      <text>
        <r>
          <rPr>
            <b/>
            <sz val="11"/>
            <color indexed="81"/>
            <rFont val="Tahoma"/>
            <family val="2"/>
          </rPr>
          <t xml:space="preserve">If there are Inter-Co purchase components in the CBD and transfer cost includes profit margin made by the seller, then enter the estimated inter profit amount (as + positive number) for each year. The iner-co profit will be added back to GP &amp; EBITDA.
Reason: </t>
        </r>
        <r>
          <rPr>
            <sz val="11"/>
            <color indexed="81"/>
            <rFont val="Tahoma"/>
            <family val="2"/>
          </rPr>
          <t>For the purposes of CER simulation, the cost of such components should be based on Standard Cost at the Inter-Co site. You will need to obtain this the inter-co profit data from the Site GM or Controller.
This will ensure the CER financial analysis provides the Group perspective (eliminating any significant inter-company profits)</t>
        </r>
      </text>
    </comment>
    <comment ref="J149" authorId="1" shapeId="0" xr:uid="{5DCE2D0E-E969-4FC0-80E4-2CAFCAF2C284}">
      <text>
        <r>
          <rPr>
            <b/>
            <sz val="11"/>
            <color indexed="81"/>
            <rFont val="Tahoma"/>
            <family val="2"/>
          </rPr>
          <t xml:space="preserve">If, 
</t>
        </r>
        <r>
          <rPr>
            <sz val="11"/>
            <color indexed="81"/>
            <rFont val="Tahoma"/>
            <family val="2"/>
          </rPr>
          <t xml:space="preserve">1) the IDL rate in CBD is based on full absorption cost, and
2) this RFQ is not an anchor program, but is instead for short term / capacity loading and overheads absorption, </t>
        </r>
        <r>
          <rPr>
            <b/>
            <sz val="11"/>
            <color indexed="81"/>
            <rFont val="Tahoma"/>
            <family val="2"/>
          </rPr>
          <t xml:space="preserve">then enter the estimated adjustment (as + positive number) to remove the fixed cost component of IDL rate. 
</t>
        </r>
        <r>
          <rPr>
            <sz val="11"/>
            <color indexed="81"/>
            <rFont val="Tahoma"/>
            <family val="2"/>
          </rPr>
          <t xml:space="preserve">
The remaining cost in PNL represents variable (or incremental) cost only. If this RFQ has no incremental cost and provided both criteria above are met, then the PNL cost should be fully eliminated.</t>
        </r>
      </text>
    </comment>
    <comment ref="J150" authorId="1" shapeId="0" xr:uid="{0BB99FCB-57B2-437E-A247-D2DE92A46CC0}">
      <text>
        <r>
          <rPr>
            <b/>
            <sz val="11"/>
            <color indexed="81"/>
            <rFont val="Tahoma"/>
            <family val="2"/>
          </rPr>
          <t xml:space="preserve">If, 
</t>
        </r>
        <r>
          <rPr>
            <sz val="11"/>
            <color indexed="81"/>
            <rFont val="Tahoma"/>
            <family val="2"/>
          </rPr>
          <t xml:space="preserve">1) the Factory Support overheads rate in CBD is based on full absorption cost, and
2) this RFQ is not an anchor program, but is instead for short term / capacity loading and overheads absorption, </t>
        </r>
        <r>
          <rPr>
            <b/>
            <sz val="11"/>
            <color indexed="81"/>
            <rFont val="Tahoma"/>
            <family val="2"/>
          </rPr>
          <t xml:space="preserve">then enter the estimated adjustment (as + positive number) to remove the fixed cost component of FS rate. 
</t>
        </r>
        <r>
          <rPr>
            <sz val="11"/>
            <color indexed="81"/>
            <rFont val="Tahoma"/>
            <family val="2"/>
          </rPr>
          <t xml:space="preserve">
The remaining cost in PNL represents variable (or incremental) cost only. If this RFQ has no incremental cost and provided both criteria above are met, then the PNL cost should be fully eliminated</t>
        </r>
      </text>
    </comment>
    <comment ref="J151" authorId="1" shapeId="0" xr:uid="{C8878C48-A397-4DF6-9B94-FDCCB9332F33}">
      <text>
        <r>
          <rPr>
            <b/>
            <sz val="10"/>
            <color indexed="81"/>
            <rFont val="Tahoma"/>
            <family val="2"/>
          </rPr>
          <t>Input amortization of Interplex co-invested tooling or automation. For use of the amortization reflected in the CBD is incorrect.</t>
        </r>
        <r>
          <rPr>
            <sz val="10"/>
            <color indexed="81"/>
            <rFont val="Tahoma"/>
            <family val="2"/>
          </rPr>
          <t xml:space="preserve">
Note: Tooling/Automation co-invest must be 100% amortized by end of project. Otherwise, model will return an error message. Amortization period (period of recovery from customer) should not exceed 3 years, or maximum of 5 years for very large strategic projects.
To check if you have fully amortized the co-investment, refer to Section 1C or Section 4A (Balance Sheet). These section will show the Unamortized Balance, if any.
</t>
        </r>
      </text>
    </comment>
    <comment ref="J152" authorId="0" shapeId="0" xr:uid="{132AB72F-62DF-43A7-8923-218012A6EDFA}">
      <text>
        <r>
          <rPr>
            <sz val="11"/>
            <color indexed="81"/>
            <rFont val="Tahoma"/>
            <family val="2"/>
          </rPr>
          <t xml:space="preserve">Available for use for </t>
        </r>
        <r>
          <rPr>
            <b/>
            <sz val="11"/>
            <color indexed="81"/>
            <rFont val="Tahoma"/>
            <family val="2"/>
          </rPr>
          <t>exceptional or one-off costs</t>
        </r>
        <r>
          <rPr>
            <sz val="11"/>
            <color indexed="81"/>
            <rFont val="Tahoma"/>
            <family val="2"/>
          </rPr>
          <t xml:space="preserve">. Enter in the year that expense is expected to occur. e.g.
1. Pre-production cost (IDL/DL recruitment/training, site preparation, etc.) 
2. Business links, rebates
3. Write off of surplus / obsolete inventory due to vendor MOQ
</t>
        </r>
      </text>
    </comment>
    <comment ref="J156" authorId="1" shapeId="0" xr:uid="{D4644888-5E02-4AA5-9A29-332F09F41056}">
      <text>
        <r>
          <rPr>
            <b/>
            <sz val="11"/>
            <color indexed="81"/>
            <rFont val="Tahoma"/>
            <family val="2"/>
          </rPr>
          <t xml:space="preserve">If, 
</t>
        </r>
        <r>
          <rPr>
            <sz val="11"/>
            <color indexed="81"/>
            <rFont val="Tahoma"/>
            <family val="2"/>
          </rPr>
          <t xml:space="preserve">1) the S&amp;M and R&amp;D rate in CBD is based on full absorption cost, and
2) this RFQ is not an anchor program, but is instead for short term / capacity loading and overheads absorption, </t>
        </r>
        <r>
          <rPr>
            <b/>
            <sz val="11"/>
            <color indexed="81"/>
            <rFont val="Tahoma"/>
            <family val="2"/>
          </rPr>
          <t xml:space="preserve">then enter the estimated adjustment (as + positive number) to remove the fixed cost component of the overheads rate. 
</t>
        </r>
        <r>
          <rPr>
            <sz val="11"/>
            <color indexed="81"/>
            <rFont val="Tahoma"/>
            <family val="2"/>
          </rPr>
          <t xml:space="preserve">
The remaining cost in PNL represents variable (or incremental) cost only. If this RFQ has no incremental cost and provided both criteria above are met, then the PNL cost should be fully eliminated.</t>
        </r>
      </text>
    </comment>
    <comment ref="J157" authorId="1" shapeId="0" xr:uid="{8C7ED0D7-88E3-46AA-84AC-C7D9F96C4CE3}">
      <text>
        <r>
          <rPr>
            <b/>
            <sz val="11"/>
            <color indexed="81"/>
            <rFont val="Tahoma"/>
            <family val="2"/>
          </rPr>
          <t xml:space="preserve">If, 
</t>
        </r>
        <r>
          <rPr>
            <sz val="11"/>
            <color indexed="81"/>
            <rFont val="Tahoma"/>
            <family val="2"/>
          </rPr>
          <t xml:space="preserve">1) the IDL rate in CBD is based on full absorption cost, and
2) this RFQ is not an anchor program, but is instead for short term / capacity loading and overheads absorption, </t>
        </r>
        <r>
          <rPr>
            <b/>
            <sz val="11"/>
            <color indexed="81"/>
            <rFont val="Tahoma"/>
            <family val="2"/>
          </rPr>
          <t xml:space="preserve">then enter the estimated adjustment (as + positive number) to remove the fixed cost component of IDL rate. 
</t>
        </r>
        <r>
          <rPr>
            <sz val="11"/>
            <color indexed="81"/>
            <rFont val="Tahoma"/>
            <family val="2"/>
          </rPr>
          <t xml:space="preserve">
The remaining cost in PNL represents variable (or incremental) cost only. If this RFQ has no incremental cost and provided both criteria above are met, then the PNL cost should be fully eliminated.</t>
        </r>
      </text>
    </comment>
    <comment ref="J170" authorId="0" shapeId="0" xr:uid="{167AC30D-F09E-4339-8F59-54CE2FB0FE1A}">
      <text>
        <r>
          <rPr>
            <sz val="11"/>
            <color indexed="81"/>
            <rFont val="Tahoma"/>
            <family val="2"/>
          </rPr>
          <t>Note: this model does not account for deferred tax asset arising from PNL losses (due to complications on cash flow statement). Therefore the PNL does not show a tax credit in event of losses.</t>
        </r>
      </text>
    </comment>
    <comment ref="J211" authorId="0" shapeId="0" xr:uid="{0E9841CA-4CC4-4A93-AD6A-9510A9F67539}">
      <text>
        <r>
          <rPr>
            <sz val="11"/>
            <color indexed="81"/>
            <rFont val="Tahoma"/>
            <family val="2"/>
          </rPr>
          <t xml:space="preserve">Trade payables = (COGS + Production Cost x 30%*) x Acct Payable Days / 365
*Only 30% of Production Cost is used as a large proportion is paid only without any credit terms e.g. IDL wages or salaries, rentals, etc.
</t>
        </r>
      </text>
    </comment>
    <comment ref="N294" authorId="0" shapeId="0" xr:uid="{B9A39081-F93F-4533-B20F-2DCBEA195490}">
      <text>
        <r>
          <rPr>
            <sz val="11"/>
            <color indexed="81"/>
            <rFont val="Tahoma"/>
            <family val="2"/>
          </rPr>
          <t xml:space="preserve">Depreciation for 1st year of revenue assumed to be 50% of annual straightline depreciation on the simplified assumption that capex was put in service in mid-year.
</t>
        </r>
      </text>
    </comment>
    <comment ref="J326" authorId="0" shapeId="0" xr:uid="{CA6FB2E7-E253-447A-9DF6-CBECF55B7EB1}">
      <text>
        <r>
          <rPr>
            <sz val="11"/>
            <color indexed="81"/>
            <rFont val="Tahoma"/>
            <family val="2"/>
          </rPr>
          <t>Payback period of capex is calculated as the time taken for cash generated from the project to recover the cost of capex (starting from the year capex is first incurred).</t>
        </r>
        <r>
          <rPr>
            <b/>
            <sz val="11"/>
            <color indexed="81"/>
            <rFont val="Tahoma"/>
            <family val="2"/>
          </rPr>
          <t xml:space="preserve"> 
Note: 
</t>
        </r>
        <r>
          <rPr>
            <sz val="11"/>
            <color indexed="81"/>
            <rFont val="Tahoma"/>
            <family val="2"/>
          </rPr>
          <t xml:space="preserve">For simplicity, the 1st year of capex is considered 0.5 years (i.e. assumes capex incurred at mid-year)
The cash flow is nominal i.e. undiscounted. </t>
        </r>
      </text>
    </comment>
    <comment ref="J329" authorId="0" shapeId="0" xr:uid="{B895F3CC-8FDF-446D-A8C3-20A09698D730}">
      <text>
        <r>
          <rPr>
            <sz val="11"/>
            <color indexed="81"/>
            <rFont val="Tahoma"/>
            <family val="2"/>
          </rPr>
          <t>Payback period of capex is calculated as the time taken for cash generated from the project to recover the cost of capex (starting from the year capex is first incurred).</t>
        </r>
        <r>
          <rPr>
            <b/>
            <sz val="11"/>
            <color indexed="81"/>
            <rFont val="Tahoma"/>
            <family val="2"/>
          </rPr>
          <t xml:space="preserve"> 
Note: 
</t>
        </r>
        <r>
          <rPr>
            <sz val="11"/>
            <color indexed="81"/>
            <rFont val="Tahoma"/>
            <family val="2"/>
          </rPr>
          <t xml:space="preserve">For simplicity, the 1st year of capex is considered 0.5 years (i.e. assumes capex incurred at mid-year)
The cash flow is nominal i.e. undiscounted.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Tomchi</author>
    <author>Tom LAM</author>
  </authors>
  <commentList>
    <comment ref="J7" authorId="0" shapeId="0" xr:uid="{D3CDEFB1-6D2F-473E-8B43-84A0ED07C45E}">
      <text>
        <r>
          <rPr>
            <sz val="12"/>
            <color indexed="81"/>
            <rFont val="Tahoma"/>
            <family val="2"/>
          </rPr>
          <t>Originator: T.Lam; Reviewed &amp; Approved by: J.Soon</t>
        </r>
        <r>
          <rPr>
            <b/>
            <sz val="12"/>
            <color indexed="81"/>
            <rFont val="Tahoma"/>
            <family val="2"/>
          </rPr>
          <t xml:space="preserve">
Revision History:
v0.1</t>
        </r>
        <r>
          <rPr>
            <sz val="12"/>
            <color indexed="81"/>
            <rFont val="Tahoma"/>
            <family val="2"/>
          </rPr>
          <t xml:space="preserve"> dd 131022: Issued for testing and feedback
</t>
        </r>
        <r>
          <rPr>
            <b/>
            <sz val="12"/>
            <color indexed="81"/>
            <rFont val="Tahoma"/>
            <family val="2"/>
          </rPr>
          <t>v0.2</t>
        </r>
        <r>
          <rPr>
            <sz val="12"/>
            <color indexed="81"/>
            <rFont val="Tahoma"/>
            <family val="2"/>
          </rPr>
          <t xml:space="preserve"> dd 141022: Updated for integration to CBD standard template. Formating, cell notes and formula changes.
</t>
        </r>
        <r>
          <rPr>
            <b/>
            <sz val="12"/>
            <color indexed="81"/>
            <rFont val="Tahoma"/>
            <family val="2"/>
          </rPr>
          <t>V0.3</t>
        </r>
        <r>
          <rPr>
            <sz val="12"/>
            <color indexed="81"/>
            <rFont val="Tahoma"/>
            <family val="2"/>
          </rPr>
          <t xml:space="preserve"> dd 181022: Further integration to CBD. capex (2B1) to hard code link to CBD Investment, inserted a new row (2B2) for manual capex input. Hard code the linked of Year 1 number of days of revenue to CQSC (2D). Refinement to year 1 calculation of ROI.
</t>
        </r>
        <r>
          <rPr>
            <b/>
            <sz val="12"/>
            <color indexed="81"/>
            <rFont val="Tahoma"/>
            <family val="2"/>
          </rPr>
          <t>V1.0</t>
        </r>
        <r>
          <rPr>
            <sz val="12"/>
            <color indexed="81"/>
            <rFont val="Tahoma"/>
            <family val="2"/>
          </rPr>
          <t xml:space="preserve"> dd 271022: Issued for pilot testing and implementation as part of CQSC integrated package. Created inventory components
</t>
        </r>
        <r>
          <rPr>
            <b/>
            <sz val="12"/>
            <color indexed="81"/>
            <rFont val="Tahoma"/>
            <family val="2"/>
          </rPr>
          <t>V1.1</t>
        </r>
        <r>
          <rPr>
            <sz val="12"/>
            <color indexed="81"/>
            <rFont val="Tahoma"/>
            <family val="2"/>
          </rPr>
          <t xml:space="preserve"> dd 051122: Debugging. Issued for pilot testing and implementation
</t>
        </r>
        <r>
          <rPr>
            <b/>
            <sz val="12"/>
            <color indexed="81"/>
            <rFont val="Tahoma"/>
            <family val="2"/>
          </rPr>
          <t xml:space="preserve">V1.2 </t>
        </r>
        <r>
          <rPr>
            <sz val="12"/>
            <color indexed="81"/>
            <rFont val="Tahoma"/>
            <family val="2"/>
          </rPr>
          <t xml:space="preserve">dd 131222 &amp; 040123: Tooling recoverable calculation tables in 2 places (1)Tooling Milestone calculation table column AE, (2) manual input. If method (1) Tooling Milestone calculation table is used, then Peak Funding Gap now includes maximum CF deficit due to tool payment vs customer collection. Total Investment includes Tooling PNL Loss. Debugging. 
</t>
        </r>
        <r>
          <rPr>
            <b/>
            <sz val="12"/>
            <color indexed="81"/>
            <rFont val="Tahoma"/>
            <family val="2"/>
          </rPr>
          <t>V1.3</t>
        </r>
        <r>
          <rPr>
            <sz val="12"/>
            <color indexed="81"/>
            <rFont val="Tahoma"/>
            <family val="2"/>
          </rPr>
          <t xml:space="preserve"> dd 190323: Split Investment between Capex vs Tooling investment / Deficit, new metrix EBIT% Total Revenue, Debugging: Updated Check formula to exclude Tooling recoverable offset, Typos, etc. All changes has no impact on PNL or ROI calculation. [CQSC: Investment tab depreciation schedule for capex, link to SFP254 depreciation life.]
</t>
        </r>
        <r>
          <rPr>
            <b/>
            <sz val="12"/>
            <color indexed="81"/>
            <rFont val="Tahoma"/>
            <family val="2"/>
          </rPr>
          <t>V1.3</t>
        </r>
        <r>
          <rPr>
            <sz val="12"/>
            <color indexed="81"/>
            <rFont val="Tahoma"/>
            <family val="2"/>
          </rPr>
          <t xml:space="preserve"> dd 200323: Debugging - corrected summation formula for Tooling Margin (row 142) and EBITDA per CBD (row 143).
</t>
        </r>
        <r>
          <rPr>
            <b/>
            <sz val="12"/>
            <color indexed="81"/>
            <rFont val="Tahoma"/>
            <family val="2"/>
          </rPr>
          <t>V1.4</t>
        </r>
        <r>
          <rPr>
            <sz val="12"/>
            <color indexed="81"/>
            <rFont val="Tahoma"/>
            <family val="2"/>
          </rPr>
          <t xml:space="preserve"> dd 190523: Creation of Section 9, being a replica of Section 1 but values are displayed in USD for presentation purposes. [date 020623] Section 7B, 1st Yr ROI starts if CF exceeds -0.05% of LTR (e.g. -$5K for LTR $10m), Section 1C, Ave Annual WC$ calculation excl 1st yr. [date 210623] In the Consol worksheet, Unlocked depreciation life on row 94 for manual input. No changes in formula or format. Updated Year furmula in AR73-87 in case mismatch btw tool fabrication year vs header years. Section1: EBITDA% formula use total revenue as denominator. [date 260623] Inserted Section 10, Charts for presentation.[050723] Depreciation cal in 1st Yr rev, row294, based on SOP mth (prev 50%). [180723] Debugging GP% at L375. [201223] Debugging ROI interval-yr glitch, Row 326 ROI count all Yrs w -ve Cum CF &gt;0.05%LTR Rev. [050124] Inserted IRR% for ref in K37, In CQSC file, starting Year N11 link to Part CBD and created new worksheet for USD Only Pre-CER as common currency for multi-programs consolidation. [100124] Tooling CBD: Year formula Z81 for Ph2 start date fail-safe; section 8 Scorecard "Rev (Parts+Tooling)", update Direct Method CF (row251) for presentation only. [230124] WACC display cell K392 updated. No chnge to calculations.[310124] CQSC update to v33
</t>
        </r>
        <r>
          <rPr>
            <b/>
            <sz val="12"/>
            <color indexed="81"/>
            <rFont val="Tahoma"/>
            <family val="2"/>
          </rPr>
          <t>v1.5</t>
        </r>
        <r>
          <rPr>
            <sz val="12"/>
            <color indexed="81"/>
            <rFont val="Tahoma"/>
            <family val="2"/>
          </rPr>
          <t xml:space="preserve"> dd090424. Updated formula in cells N78 and O78 to compute Revenue Days in SOP year in different scenarios. Revenue Days impact working capital calculation. </t>
        </r>
      </text>
    </comment>
    <comment ref="L8" authorId="1" shapeId="0" xr:uid="{C94F224F-7FB3-4CEE-B677-3173245DEE90}">
      <text>
        <r>
          <rPr>
            <sz val="12"/>
            <color indexed="81"/>
            <rFont val="Tahoma"/>
            <family val="2"/>
          </rPr>
          <t xml:space="preserve">If the autofill data is not correct, please overwrite this cell with the correct data or assumption.
</t>
        </r>
      </text>
    </comment>
    <comment ref="AC9" authorId="0" shapeId="0" xr:uid="{23BC6232-C861-44B7-916F-2269523B3CAB}">
      <text>
        <r>
          <rPr>
            <sz val="11"/>
            <color indexed="81"/>
            <rFont val="Tahoma"/>
            <family val="2"/>
          </rPr>
          <t xml:space="preserve">Cell shows results (or output) of financial model based on inputs entered. </t>
        </r>
        <r>
          <rPr>
            <b/>
            <sz val="11"/>
            <color indexed="81"/>
            <rFont val="Tahoma"/>
            <family val="2"/>
          </rPr>
          <t>Do NOT enter data into this cell</t>
        </r>
        <r>
          <rPr>
            <sz val="11"/>
            <color indexed="81"/>
            <rFont val="Tahoma"/>
            <family val="2"/>
          </rPr>
          <t xml:space="preserve">
</t>
        </r>
      </text>
    </comment>
    <comment ref="L11" authorId="1" shapeId="0" xr:uid="{057B4D0A-C61E-4FFC-B71C-1CAD3D0FA542}">
      <text>
        <r>
          <rPr>
            <sz val="12"/>
            <color indexed="81"/>
            <rFont val="Tahoma"/>
            <family val="2"/>
          </rPr>
          <t xml:space="preserve">Insert the </t>
        </r>
        <r>
          <rPr>
            <b/>
            <sz val="12"/>
            <color indexed="81"/>
            <rFont val="Tahoma"/>
            <family val="2"/>
          </rPr>
          <t>Calendar Year of SOP</t>
        </r>
        <r>
          <rPr>
            <sz val="12"/>
            <color indexed="81"/>
            <rFont val="Tahoma"/>
            <family val="2"/>
          </rPr>
          <t xml:space="preserve">
If the autofill data is not correct, please overwrite this cell with the correct data or assumption.
</t>
        </r>
      </text>
    </comment>
    <comment ref="L12" authorId="1" shapeId="0" xr:uid="{D4C77815-2271-49AC-8120-19177EFFBEB2}">
      <text>
        <r>
          <rPr>
            <sz val="12"/>
            <color indexed="81"/>
            <rFont val="Tahoma"/>
            <family val="2"/>
          </rPr>
          <t xml:space="preserve">Insert the </t>
        </r>
        <r>
          <rPr>
            <b/>
            <sz val="12"/>
            <color indexed="81"/>
            <rFont val="Tahoma"/>
            <family val="2"/>
          </rPr>
          <t>Calendar month of SOP in Year 1</t>
        </r>
        <r>
          <rPr>
            <sz val="12"/>
            <color indexed="81"/>
            <rFont val="Tahoma"/>
            <family val="2"/>
          </rPr>
          <t xml:space="preserve">
If the autofill data is not correct, please overwrite this cell with the correct data or assumption.
</t>
        </r>
      </text>
    </comment>
    <comment ref="N12" authorId="1" shapeId="0" xr:uid="{E7CB1026-0F79-49BF-A35C-AC2DE9B06C77}">
      <text>
        <r>
          <rPr>
            <b/>
            <sz val="9"/>
            <color indexed="81"/>
            <rFont val="Tahoma"/>
            <family val="2"/>
          </rPr>
          <t>Insert if Calendar Year or Interplex Fiscal Year</t>
        </r>
        <r>
          <rPr>
            <sz val="9"/>
            <color indexed="81"/>
            <rFont val="Tahoma"/>
            <family val="2"/>
          </rPr>
          <t xml:space="preserve">
</t>
        </r>
      </text>
    </comment>
    <comment ref="I14" authorId="0" shapeId="0" xr:uid="{80BCCE72-5C3D-4DE7-AF62-155D3A034DA9}">
      <text>
        <r>
          <rPr>
            <b/>
            <sz val="11"/>
            <color indexed="81"/>
            <rFont val="Tahoma"/>
            <family val="2"/>
          </rPr>
          <t xml:space="preserve">Sections A and B should be used when presenting the RFQ or CER for Corporate Approval. The CER financial model must be sent at least 3 working days before the presentation </t>
        </r>
        <r>
          <rPr>
            <sz val="11"/>
            <color indexed="81"/>
            <rFont val="Tahoma"/>
            <family val="2"/>
          </rPr>
          <t xml:space="preserve">
</t>
        </r>
      </text>
    </comment>
    <comment ref="J26" authorId="0" shapeId="0" xr:uid="{9255C140-3697-497D-8122-EA66266278D0}">
      <text>
        <r>
          <rPr>
            <b/>
            <sz val="10"/>
            <color indexed="81"/>
            <rFont val="Tahoma"/>
            <family val="2"/>
          </rPr>
          <t>Funding requirement for the year measured at year-end, after taking into account all cash collection made from customer during the year. This is for payment of capex, tooling, working capital, operating cost but partly offset by collections made during the year
Note:</t>
        </r>
        <r>
          <rPr>
            <sz val="10"/>
            <color indexed="81"/>
            <rFont val="Tahoma"/>
            <family val="2"/>
          </rPr>
          <t xml:space="preserve"> In contrast, Peak Funding gap is the maximum gap at the start of project during the DSO period (after payment of capex, expenses and inventory) but before any cash collection is made from customer
</t>
        </r>
      </text>
    </comment>
    <comment ref="J27" authorId="0" shapeId="0" xr:uid="{41DE9197-0384-480D-90AC-5C1B29EBBBD0}">
      <text>
        <r>
          <rPr>
            <b/>
            <sz val="9"/>
            <color indexed="81"/>
            <rFont val="Tahoma"/>
            <family val="2"/>
          </rPr>
          <t xml:space="preserve">Peak funding gap is the cash needed at project start-up before any customer collection have been made*. This is to pay for capex, inventory and expenses at the very begining of the project. Funding gap must be financed out of existing cash balances.
</t>
        </r>
        <r>
          <rPr>
            <sz val="9"/>
            <color indexed="81"/>
            <rFont val="Tahoma"/>
            <family val="2"/>
          </rPr>
          <t xml:space="preserve">* Note: Collection occurs after product delivery, invoicing and customer payment. Higher capex, revenue, DSO, DIO and lower DPO will results in greater amount of funding requirement. </t>
        </r>
      </text>
    </comment>
    <comment ref="J34" authorId="1" shapeId="0" xr:uid="{9A43DD94-93F3-4F70-9465-62E9CA13A29B}">
      <text>
        <r>
          <rPr>
            <sz val="10"/>
            <color indexed="81"/>
            <rFont val="Tahoma"/>
            <family val="2"/>
          </rPr>
          <t>Project cumulative cash flow is typically negative at the commencement (due to investments, inventory purchases, etc) and turns positive after suffiicient cash flow has been cumulatively collected to cover the initial outlay. 
ROI is the forecasted period of time required to achieve CF break even between initial outlay and net cash collected (after paying all operating expenses)</t>
        </r>
      </text>
    </comment>
    <comment ref="K34" authorId="0" shapeId="0" xr:uid="{740064EA-D999-4D92-881E-3790B801958B}">
      <text>
        <r>
          <rPr>
            <b/>
            <sz val="11"/>
            <color indexed="81"/>
            <rFont val="Tahoma"/>
            <family val="2"/>
          </rPr>
          <t xml:space="preserve">CPCF multiple </t>
        </r>
        <r>
          <rPr>
            <sz val="11"/>
            <color indexed="81"/>
            <rFont val="Tahoma"/>
            <family val="2"/>
          </rPr>
          <t xml:space="preserve">measures the multiple of cash returns from the investment, and is useful for ranking of different investment options. A project with higher multiple is in general more attractive than a project with a lower multiple because the higher multiple project returns more cash per $ invested. However, it is important to consider how far in future the cash is generated. A longer period increases risk and reduces the present value of that cash flow 
CPCF multiple is calculated as Cumulative Project Cash Flow divided by Total Funding requirement.
</t>
        </r>
      </text>
    </comment>
    <comment ref="J35" authorId="0" shapeId="0" xr:uid="{A60B13B6-1690-4DB4-BD3A-8116AAB99CF9}">
      <text>
        <r>
          <rPr>
            <b/>
            <sz val="11"/>
            <color indexed="81"/>
            <rFont val="Tahoma"/>
            <family val="2"/>
          </rPr>
          <t>ROI or Payback period</t>
        </r>
        <r>
          <rPr>
            <sz val="11"/>
            <color indexed="81"/>
            <rFont val="Tahoma"/>
            <family val="2"/>
          </rPr>
          <t xml:space="preserve"> of investment is calculated as the time taken for operating cash flows generated from the project to recover the cost of capex, tooling co-invest if any, and working capital. 
Note: 
For simplicity, in Year 1, a sliding scale of time period is assumed for calculation of ROI depending on the month of SOP:
SOP in month 1-3 (Jan-Mar) </t>
        </r>
        <r>
          <rPr>
            <b/>
            <sz val="11"/>
            <color indexed="81"/>
            <rFont val="Tahoma"/>
            <family val="2"/>
          </rPr>
          <t xml:space="preserve">0.25 </t>
        </r>
        <r>
          <rPr>
            <sz val="11"/>
            <color indexed="81"/>
            <rFont val="Tahoma"/>
            <family val="2"/>
          </rPr>
          <t xml:space="preserve">years 
SOP in month 4-9 (Apr-Sep) </t>
        </r>
        <r>
          <rPr>
            <b/>
            <sz val="11"/>
            <color indexed="81"/>
            <rFont val="Tahoma"/>
            <family val="2"/>
          </rPr>
          <t xml:space="preserve">0.5 </t>
        </r>
        <r>
          <rPr>
            <sz val="11"/>
            <color indexed="81"/>
            <rFont val="Tahoma"/>
            <family val="2"/>
          </rPr>
          <t xml:space="preserve">years 
SOP in month 1-3 (Oct-Dec) </t>
        </r>
        <r>
          <rPr>
            <b/>
            <sz val="11"/>
            <color indexed="81"/>
            <rFont val="Tahoma"/>
            <family val="2"/>
          </rPr>
          <t>0.75</t>
        </r>
        <r>
          <rPr>
            <sz val="11"/>
            <color indexed="81"/>
            <rFont val="Tahoma"/>
            <family val="2"/>
          </rPr>
          <t xml:space="preserve"> years</t>
        </r>
      </text>
    </comment>
    <comment ref="J36" authorId="1" shapeId="0" xr:uid="{883E61D6-5F54-44EB-B99A-7EF99C3BCAFE}">
      <text>
        <r>
          <rPr>
            <sz val="10"/>
            <color indexed="81"/>
            <rFont val="Tahoma"/>
            <family val="2"/>
          </rPr>
          <t xml:space="preserve">Represents the value of the project in terms of incremental future net cash flow after paying for initial outlays and operating expenses. Cash Flow is discounted to today's value using WACC (weighted average cost of capital) as stated. </t>
        </r>
      </text>
    </comment>
    <comment ref="J42" authorId="0" shapeId="0" xr:uid="{8869C661-9C8A-40B0-891F-FED6A6AB0003}">
      <text>
        <r>
          <rPr>
            <b/>
            <sz val="11"/>
            <color indexed="81"/>
            <rFont val="Tahoma"/>
            <family val="2"/>
          </rPr>
          <t xml:space="preserve">Inventory for Raw Materials, Purchase Components, Sub-Contracted works and packaging. 
</t>
        </r>
        <r>
          <rPr>
            <u/>
            <sz val="11"/>
            <color indexed="81"/>
            <rFont val="Tahoma"/>
            <family val="2"/>
          </rPr>
          <t>Factors impacting RM Inventory days:</t>
        </r>
        <r>
          <rPr>
            <b/>
            <sz val="11"/>
            <color indexed="81"/>
            <rFont val="Tahoma"/>
            <family val="2"/>
          </rPr>
          <t xml:space="preserve"> 
</t>
        </r>
        <r>
          <rPr>
            <sz val="11"/>
            <color indexed="81"/>
            <rFont val="Tahoma"/>
            <family val="2"/>
          </rPr>
          <t>1)</t>
        </r>
        <r>
          <rPr>
            <b/>
            <sz val="11"/>
            <color indexed="81"/>
            <rFont val="Tahoma"/>
            <family val="2"/>
          </rPr>
          <t xml:space="preserve"> Supplier's MOQ (mininum purchase quantity)</t>
        </r>
        <r>
          <rPr>
            <sz val="11"/>
            <color indexed="81"/>
            <rFont val="Tahoma"/>
            <family val="2"/>
          </rPr>
          <t>. A high MOQ will result in a higher level of inventory purchase relative to amount required for consumption
2)</t>
        </r>
        <r>
          <rPr>
            <b/>
            <sz val="11"/>
            <color indexed="81"/>
            <rFont val="Tahoma"/>
            <family val="2"/>
          </rPr>
          <t xml:space="preserve"> Supplier's Lead time</t>
        </r>
        <r>
          <rPr>
            <sz val="11"/>
            <color indexed="81"/>
            <rFont val="Tahoma"/>
            <family val="2"/>
          </rPr>
          <t xml:space="preserve">. A longer lead time from PO placement to arrival of delivery may lead to higher RM inventory
3) </t>
        </r>
        <r>
          <rPr>
            <b/>
            <sz val="11"/>
            <color indexed="81"/>
            <rFont val="Tahoma"/>
            <family val="2"/>
          </rPr>
          <t>Freight &amp; Handling</t>
        </r>
        <r>
          <rPr>
            <sz val="11"/>
            <color indexed="81"/>
            <rFont val="Tahoma"/>
            <family val="2"/>
          </rPr>
          <t xml:space="preserve">. Longer time for freight, customs clearance and handling may lead to higher RM inventory
</t>
        </r>
      </text>
    </comment>
    <comment ref="J43" authorId="0" shapeId="0" xr:uid="{8A53C5B0-8D07-4FA7-B624-BD5E5515F288}">
      <text>
        <r>
          <rPr>
            <b/>
            <sz val="11"/>
            <color indexed="81"/>
            <rFont val="Tahoma"/>
            <family val="2"/>
          </rPr>
          <t xml:space="preserve">Inventory for WIP in production or held as semi-finished components.
</t>
        </r>
        <r>
          <rPr>
            <u/>
            <sz val="11"/>
            <color indexed="81"/>
            <rFont val="Tahoma"/>
            <family val="2"/>
          </rPr>
          <t xml:space="preserve">Factors impacting WIP DIO: </t>
        </r>
        <r>
          <rPr>
            <b/>
            <sz val="11"/>
            <color indexed="81"/>
            <rFont val="Tahoma"/>
            <family val="2"/>
          </rPr>
          <t xml:space="preserve">
A) Manufacturing lead time; </t>
        </r>
        <r>
          <rPr>
            <sz val="11"/>
            <color indexed="81"/>
            <rFont val="Tahoma"/>
            <family val="2"/>
          </rPr>
          <t xml:space="preserve">Longer manufacturing lead time may results in higher WIP inventory levels
</t>
        </r>
        <r>
          <rPr>
            <b/>
            <sz val="11"/>
            <color indexed="81"/>
            <rFont val="Tahoma"/>
            <family val="2"/>
          </rPr>
          <t>B) Production Batch Size vs Customer MOQ.</t>
        </r>
        <r>
          <rPr>
            <sz val="11"/>
            <color indexed="81"/>
            <rFont val="Tahoma"/>
            <family val="2"/>
          </rPr>
          <t xml:space="preserve"> If production batch size is greater than Customer MOQ, there may be surplus production and higher WIP
</t>
        </r>
        <r>
          <rPr>
            <b/>
            <sz val="11"/>
            <color indexed="81"/>
            <rFont val="Tahoma"/>
            <family val="2"/>
          </rPr>
          <t xml:space="preserve">C) Surplus labour capacity </t>
        </r>
        <r>
          <rPr>
            <sz val="11"/>
            <color indexed="81"/>
            <rFont val="Tahoma"/>
            <family val="2"/>
          </rPr>
          <t xml:space="preserve">at plant resulting in level loading. Level loading (producing beyond customer demand in order to utilize or absorp labour) may result in higher WIP
</t>
        </r>
        <r>
          <rPr>
            <b/>
            <sz val="11"/>
            <color indexed="81"/>
            <rFont val="Tahoma"/>
            <family val="2"/>
          </rPr>
          <t>D) Product complexity and number of child parts.</t>
        </r>
        <r>
          <rPr>
            <sz val="11"/>
            <color indexed="81"/>
            <rFont val="Tahoma"/>
            <family val="2"/>
          </rPr>
          <t xml:space="preserve"> Higher complexity/child parts may result in holding of semi-finished component awaiting final assembly 
</t>
        </r>
      </text>
    </comment>
    <comment ref="J44" authorId="0" shapeId="0" xr:uid="{94B2F8D1-F7DB-4324-B761-562609658F88}">
      <text>
        <r>
          <rPr>
            <b/>
            <sz val="11"/>
            <color indexed="81"/>
            <rFont val="Tahoma"/>
            <family val="2"/>
          </rPr>
          <t>Inventory for Finished Goods held at Site based on Interplex's requirements</t>
        </r>
        <r>
          <rPr>
            <sz val="11"/>
            <color indexed="81"/>
            <rFont val="Tahoma"/>
            <family val="2"/>
          </rPr>
          <t xml:space="preserve"> in order to </t>
        </r>
        <r>
          <rPr>
            <u/>
            <sz val="11"/>
            <color indexed="81"/>
            <rFont val="Tahoma"/>
            <family val="2"/>
          </rPr>
          <t>meet our contractual obligation to customer</t>
        </r>
        <r>
          <rPr>
            <sz val="11"/>
            <color indexed="81"/>
            <rFont val="Tahoma"/>
            <family val="2"/>
          </rPr>
          <t xml:space="preserve"> for timely and sufficient supply. Excluding an in-transit inventory to customer location (per Incoterms), VMI or Hub arrangements.
</t>
        </r>
        <r>
          <rPr>
            <b/>
            <sz val="11"/>
            <color indexed="81"/>
            <rFont val="Tahoma"/>
            <family val="2"/>
          </rPr>
          <t xml:space="preserve">
</t>
        </r>
        <r>
          <rPr>
            <u/>
            <sz val="11"/>
            <color indexed="81"/>
            <rFont val="Tahoma"/>
            <family val="2"/>
          </rPr>
          <t xml:space="preserve">Factors impacting FG DIO at Site: </t>
        </r>
        <r>
          <rPr>
            <b/>
            <sz val="11"/>
            <color indexed="81"/>
            <rFont val="Tahoma"/>
            <family val="2"/>
          </rPr>
          <t xml:space="preserve">
</t>
        </r>
        <r>
          <rPr>
            <sz val="11"/>
            <color indexed="81"/>
            <rFont val="Tahoma"/>
            <family val="2"/>
          </rPr>
          <t xml:space="preserve">1) </t>
        </r>
        <r>
          <rPr>
            <b/>
            <sz val="11"/>
            <color indexed="81"/>
            <rFont val="Tahoma"/>
            <family val="2"/>
          </rPr>
          <t>Routine safety stock</t>
        </r>
        <r>
          <rPr>
            <sz val="11"/>
            <color indexed="81"/>
            <rFont val="Tahoma"/>
            <family val="2"/>
          </rPr>
          <t xml:space="preserve">. Stock maintained by Site to mitigate production delays or due to production level loading.
2) </t>
        </r>
        <r>
          <rPr>
            <b/>
            <sz val="11"/>
            <color indexed="81"/>
            <rFont val="Tahoma"/>
            <family val="2"/>
          </rPr>
          <t>Build to Customer's Forecast contract terms</t>
        </r>
        <r>
          <rPr>
            <sz val="11"/>
            <color indexed="81"/>
            <rFont val="Tahoma"/>
            <family val="2"/>
          </rPr>
          <t xml:space="preserve">. Site may have to maintain safety stock awaiting customer collection, or surplus stock if customer actual demand fall short of forecast.
3) </t>
        </r>
        <r>
          <rPr>
            <b/>
            <sz val="11"/>
            <color indexed="81"/>
            <rFont val="Tahoma"/>
            <family val="2"/>
          </rPr>
          <t>Production batch size is greater than Customer MOQ</t>
        </r>
        <r>
          <rPr>
            <sz val="11"/>
            <color indexed="81"/>
            <rFont val="Tahoma"/>
            <family val="2"/>
          </rPr>
          <t xml:space="preserve">. Surplus stock because production quantities exceeds customer minimum order quantity
4) </t>
        </r>
        <r>
          <rPr>
            <b/>
            <sz val="11"/>
            <color indexed="81"/>
            <rFont val="Tahoma"/>
            <family val="2"/>
          </rPr>
          <t>Customer lead time less than production lead time</t>
        </r>
        <r>
          <rPr>
            <sz val="11"/>
            <color indexed="81"/>
            <rFont val="Tahoma"/>
            <family val="2"/>
          </rPr>
          <t xml:space="preserve">. Higher safety stock to meet customer demand timely, because its too late to only start production after receipt of PO. e.g. if customer lead time is 2 day from PO, but mfg lead time is 6 days, then safety stock up to 3x (depending on size of customer order)
</t>
        </r>
      </text>
    </comment>
    <comment ref="J45" authorId="0" shapeId="0" xr:uid="{EB180859-FA53-4238-B331-06DF8EFB5E52}">
      <text>
        <r>
          <rPr>
            <b/>
            <sz val="11"/>
            <color indexed="81"/>
            <rFont val="Tahoma"/>
            <family val="2"/>
          </rPr>
          <t xml:space="preserve">Inventory of Finished Goods in transit, at logistics hub, at customer premises under Hub or VMI (to be sold upon consumption). </t>
        </r>
        <r>
          <rPr>
            <sz val="11"/>
            <color indexed="81"/>
            <rFont val="Tahoma"/>
            <family val="2"/>
          </rPr>
          <t>This stock-in-transit &amp; stock-at-hub are on top of the stock held for Site's requirements.</t>
        </r>
        <r>
          <rPr>
            <b/>
            <sz val="11"/>
            <color indexed="81"/>
            <rFont val="Tahoma"/>
            <family val="2"/>
          </rPr>
          <t xml:space="preserve">
</t>
        </r>
        <r>
          <rPr>
            <u/>
            <sz val="11"/>
            <color indexed="81"/>
            <rFont val="Tahoma"/>
            <family val="2"/>
          </rPr>
          <t xml:space="preserve">Factors impacting Inventory days: 
</t>
        </r>
        <r>
          <rPr>
            <b/>
            <sz val="11"/>
            <color indexed="81"/>
            <rFont val="Tahoma"/>
            <family val="2"/>
          </rPr>
          <t>1)</t>
        </r>
        <r>
          <rPr>
            <sz val="11"/>
            <color indexed="81"/>
            <rFont val="Tahoma"/>
            <family val="2"/>
          </rPr>
          <t xml:space="preserve"> </t>
        </r>
        <r>
          <rPr>
            <b/>
            <sz val="11"/>
            <color indexed="81"/>
            <rFont val="Tahoma"/>
            <family val="2"/>
          </rPr>
          <t>INCOTERMS</t>
        </r>
        <r>
          <rPr>
            <sz val="11"/>
            <color indexed="81"/>
            <rFont val="Tahoma"/>
            <family val="2"/>
          </rPr>
          <t xml:space="preserve">, impacts In-Transit Inventory. Any Incoterms (excl. exworks) where delivery is at customer's or transporter's location (e.g. FOB, DAP, DDU, DDP, etc.) will increase stock-in-transit due to waiting on transporter, customs clerance, freight &amp; handling time, local transport, etc. (inventory remains on Interplex's books until arrival at final destination).
2) </t>
        </r>
        <r>
          <rPr>
            <b/>
            <sz val="11"/>
            <color indexed="81"/>
            <rFont val="Tahoma"/>
            <family val="2"/>
          </rPr>
          <t>Safety stock required by Customer's</t>
        </r>
        <r>
          <rPr>
            <sz val="11"/>
            <color indexed="81"/>
            <rFont val="Tahoma"/>
            <family val="2"/>
          </rPr>
          <t>. This is customer's requested safety stock. Interplex may be under contractual obligation to maintain a certain level of safety stock ensure certainty of supply to customer.    
3</t>
        </r>
        <r>
          <rPr>
            <b/>
            <sz val="11"/>
            <color indexed="81"/>
            <rFont val="Tahoma"/>
            <family val="2"/>
          </rPr>
          <t>)</t>
        </r>
        <r>
          <rPr>
            <sz val="11"/>
            <color indexed="81"/>
            <rFont val="Tahoma"/>
            <family val="2"/>
          </rPr>
          <t xml:space="preserve"> </t>
        </r>
        <r>
          <rPr>
            <b/>
            <sz val="11"/>
            <color indexed="81"/>
            <rFont val="Tahoma"/>
            <family val="2"/>
          </rPr>
          <t>VMI/Hub (consignment of FG awaiting consumption)</t>
        </r>
        <r>
          <rPr>
            <sz val="11"/>
            <color indexed="81"/>
            <rFont val="Tahoma"/>
            <family val="2"/>
          </rPr>
          <t xml:space="preserve">. Will increase inventory because inventory remains on Interplex books until consumed by customer. Check how much inventory Interplex must maintain in Hub based on contractual terms or VMI/ Hub term with customer. This is often expressed in # of days of stock.
</t>
        </r>
      </text>
    </comment>
    <comment ref="J49" authorId="1" shapeId="0" xr:uid="{0AFDC170-E810-4BFB-A2E0-F888AA9B1F43}">
      <text>
        <r>
          <rPr>
            <b/>
            <sz val="10"/>
            <color indexed="81"/>
            <rFont val="Tahoma"/>
            <family val="2"/>
          </rPr>
          <t>Note:</t>
        </r>
        <r>
          <rPr>
            <sz val="10"/>
            <color indexed="81"/>
            <rFont val="Tahoma"/>
            <family val="2"/>
          </rPr>
          <t xml:space="preserve">
TOOLING/AUTOMATION CO-INVESTMENT balance must be zero (fully amortized at end of Project).
If not fully amortized, adjust the PNL amortization amount in Section 3A to fully amortize the co-investment. Make the amendment in the PNL: Amortiztn-Tool/Auto Co-Invest (non-cash)
Note: Tooling/Automation co-invest must be 100% amortized by end of project. Otherwise, model will return an error message. Amortization period (period of recovery from customer) should not exceed 3 years, or maximum of 5 years for very large strategic projects.
</t>
        </r>
      </text>
    </comment>
    <comment ref="AT68" authorId="1" shapeId="0" xr:uid="{48C8FA6A-3DCF-4F0B-A85B-5449F0B9916F}">
      <text>
        <r>
          <rPr>
            <b/>
            <sz val="9"/>
            <color indexed="81"/>
            <rFont val="Tahoma"/>
            <family val="2"/>
          </rPr>
          <t>This incremental CF gap is inputted into the Peak Funding Gap as shown in Section 1</t>
        </r>
        <r>
          <rPr>
            <sz val="9"/>
            <color indexed="81"/>
            <rFont val="Tahoma"/>
            <family val="2"/>
          </rPr>
          <t xml:space="preserve">
This funding gap represent the funding deficit during the year (monthly cumulative gap) as tooling cost are paid but before milestone collections from customer are made.</t>
        </r>
      </text>
    </comment>
    <comment ref="J70" authorId="0" shapeId="0" xr:uid="{0D3BE66E-7B4A-40EB-8658-D0360896C2C9}">
      <text>
        <r>
          <rPr>
            <b/>
            <sz val="11"/>
            <color indexed="81"/>
            <rFont val="Tahoma"/>
            <family val="2"/>
          </rPr>
          <t>Enter capex amount according to the following periods:
1. Input downpayments in the financial year the downpayment is</t>
        </r>
        <r>
          <rPr>
            <b/>
            <u/>
            <sz val="11"/>
            <color indexed="81"/>
            <rFont val="Tahoma"/>
            <family val="2"/>
          </rPr>
          <t xml:space="preserve"> Paid</t>
        </r>
        <r>
          <rPr>
            <b/>
            <sz val="11"/>
            <color indexed="81"/>
            <rFont val="Tahoma"/>
            <family val="2"/>
          </rPr>
          <t xml:space="preserve">
2. Remainder of purchase price in the financial year the capex is </t>
        </r>
        <r>
          <rPr>
            <b/>
            <u/>
            <sz val="11"/>
            <color indexed="81"/>
            <rFont val="Tahoma"/>
            <family val="2"/>
          </rPr>
          <t xml:space="preserve">Received. </t>
        </r>
        <r>
          <rPr>
            <b/>
            <sz val="11"/>
            <color indexed="81"/>
            <rFont val="Tahoma"/>
            <family val="2"/>
          </rPr>
          <t xml:space="preserve">
</t>
        </r>
        <r>
          <rPr>
            <sz val="11"/>
            <color indexed="81"/>
            <rFont val="Tahoma"/>
            <family val="2"/>
          </rPr>
          <t>Do not include any Inter-Co transfer of existing machines/equipment. Refer example below</t>
        </r>
        <r>
          <rPr>
            <b/>
            <sz val="11"/>
            <color indexed="81"/>
            <rFont val="Tahoma"/>
            <family val="2"/>
          </rPr>
          <t xml:space="preserve">
RFQ with Capex requires pre-CER approval. To qualify as Capex, the expenditures (production machines, automation, etc.) must satisfy these criteria:</t>
        </r>
        <r>
          <rPr>
            <sz val="11"/>
            <color indexed="81"/>
            <rFont val="Tahoma"/>
            <family val="2"/>
          </rPr>
          <t xml:space="preserve">
1. Interplex has legal ownership, custody and control of the asset
2. Asset must be a physically identifiable item, used to generate income with useful life of min 2 years (e.g. machine/ automation, building, infrastructure, etc.) 
3. Asset has high generic design content and application i.e. suitable for use or change over to other programs in site's core business
4. Interplex has the right to use the asset for any customers or programs, if practicable
Any deviation requires CFO prior written exemption. An approved CER must be obtained for all capex.
</t>
        </r>
        <r>
          <rPr>
            <b/>
            <sz val="11"/>
            <color indexed="81"/>
            <rFont val="Tahoma"/>
            <family val="2"/>
          </rPr>
          <t xml:space="preserve">
E.g. Capex for machines with purhase price of $1 million </t>
        </r>
        <r>
          <rPr>
            <sz val="11"/>
            <color indexed="81"/>
            <rFont val="Tahoma"/>
            <family val="2"/>
          </rPr>
          <t xml:space="preserve">
Downpayment $300K payable in Dec 2021
Delivery date is Apr 2022
Payment of balance $700K in Dec 2022. 
In this case, capex for $1m should be input in FY21. Any deferred payment arrangement negotiated with vendor will be considered separately, and should be highlighted as a Note in your CER presentation   
</t>
        </r>
      </text>
    </comment>
    <comment ref="J74" authorId="1" shapeId="0" xr:uid="{6713FC62-F349-42EF-A6AF-E8735B038E6F}">
      <text>
        <r>
          <rPr>
            <b/>
            <sz val="12"/>
            <color indexed="81"/>
            <rFont val="Tahoma"/>
            <family val="2"/>
          </rPr>
          <t xml:space="preserve">Enter total cost of tool or automation for amortization per customer contract (refer financial qualification criteria below). </t>
        </r>
        <r>
          <rPr>
            <sz val="12"/>
            <color indexed="81"/>
            <rFont val="Tahoma"/>
            <family val="2"/>
          </rPr>
          <t xml:space="preserve">Amount should be entered in year of payment (usually year 1 as tooling/automation are normally completed before SOP). 
This input is mandatory if CBD PNL contains amortization expense.The amount is equal to the total LTR tooling amortization expense in the CBD. 
</t>
        </r>
        <r>
          <rPr>
            <b/>
            <sz val="12"/>
            <color indexed="81"/>
            <rFont val="Tahoma"/>
            <family val="2"/>
          </rPr>
          <t xml:space="preserve">
For cost amortization in PNL, customer Tool/Automation contract must satisfy these criteria. 
</t>
        </r>
        <r>
          <rPr>
            <sz val="12"/>
            <color indexed="81"/>
            <rFont val="Tahoma"/>
            <family val="2"/>
          </rPr>
          <t xml:space="preserve">1. Customer has agreed to Tool/Automation Selling Price and Amortization basis in writing (e.g. in PO or Purchase Contract)
2. Amortization (including relevant mark-up) has been factored into Part Price
3. Customer have contractual Liability for payment of any unamortized balance  
4. Interplex retain custody and control of the physical asset until fully amortized (paid by customer).
Refer Baseline Quotation Template 2.0 Amortization.
If above criteria not fully met, cost of customer's tooling must be recorded in Tooling COS PNL. If sale price is less than cost, the Tooling loss must be recognized in PNL. It must not be treated as capex or tooling amortization. For treatment as Capex, Automation Line must meet capex criteria (refer to Capex cell note above).
</t>
        </r>
        <r>
          <rPr>
            <b/>
            <sz val="12"/>
            <color indexed="81"/>
            <rFont val="Tahoma"/>
            <family val="2"/>
          </rPr>
          <t>Cash Flow treatmen</t>
        </r>
        <r>
          <rPr>
            <sz val="12"/>
            <color indexed="81"/>
            <rFont val="Tahoma"/>
            <family val="2"/>
          </rPr>
          <t xml:space="preserve">t: Co-invest will is cash outflow in the year paid, and impacts ROI. 
</t>
        </r>
        <r>
          <rPr>
            <b/>
            <sz val="12"/>
            <color indexed="81"/>
            <rFont val="Tahoma"/>
            <family val="2"/>
          </rPr>
          <t>PNL treatment</t>
        </r>
        <r>
          <rPr>
            <sz val="12"/>
            <color indexed="81"/>
            <rFont val="Tahoma"/>
            <family val="2"/>
          </rPr>
          <t xml:space="preserve">: Amortization expense impacts GP and EBITDA, but will not impact cash flow. </t>
        </r>
      </text>
    </comment>
    <comment ref="N74" authorId="1" shapeId="0" xr:uid="{3FB3F72D-BC7A-4D15-A7E6-83169DB54487}">
      <text>
        <r>
          <rPr>
            <sz val="12"/>
            <color indexed="81"/>
            <rFont val="Tahoma"/>
            <family val="2"/>
          </rPr>
          <t xml:space="preserve">If the autofill data is not correct, please overwrite this cell with the correct data or assumption.
</t>
        </r>
      </text>
    </comment>
    <comment ref="J75" authorId="0" shapeId="0" xr:uid="{BDA91D7B-1007-4589-93CC-1C635D82E5B1}">
      <text>
        <r>
          <rPr>
            <b/>
            <sz val="11"/>
            <color indexed="81"/>
            <rFont val="Tahoma"/>
            <family val="2"/>
          </rPr>
          <t xml:space="preserve">Enter inter-co asset transfer value in the year the assets are received into the project.
</t>
        </r>
        <r>
          <rPr>
            <sz val="11"/>
            <color indexed="81"/>
            <rFont val="Tahoma"/>
            <family val="2"/>
          </rPr>
          <t xml:space="preserve">
Note: This amount will affect the project CF statement (Investing cash flow), and the funding gap / requirements. However, it will not impact ROI. 
 </t>
        </r>
        <r>
          <rPr>
            <b/>
            <sz val="11"/>
            <color indexed="81"/>
            <rFont val="Tahoma"/>
            <family val="2"/>
          </rPr>
          <t xml:space="preserve">
</t>
        </r>
        <r>
          <rPr>
            <sz val="11"/>
            <color indexed="81"/>
            <rFont val="Tahoma"/>
            <family val="2"/>
          </rPr>
          <t>Inter-co asset  transfer should only be used as an assumptions if the transfer of asset has been agreed between the sending and receiving Sites, or by advice from Corporate only.</t>
        </r>
      </text>
    </comment>
    <comment ref="N78" authorId="1" shapeId="0" xr:uid="{93260EF7-8FEA-4429-A981-3AB6354E627E}">
      <text>
        <r>
          <rPr>
            <sz val="12"/>
            <color indexed="81"/>
            <rFont val="Tahoma"/>
            <family val="2"/>
          </rPr>
          <t xml:space="preserve">Use Default of 1. This is the year prior to SOP, therefore revenue should be zero. 
If the autofill data is not correct, please overwrite this cell with the correct data or assumption.
</t>
        </r>
      </text>
    </comment>
    <comment ref="J79" authorId="0" shapeId="0" xr:uid="{FAC15FA3-1161-4F80-95FE-A8913940A420}">
      <text>
        <r>
          <rPr>
            <b/>
            <sz val="12"/>
            <color indexed="81"/>
            <rFont val="Tahoma"/>
            <family val="2"/>
          </rPr>
          <t xml:space="preserve">Enter the expected DSO days for the Project = Parts Payment Terms + 20 to 30 days. 
</t>
        </r>
        <r>
          <rPr>
            <sz val="12"/>
            <color indexed="81"/>
            <rFont val="Tahoma"/>
            <family val="2"/>
          </rPr>
          <t xml:space="preserve">Note: Add minimum 20 days on top of RFQ payment terms, to cover customer's internal process, typical delays due to 1) ignoring INCOTERM on title transfer*, 2) internal delays in recording receipt, 3) tax reconciliation, 4) infrequent payment runs, 5) delinquency or minor disputes. 
Consult site controller regarding payment track record of the RFQ customer.
* e.g. Customer recognizing payment liability only after physical receipt of goods in warehouse even though INCOTERMS is Exwork (liability upon pick-up) </t>
        </r>
      </text>
    </comment>
    <comment ref="J81" authorId="0" shapeId="0" xr:uid="{6C95A2DA-9CD7-44F3-AEF4-3EAD912D3FD3}">
      <text>
        <r>
          <rPr>
            <b/>
            <sz val="11"/>
            <color indexed="81"/>
            <rFont val="Tahoma"/>
            <family val="2"/>
          </rPr>
          <t xml:space="preserve">Enter the expected Inventory DIO days for Raw Materials, Purchase Components, Sub-Contracted works and packaging. 
</t>
        </r>
        <r>
          <rPr>
            <u/>
            <sz val="11"/>
            <color indexed="81"/>
            <rFont val="Tahoma"/>
            <family val="2"/>
          </rPr>
          <t>Factors impacting RM Inventory days:</t>
        </r>
        <r>
          <rPr>
            <b/>
            <sz val="11"/>
            <color indexed="81"/>
            <rFont val="Tahoma"/>
            <family val="2"/>
          </rPr>
          <t xml:space="preserve"> 
</t>
        </r>
        <r>
          <rPr>
            <sz val="11"/>
            <color indexed="81"/>
            <rFont val="Tahoma"/>
            <family val="2"/>
          </rPr>
          <t>1)</t>
        </r>
        <r>
          <rPr>
            <b/>
            <sz val="11"/>
            <color indexed="81"/>
            <rFont val="Tahoma"/>
            <family val="2"/>
          </rPr>
          <t xml:space="preserve"> Supplier's MOQ (mininum purchase quantity)</t>
        </r>
        <r>
          <rPr>
            <sz val="11"/>
            <color indexed="81"/>
            <rFont val="Tahoma"/>
            <family val="2"/>
          </rPr>
          <t>. A high MOQ will result in a higher level of inventory purchase relative to amount required for consumption
2)</t>
        </r>
        <r>
          <rPr>
            <b/>
            <sz val="11"/>
            <color indexed="81"/>
            <rFont val="Tahoma"/>
            <family val="2"/>
          </rPr>
          <t xml:space="preserve"> Supplier's Lead time</t>
        </r>
        <r>
          <rPr>
            <sz val="11"/>
            <color indexed="81"/>
            <rFont val="Tahoma"/>
            <family val="2"/>
          </rPr>
          <t xml:space="preserve">. A longer lead time from PO placement to arrival of delivery may lead to higher RM inventory
3) </t>
        </r>
        <r>
          <rPr>
            <b/>
            <sz val="11"/>
            <color indexed="81"/>
            <rFont val="Tahoma"/>
            <family val="2"/>
          </rPr>
          <t>Freight &amp; Handling</t>
        </r>
        <r>
          <rPr>
            <sz val="11"/>
            <color indexed="81"/>
            <rFont val="Tahoma"/>
            <family val="2"/>
          </rPr>
          <t xml:space="preserve">. Longer time for freight, customs clearance and handling may lead to higher RM inventory
</t>
        </r>
        <r>
          <rPr>
            <u/>
            <sz val="11"/>
            <color indexed="81"/>
            <rFont val="Tahoma"/>
            <family val="2"/>
          </rPr>
          <t>Calculation of RM Inventory $</t>
        </r>
        <r>
          <rPr>
            <sz val="11"/>
            <color indexed="81"/>
            <rFont val="Tahoma"/>
            <family val="2"/>
          </rPr>
          <t xml:space="preserve">
RM Inventory $ = Total Cost-to-COPA for the year x RM Inventory Days / 365 (other than year 1 where the actual number of revenue days is used)
Note: Do a sense check against Site's current DIO. Ensure any major variances between project assumptions and Site's prevailing rates are valid and explainable. Model will use Inventory days assumption to compute the inventory balance at each year end, which will inturn impact working capital and cash flows. </t>
        </r>
      </text>
    </comment>
    <comment ref="J82" authorId="0" shapeId="0" xr:uid="{95EEC721-A6BD-4897-8FF8-A73DCEE0C219}">
      <text>
        <r>
          <rPr>
            <b/>
            <sz val="10"/>
            <color indexed="81"/>
            <rFont val="Tahoma"/>
            <family val="2"/>
          </rPr>
          <t xml:space="preserve">Enter the expected Inventory DIO days for WIP.
</t>
        </r>
        <r>
          <rPr>
            <u/>
            <sz val="10"/>
            <color indexed="81"/>
            <rFont val="Tahoma"/>
            <family val="2"/>
          </rPr>
          <t xml:space="preserve">Factors impacting WIP DIO: </t>
        </r>
        <r>
          <rPr>
            <b/>
            <sz val="10"/>
            <color indexed="81"/>
            <rFont val="Tahoma"/>
            <family val="2"/>
          </rPr>
          <t xml:space="preserve">
A) Manufacturing lead time; </t>
        </r>
        <r>
          <rPr>
            <sz val="10"/>
            <color indexed="81"/>
            <rFont val="Tahoma"/>
            <family val="2"/>
          </rPr>
          <t xml:space="preserve">Longer manufacturing lead time may results in higher WIP inventory levels
</t>
        </r>
        <r>
          <rPr>
            <b/>
            <sz val="10"/>
            <color indexed="81"/>
            <rFont val="Tahoma"/>
            <family val="2"/>
          </rPr>
          <t>B) Production Batch Size vs Customer MOQ.</t>
        </r>
        <r>
          <rPr>
            <sz val="10"/>
            <color indexed="81"/>
            <rFont val="Tahoma"/>
            <family val="2"/>
          </rPr>
          <t xml:space="preserve"> If production batch size is greater than Customer MOQ, there may be surplus production and higher WIP
</t>
        </r>
        <r>
          <rPr>
            <b/>
            <sz val="10"/>
            <color indexed="81"/>
            <rFont val="Tahoma"/>
            <family val="2"/>
          </rPr>
          <t xml:space="preserve">C) Surplus labour capacity </t>
        </r>
        <r>
          <rPr>
            <sz val="10"/>
            <color indexed="81"/>
            <rFont val="Tahoma"/>
            <family val="2"/>
          </rPr>
          <t xml:space="preserve">at plant resulting in level loading. Level loading (producing beyond customer demand in order to utilize or absorp labour) may result in higher WIP
</t>
        </r>
        <r>
          <rPr>
            <b/>
            <sz val="10"/>
            <color indexed="81"/>
            <rFont val="Tahoma"/>
            <family val="2"/>
          </rPr>
          <t>D) Product complexity and number of child parts.</t>
        </r>
        <r>
          <rPr>
            <sz val="10"/>
            <color indexed="81"/>
            <rFont val="Tahoma"/>
            <family val="2"/>
          </rPr>
          <t xml:space="preserve"> Higher complexity/child parts may result in holding of semi-finished component awaiting final assembly 
</t>
        </r>
        <r>
          <rPr>
            <u/>
            <sz val="10"/>
            <color indexed="81"/>
            <rFont val="Tahoma"/>
            <family val="2"/>
          </rPr>
          <t>Calculation of WIP Inventory $</t>
        </r>
        <r>
          <rPr>
            <sz val="10"/>
            <color indexed="81"/>
            <rFont val="Tahoma"/>
            <family val="2"/>
          </rPr>
          <t xml:space="preserve">
WIP Inventory $ = Total Mfg cost* for the year x Inventory Days / 365 (other than year 1 where the actual number of revenue days is used, e.g. 180 days instead of 365 if sales was for 6 mnths revenue only)
*Model assumes full-absorption costing whereby Mfg cost comprises materials, packaging, sub-con, DL, IDL, FS (excluding one-off items) and Indirect COS. For WIP, overheads absorption is assumed at 50% of standard as it is assumed to be only 50% completed (FG: 100%)
Note: Do a sense check against Site's current DIO. Ensure any major variances between project assumptions and Site's prevailing rates are valid and explainable. 
</t>
        </r>
      </text>
    </comment>
    <comment ref="J83" authorId="0" shapeId="0" xr:uid="{629D31FB-B211-46CC-AF4E-F08BC9C24930}">
      <text>
        <r>
          <rPr>
            <b/>
            <sz val="10"/>
            <color indexed="81"/>
            <rFont val="Tahoma"/>
            <family val="2"/>
          </rPr>
          <t>Enter expected Inventory DIO days for Finished Goods held at Site based on Interplex's requirements</t>
        </r>
        <r>
          <rPr>
            <sz val="10"/>
            <color indexed="81"/>
            <rFont val="Tahoma"/>
            <family val="2"/>
          </rPr>
          <t xml:space="preserve"> in order to </t>
        </r>
        <r>
          <rPr>
            <u/>
            <sz val="10"/>
            <color indexed="81"/>
            <rFont val="Tahoma"/>
            <family val="2"/>
          </rPr>
          <t>meet our contractual obligation to customer</t>
        </r>
        <r>
          <rPr>
            <sz val="10"/>
            <color indexed="81"/>
            <rFont val="Tahoma"/>
            <family val="2"/>
          </rPr>
          <t xml:space="preserve"> for timely and sufficient supply. Excluding an in-transit inventory to customer location (per Incoterms), VMI or Hub arrangements.
</t>
        </r>
        <r>
          <rPr>
            <b/>
            <sz val="10"/>
            <color indexed="81"/>
            <rFont val="Tahoma"/>
            <family val="2"/>
          </rPr>
          <t xml:space="preserve">
</t>
        </r>
        <r>
          <rPr>
            <u/>
            <sz val="10"/>
            <color indexed="81"/>
            <rFont val="Tahoma"/>
            <family val="2"/>
          </rPr>
          <t xml:space="preserve">Factors impacting FG DIO at Site: </t>
        </r>
        <r>
          <rPr>
            <b/>
            <sz val="10"/>
            <color indexed="81"/>
            <rFont val="Tahoma"/>
            <family val="2"/>
          </rPr>
          <t xml:space="preserve">
</t>
        </r>
        <r>
          <rPr>
            <sz val="10"/>
            <color indexed="81"/>
            <rFont val="Tahoma"/>
            <family val="2"/>
          </rPr>
          <t xml:space="preserve">1) </t>
        </r>
        <r>
          <rPr>
            <b/>
            <sz val="10"/>
            <color indexed="81"/>
            <rFont val="Tahoma"/>
            <family val="2"/>
          </rPr>
          <t>Routine safety stock</t>
        </r>
        <r>
          <rPr>
            <sz val="10"/>
            <color indexed="81"/>
            <rFont val="Tahoma"/>
            <family val="2"/>
          </rPr>
          <t xml:space="preserve">. Stock maintained by Site to mitigate production delays or due to production level loading.
2) </t>
        </r>
        <r>
          <rPr>
            <b/>
            <sz val="10"/>
            <color indexed="81"/>
            <rFont val="Tahoma"/>
            <family val="2"/>
          </rPr>
          <t>Build to Customer's Forecast contract terms</t>
        </r>
        <r>
          <rPr>
            <sz val="10"/>
            <color indexed="81"/>
            <rFont val="Tahoma"/>
            <family val="2"/>
          </rPr>
          <t xml:space="preserve">. Site may have to maintain safety stock awaiting customer collection, or surplus stock if customer actual demand fall short of forecast.
3) </t>
        </r>
        <r>
          <rPr>
            <b/>
            <sz val="10"/>
            <color indexed="81"/>
            <rFont val="Tahoma"/>
            <family val="2"/>
          </rPr>
          <t>Production batch size is greater than Customer MOQ</t>
        </r>
        <r>
          <rPr>
            <sz val="10"/>
            <color indexed="81"/>
            <rFont val="Tahoma"/>
            <family val="2"/>
          </rPr>
          <t xml:space="preserve">. Surplus stock because production quantities exceeds customer minimum order quantity
4) </t>
        </r>
        <r>
          <rPr>
            <b/>
            <sz val="10"/>
            <color indexed="81"/>
            <rFont val="Tahoma"/>
            <family val="2"/>
          </rPr>
          <t>Customer lead time less than production lead time</t>
        </r>
        <r>
          <rPr>
            <sz val="10"/>
            <color indexed="81"/>
            <rFont val="Tahoma"/>
            <family val="2"/>
          </rPr>
          <t xml:space="preserve">. Higher safety stock to meet customer demand timely, because its too late to only start production after receipt of PO. e.g. if customer lead time is 2 day from PO, but mfg lead time is 6 days, then safety stock up to 3x (depending on size of customer order)
Note: Do a sense check against Site's current DIO. Ensure any major variances between project assumptions and Site's prevailing rates are valid and explainable. 
</t>
        </r>
        <r>
          <rPr>
            <u/>
            <sz val="10"/>
            <color indexed="81"/>
            <rFont val="Tahoma"/>
            <family val="2"/>
          </rPr>
          <t>Calculation of FG Inventory</t>
        </r>
        <r>
          <rPr>
            <sz val="10"/>
            <color indexed="81"/>
            <rFont val="Tahoma"/>
            <family val="2"/>
          </rPr>
          <t xml:space="preserve">
FG Inv $ = Total Mfg cost* for the year x Inventory Days / 365 (other than year 1 where the actual number of revenue days is used, e.g. 180 days instead of 365 if sales was for 6 mnths revenue only)
*Model assumes full-absorption costing whereby Mfg cost comprises materials, packaging, sub-con, DL, IDL, FS (excluding one-off items) and Indirect COS. For FG, overheads absorption is assumed at 100% of standard because parts are 100% completed (WIP: 50%)
</t>
        </r>
      </text>
    </comment>
    <comment ref="J84" authorId="0" shapeId="0" xr:uid="{8A56CD16-8DA2-49F2-931D-AEA1E53506D0}">
      <text>
        <r>
          <rPr>
            <sz val="10"/>
            <color indexed="81"/>
            <rFont val="Tahoma"/>
            <family val="2"/>
          </rPr>
          <t xml:space="preserve">Enter expected DIO days for </t>
        </r>
        <r>
          <rPr>
            <b/>
            <sz val="10"/>
            <color indexed="81"/>
            <rFont val="Tahoma"/>
            <family val="2"/>
          </rPr>
          <t xml:space="preserve">Finished Goods in transit, at logistics hub, at customer premises under Hub or VMI (to be sold upon consumption). </t>
        </r>
        <r>
          <rPr>
            <sz val="10"/>
            <color indexed="81"/>
            <rFont val="Tahoma"/>
            <family val="2"/>
          </rPr>
          <t>This stock-in-transit &amp; stock-at-hub are on top of the stock held for Site's requirements.</t>
        </r>
        <r>
          <rPr>
            <b/>
            <sz val="10"/>
            <color indexed="81"/>
            <rFont val="Tahoma"/>
            <family val="2"/>
          </rPr>
          <t xml:space="preserve">
</t>
        </r>
        <r>
          <rPr>
            <u/>
            <sz val="10"/>
            <color indexed="81"/>
            <rFont val="Tahoma"/>
            <family val="2"/>
          </rPr>
          <t xml:space="preserve">Factors impacting Inventory days: 
</t>
        </r>
        <r>
          <rPr>
            <b/>
            <sz val="10"/>
            <color indexed="81"/>
            <rFont val="Tahoma"/>
            <family val="2"/>
          </rPr>
          <t>1)</t>
        </r>
        <r>
          <rPr>
            <sz val="10"/>
            <color indexed="81"/>
            <rFont val="Tahoma"/>
            <family val="2"/>
          </rPr>
          <t xml:space="preserve"> </t>
        </r>
        <r>
          <rPr>
            <b/>
            <sz val="10"/>
            <color indexed="81"/>
            <rFont val="Tahoma"/>
            <family val="2"/>
          </rPr>
          <t>INCOTERMS</t>
        </r>
        <r>
          <rPr>
            <sz val="10"/>
            <color indexed="81"/>
            <rFont val="Tahoma"/>
            <family val="2"/>
          </rPr>
          <t xml:space="preserve">, impacts In-Transit Inventory. Any Incoterms (excl. exworks) where delivery is at customer's or transporter's location (e.g. FOB, DAP, DDU, DDP, etc.) will increase stock-in-transit due to waiting on transporter, customs clerance, freight &amp; handling time, local transport, etc. (inventory remains on Interplex's books until arrival at final destination).
2) </t>
        </r>
        <r>
          <rPr>
            <b/>
            <sz val="10"/>
            <color indexed="81"/>
            <rFont val="Tahoma"/>
            <family val="2"/>
          </rPr>
          <t>Safety stock required by Customer's</t>
        </r>
        <r>
          <rPr>
            <sz val="10"/>
            <color indexed="81"/>
            <rFont val="Tahoma"/>
            <family val="2"/>
          </rPr>
          <t>. This is customer's requested safety stock. Interplex may be under contractual obligation to maintain a certain level of safety stock ensure certainty of supply to customer.    
3</t>
        </r>
        <r>
          <rPr>
            <b/>
            <sz val="10"/>
            <color indexed="81"/>
            <rFont val="Tahoma"/>
            <family val="2"/>
          </rPr>
          <t>)</t>
        </r>
        <r>
          <rPr>
            <sz val="10"/>
            <color indexed="81"/>
            <rFont val="Tahoma"/>
            <family val="2"/>
          </rPr>
          <t xml:space="preserve"> </t>
        </r>
        <r>
          <rPr>
            <b/>
            <sz val="10"/>
            <color indexed="81"/>
            <rFont val="Tahoma"/>
            <family val="2"/>
          </rPr>
          <t>VMI/Hub (consignment of FG awaiting consumption)</t>
        </r>
        <r>
          <rPr>
            <sz val="10"/>
            <color indexed="81"/>
            <rFont val="Tahoma"/>
            <family val="2"/>
          </rPr>
          <t xml:space="preserve">. Will increase inventory because inventory remains on Interplex books until consumed by customer. Check how much inventory Interplex must maintain in Hub based on contractual terms or VMI/ Hub term with customer. This is often expressed in # of days of stock.
</t>
        </r>
        <r>
          <rPr>
            <u/>
            <sz val="10"/>
            <color indexed="81"/>
            <rFont val="Tahoma"/>
            <family val="2"/>
          </rPr>
          <t>Calculation of FG $</t>
        </r>
        <r>
          <rPr>
            <sz val="10"/>
            <color indexed="81"/>
            <rFont val="Tahoma"/>
            <family val="2"/>
          </rPr>
          <t xml:space="preserve">
FG $ = Total Mfg cost* for the year x Inventory Days / 365 (other than year 1 where the actual number of revenue days is used, e.g. 180 days instead of 365 if sales was for 6 mnths revenue only)
*Model assumes full-absorption costing whereby Mfg cost comprises materials, packaging, sub-con, DL, IDL, FS (excluding one-off items) and Indirect COS. For FG, overheads absorption is assumed at 100% of standard because parts are 100% completed (WIP: 50%)
Note: Do a sense check against Site's current DIO. Ensure any major variances between project assumptions and Site's prevailing rates are valid and explainable. Model will use Inventory days assumption to compute the inventory balance at each year end, which will inturn impact working capital and cash flows. 
</t>
        </r>
      </text>
    </comment>
    <comment ref="J85" authorId="1" shapeId="0" xr:uid="{6E552D1B-25A7-4073-A453-07AEBA4F0B31}">
      <text>
        <r>
          <rPr>
            <sz val="9"/>
            <color indexed="81"/>
            <rFont val="Tahoma"/>
            <family val="2"/>
          </rPr>
          <t xml:space="preserve">Input any known items. Otherwise, leave blank
</t>
        </r>
      </text>
    </comment>
    <comment ref="J86" authorId="1" shapeId="0" xr:uid="{5A94D5FE-33E5-4DC4-9E66-C01CD34A49A0}">
      <text>
        <r>
          <rPr>
            <sz val="12"/>
            <color indexed="81"/>
            <rFont val="Tahoma"/>
            <family val="2"/>
          </rPr>
          <t>A method for calculating Tooling Recovrable has been provided in Column AE:AL. Refer to the calculation table. 
You may also over-write the input cell if you wish to do your own independent calculation (without using the methodology provided) 
Note: Tooling recoverable is used to calculate Peak Funding Gap</t>
        </r>
      </text>
    </comment>
    <comment ref="J87" authorId="0" shapeId="0" xr:uid="{2A20B837-8D29-48ED-B265-06F527572541}">
      <text>
        <r>
          <rPr>
            <b/>
            <sz val="11"/>
            <color indexed="81"/>
            <rFont val="Tahoma"/>
            <family val="2"/>
          </rPr>
          <t xml:space="preserve">Enter % of payment received in each year as quoted to customer in the RFQ. </t>
        </r>
        <r>
          <rPr>
            <sz val="11"/>
            <color indexed="81"/>
            <rFont val="Tahoma"/>
            <family val="2"/>
          </rPr>
          <t xml:space="preserve">% of payment received must total up to 100% latest by year 5.
Note: The Interplex baseline terms for customer to pay for tooling/automation are:
# Nomination/PO - 30%-50%;
# FOT/ISIR submission - 30%-50%;
# PPAP submission - 0-40%;
# PPAP Approval (up to max 30 days) 0-10%. 
</t>
        </r>
      </text>
    </comment>
    <comment ref="J88" authorId="0" shapeId="0" xr:uid="{67CFAE68-E451-4D8A-8B44-78CE2820809B}">
      <text>
        <r>
          <rPr>
            <b/>
            <sz val="11"/>
            <color indexed="81"/>
            <rFont val="Tahoma"/>
            <family val="2"/>
          </rPr>
          <t xml:space="preserve">Enter the expected DPO days for the Project. 
</t>
        </r>
        <r>
          <rPr>
            <sz val="11"/>
            <color indexed="81"/>
            <rFont val="Tahoma"/>
            <family val="2"/>
          </rPr>
          <t xml:space="preserve">This is normally equal to the vendor payment terms from Direct Materials vendors. Model will compute trade payable balance:
Trade payables = (COGS + Production Cost x 30%*) x Acct Payable Days / 365 (other than year 1 where the actual number of revenue days is used)
*Only 30% of Production Cost is used as a large proportion is paid only without any credit terms e.g. IDL wages or salaries, rentals, etc.
</t>
        </r>
      </text>
    </comment>
    <comment ref="J89" authorId="1" shapeId="0" xr:uid="{7ED9EBF7-9983-4714-96AF-38A67FFD3940}">
      <text>
        <r>
          <rPr>
            <sz val="9"/>
            <color indexed="81"/>
            <rFont val="Tahoma"/>
            <family val="2"/>
          </rPr>
          <t xml:space="preserve">Input any known items. Otherwise, leave blank
</t>
        </r>
      </text>
    </comment>
    <comment ref="J94" authorId="0" shapeId="0" xr:uid="{39BBD70C-CBC2-40BE-A482-9DB5FA88782B}">
      <text>
        <r>
          <rPr>
            <b/>
            <sz val="11"/>
            <color indexed="81"/>
            <rFont val="Tahoma"/>
            <family val="2"/>
          </rPr>
          <t xml:space="preserve">Enter the weighted average depreciation life of the asset items making up the Capex list.
</t>
        </r>
        <r>
          <rPr>
            <sz val="11"/>
            <color indexed="81"/>
            <rFont val="Tahoma"/>
            <family val="2"/>
          </rPr>
          <t xml:space="preserve">
Project depreciation begins in the firsy year of revenue on straightline basis over average useful life of capex with zero residual value, and continues until fully depreciated.
Depreciation for 1st year of capex acquisition is assumed to be 50% of annual depreciation on simplified assumption that capex was put in service in mid-year.</t>
        </r>
      </text>
    </comment>
    <comment ref="N94" authorId="1" shapeId="0" xr:uid="{097E99E9-8556-47F2-BBB5-3DF8A9869347}">
      <text>
        <r>
          <rPr>
            <b/>
            <sz val="12"/>
            <color indexed="81"/>
            <rFont val="Tahoma"/>
            <family val="2"/>
          </rPr>
          <t>Note for SFP254 standalone version</t>
        </r>
        <r>
          <rPr>
            <sz val="12"/>
            <color indexed="81"/>
            <rFont val="Tahoma"/>
            <family val="2"/>
          </rPr>
          <t xml:space="preserve">: Input the weighted average depreciation life (yrs) considering all capex items. If capex consist of several asset categories with different depreciation life (e.g. Machines 10 yrs and Automation 3 yrs), you should manually calculate the depreciation expense per annum, and divide by the capex value (GBV) to derive the weighted average depreciation life (for input into this cell). In the </t>
        </r>
        <r>
          <rPr>
            <b/>
            <sz val="12"/>
            <color indexed="81"/>
            <rFont val="Tahoma"/>
            <family val="2"/>
          </rPr>
          <t>Consol worksheet,</t>
        </r>
        <r>
          <rPr>
            <sz val="12"/>
            <color indexed="81"/>
            <rFont val="Tahoma"/>
            <family val="2"/>
          </rPr>
          <t xml:space="preserve"> you must enter the weighted average depreciation life manually.
</t>
        </r>
        <r>
          <rPr>
            <b/>
            <sz val="12"/>
            <color indexed="81"/>
            <rFont val="Tahoma"/>
            <family val="2"/>
          </rPr>
          <t>Note for CQSC Integrated version</t>
        </r>
        <r>
          <rPr>
            <sz val="12"/>
            <color indexed="81"/>
            <rFont val="Tahoma"/>
            <family val="2"/>
          </rPr>
          <t xml:space="preserve">: If the autofill data is not correct, please overwrite this cell with the correct weighted average depreciation life. Use the methodology outlined above to do your calculation
</t>
        </r>
      </text>
    </comment>
    <comment ref="J95" authorId="0" shapeId="0" xr:uid="{C6A4E6A0-50BF-4971-AEDF-F2379051C299}">
      <text>
        <r>
          <rPr>
            <b/>
            <sz val="11"/>
            <color indexed="81"/>
            <rFont val="Tahoma"/>
            <family val="2"/>
          </rPr>
          <t xml:space="preserve">Enter the corporate income tax rate applicable to the site or to the project (if special tax rate apply to the project). Reduce rates due to tax incentive rate should NOT be used unless that incentive has ALREADY been approved by the relevant Tax Authority
</t>
        </r>
        <r>
          <rPr>
            <sz val="11"/>
            <color indexed="81"/>
            <rFont val="Tahoma"/>
            <family val="2"/>
          </rPr>
          <t xml:space="preserve">
Note: this model does not account for deferred tax asset arising from PNL losses (due to complications on cash flow statement). Therefore the PNL does not show a tax credit in event of operating losses.</t>
        </r>
      </text>
    </comment>
    <comment ref="N95" authorId="1" shapeId="0" xr:uid="{AD4DF14A-B2D9-4930-802B-0D6384987CAD}">
      <text>
        <r>
          <rPr>
            <sz val="12"/>
            <color indexed="81"/>
            <rFont val="Tahoma"/>
            <family val="2"/>
          </rPr>
          <t xml:space="preserve">If the autofill data is not correct, please overwrite this cell with the correct data or assumption.
</t>
        </r>
      </text>
    </comment>
    <comment ref="I97" authorId="0" shapeId="0" xr:uid="{D5ABC1A4-A968-4E08-9978-9EE8E81881CA}">
      <text>
        <r>
          <rPr>
            <b/>
            <sz val="11"/>
            <color indexed="81"/>
            <rFont val="Tahoma"/>
            <family val="2"/>
          </rPr>
          <t xml:space="preserve">Owner of Assumption: 
</t>
        </r>
        <r>
          <rPr>
            <sz val="11"/>
            <color indexed="81"/>
            <rFont val="Tahoma"/>
            <family val="2"/>
          </rPr>
          <t>Site Controller</t>
        </r>
      </text>
    </comment>
    <comment ref="J97" authorId="0" shapeId="0" xr:uid="{9106587C-E82F-4047-99FB-4CAA2B54A451}">
      <text>
        <r>
          <rPr>
            <sz val="9"/>
            <color indexed="81"/>
            <rFont val="Tahoma"/>
            <family val="2"/>
          </rPr>
          <t>Funding assumptions will generally be finalized by Corporate HQ. For the purposes of CER preparation, you should assume that funding requirement is met by 50% to 100% equity and have sufficient free cash flow at site to meet the funding requirements (check your latest cash at bank balance).</t>
        </r>
      </text>
    </comment>
    <comment ref="T97" authorId="0" shapeId="0" xr:uid="{B016F147-DDF5-4481-9F3E-64F58DD64CE9}">
      <text>
        <r>
          <rPr>
            <b/>
            <sz val="11"/>
            <color indexed="81"/>
            <rFont val="Tahoma"/>
            <family val="2"/>
          </rPr>
          <t xml:space="preserve">CPCF multiple </t>
        </r>
        <r>
          <rPr>
            <sz val="11"/>
            <color indexed="81"/>
            <rFont val="Tahoma"/>
            <family val="2"/>
          </rPr>
          <t xml:space="preserve">measures the multiple of cash returns from the investment, and is useful for ranking of different investment options. A project with higher multiple is in general more attractive than a project with a lower multiple because the higher multiple project returns more cash per $ invested. However, it is important to consider how far in future the cash is generated. A longer period increases risk and reduces the present value of that cash flow 
CPCF multiple is calculated as Cumulative Project Cash Flow divided by Total Funding requirement.
</t>
        </r>
      </text>
    </comment>
    <comment ref="J98" authorId="0" shapeId="0" xr:uid="{3C332FAC-B43B-4F0F-9AAC-F6E7BD485917}">
      <text>
        <r>
          <rPr>
            <sz val="9"/>
            <color indexed="81"/>
            <rFont val="Tahoma"/>
            <family val="2"/>
          </rPr>
          <t xml:space="preserve">For NPV calculation
</t>
        </r>
      </text>
    </comment>
    <comment ref="L98" authorId="0" shapeId="0" xr:uid="{4253FFE4-9D70-49C4-9C6C-76C18739A3D8}">
      <text>
        <r>
          <rPr>
            <b/>
            <sz val="9"/>
            <color indexed="81"/>
            <rFont val="Tahoma"/>
            <family val="2"/>
          </rPr>
          <t>Do not change - set by Corporate HQ at 15%</t>
        </r>
      </text>
    </comment>
    <comment ref="J99" authorId="0" shapeId="0" xr:uid="{C78D38C5-CB5F-4418-BFE0-8DC41B3DAB08}">
      <text>
        <r>
          <rPr>
            <b/>
            <sz val="11"/>
            <color indexed="81"/>
            <rFont val="Tahoma"/>
            <family val="2"/>
          </rPr>
          <t xml:space="preserve">Determines whether inter-co asset transfer is factored into ROI / NPV calculation. 
If No, (default setting) </t>
        </r>
        <r>
          <rPr>
            <sz val="11"/>
            <color indexed="81"/>
            <rFont val="Tahoma"/>
            <family val="2"/>
          </rPr>
          <t xml:space="preserve">the value of asset transfer is NOT considered an incremental investment to the Interplex group, and therefore will be EXCLUDED from ROI/NPV calculation. "No" is appropriate if the asset being transferred is under-utilized at its current Site, and there is minimal opportunity cost or loss of business as result of the transfer.
If </t>
        </r>
        <r>
          <rPr>
            <b/>
            <sz val="11"/>
            <color indexed="81"/>
            <rFont val="Tahoma"/>
            <family val="2"/>
          </rPr>
          <t>Yes</t>
        </r>
        <r>
          <rPr>
            <sz val="11"/>
            <color indexed="81"/>
            <rFont val="Tahoma"/>
            <family val="2"/>
          </rPr>
          <t>, the value of asset transfer IS considered an incremental investment, and therefore will be INCLUDED in ROI/NPV calculation. "No" is appropriate if the asset being transferred is currently utilized as there is an opportunity cost or loss of business at its current site as result of the transfer. "Yes" can also be used if we would like to compute ROI / NPV at Project/Site level, rather than at Interplex Group level.</t>
        </r>
      </text>
    </comment>
    <comment ref="J100" authorId="0" shapeId="0" xr:uid="{AACE19D9-BA70-4F7D-824A-0C47F2898A6A}">
      <text>
        <r>
          <rPr>
            <b/>
            <sz val="9"/>
            <color indexed="81"/>
            <rFont val="Tahoma"/>
            <family val="2"/>
          </rPr>
          <t>If external borrowings are used, enter the applicable interest rate. Otherwise use 7% p.a.</t>
        </r>
        <r>
          <rPr>
            <sz val="9"/>
            <color indexed="81"/>
            <rFont val="Tahoma"/>
            <family val="2"/>
          </rPr>
          <t xml:space="preserve">
</t>
        </r>
      </text>
    </comment>
    <comment ref="J101" authorId="0" shapeId="0" xr:uid="{1A381B07-14E8-401E-8248-047BC1E41479}">
      <text>
        <r>
          <rPr>
            <b/>
            <sz val="11"/>
            <color indexed="81"/>
            <rFont val="Tahoma"/>
            <family val="2"/>
          </rPr>
          <t xml:space="preserve">Insert (+ figure) $ of external borrowings. In general, a minimum of 50% of capex value should be assumed to be funded by external borrowings except if Site has sufficient surplus cash in its bank account to finance the capex requirements. If this is left blank, the model assumes funding via equity or surplus cash.
All external borrowings must be repaid during the life of the project. Insert debt repayment assumption (-ve figure) such that the entire loan amount is repaid and project cash balance remains positive every year-end. 
</t>
        </r>
        <r>
          <rPr>
            <sz val="11"/>
            <color indexed="81"/>
            <rFont val="Tahoma"/>
            <family val="2"/>
          </rPr>
          <t xml:space="preserve">Use of debt will have the following effect on the model:
1. Interest Expense will be calculated on the debt value and recorded in the PNL
2. Balance sheet will record the outstanding amount of debt
3. Debt must be repaid. Any debt drawdown must be offset by a repayment such that the row total must add up to zero.
</t>
        </r>
      </text>
    </comment>
    <comment ref="N101" authorId="0" shapeId="0" xr:uid="{8848C61B-986A-4CF1-B767-7B347E32F920}">
      <text>
        <r>
          <rPr>
            <sz val="11"/>
            <color indexed="81"/>
            <rFont val="Tahoma"/>
            <family val="2"/>
          </rPr>
          <t>Insert debt funding amount such that Project Cash Balance at Year-end is positive (2 rows down). Make an assumption on debt repayment based on Project cash balance surplus. If Site has no capacity to assume debt, then enter funding in the Equity section below.
If not sure about debt, then assume all funding requirement is by way of equity. Insert funding requirement in cell below.</t>
        </r>
      </text>
    </comment>
    <comment ref="J102" authorId="0" shapeId="0" xr:uid="{F8688EF1-3496-4865-9EB9-51AA5B7F1A49}">
      <text>
        <r>
          <rPr>
            <b/>
            <sz val="11"/>
            <color indexed="81"/>
            <rFont val="Tahoma"/>
            <family val="2"/>
          </rPr>
          <t>After determining external debt funding amount, the model will automatically assume the balance of funding requirements will be made via equity. Funding is needed to pay for capex and working capital requirements of the project.
The use of equity will have the following effect:
1. Equity value will be recorded in shareholder equity on the balance sheet
2. No interest cost is calculated</t>
        </r>
      </text>
    </comment>
    <comment ref="N102" authorId="0" shapeId="0" xr:uid="{0AE48E84-D3D6-41A6-B176-B2731CE12A9C}">
      <text>
        <r>
          <rPr>
            <sz val="11"/>
            <color indexed="81"/>
            <rFont val="Tahoma"/>
            <family val="2"/>
          </rPr>
          <t>After determining debt funding, insert equity funding amount such that Project Cash Balance at Year-end is positive (1 rows down). Equity funding for project could originate from site surplus cash flow or new equity injection.</t>
        </r>
      </text>
    </comment>
    <comment ref="J107" authorId="1" shapeId="0" xr:uid="{07E841ED-FDCA-48D9-9F58-B58B3D09361D}">
      <text>
        <r>
          <rPr>
            <b/>
            <sz val="10"/>
            <color indexed="81"/>
            <rFont val="Tahoma"/>
            <family val="2"/>
          </rPr>
          <t>Unfavorable or Excess WC / (Favourable WC)</t>
        </r>
        <r>
          <rPr>
            <sz val="10"/>
            <color indexed="81"/>
            <rFont val="Tahoma"/>
            <family val="2"/>
          </rPr>
          <t xml:space="preserve">
</t>
        </r>
      </text>
    </comment>
    <comment ref="J109" authorId="1" shapeId="0" xr:uid="{62130530-E29D-43F9-B6C6-592418A78410}">
      <text>
        <r>
          <rPr>
            <sz val="10"/>
            <color indexed="81"/>
            <rFont val="Tahoma"/>
            <family val="2"/>
          </rPr>
          <t>Standard working capital allowance is calculated assuming 50% Raw Materials and 50% FG
i.e. Standard WC allocance = DIO of 15 days for RM and 15 days for WIP&amp;FG</t>
        </r>
      </text>
    </comment>
    <comment ref="I113" authorId="0" shapeId="0" xr:uid="{4443BB97-E9F3-4C00-97ED-243040979913}">
      <text>
        <r>
          <rPr>
            <b/>
            <sz val="11"/>
            <color indexed="81"/>
            <rFont val="Tahoma"/>
            <family val="2"/>
          </rPr>
          <t xml:space="preserve">Owner of Section
</t>
        </r>
        <r>
          <rPr>
            <sz val="11"/>
            <color indexed="81"/>
            <rFont val="Tahoma"/>
            <family val="2"/>
          </rPr>
          <t xml:space="preserve">Site/Region Controller </t>
        </r>
      </text>
    </comment>
    <comment ref="J137" authorId="0" shapeId="0" xr:uid="{E0BAF0D2-BE0B-40C6-857B-F159B4A332D8}">
      <text>
        <r>
          <rPr>
            <sz val="11"/>
            <color indexed="81"/>
            <rFont val="Tahoma"/>
            <family val="2"/>
          </rPr>
          <t>Maybe used for any unsual items such as govt grants, subsidies, etc.</t>
        </r>
      </text>
    </comment>
    <comment ref="N139" authorId="1" shapeId="0" xr:uid="{4CDC81A3-D54B-4008-A9F9-451D03BF2E0D}">
      <text>
        <r>
          <rPr>
            <b/>
            <sz val="12"/>
            <color indexed="81"/>
            <rFont val="Tahoma"/>
            <family val="2"/>
          </rPr>
          <t>Calendar Year of Tooling Sale</t>
        </r>
        <r>
          <rPr>
            <sz val="12"/>
            <color indexed="81"/>
            <rFont val="Tahoma"/>
            <family val="2"/>
          </rPr>
          <t xml:space="preserve"> should according to year customer PPAP approval is expected (Note: Should be same or before SOP year for 1st tool set)
</t>
        </r>
      </text>
    </comment>
    <comment ref="P139" authorId="1" shapeId="0" xr:uid="{193053F4-9997-41C8-83E3-201EAA4FA1BD}">
      <text>
        <r>
          <rPr>
            <b/>
            <sz val="12"/>
            <color indexed="81"/>
            <rFont val="Tahoma"/>
            <family val="2"/>
          </rPr>
          <t>Calendar Year of Tooling Sale</t>
        </r>
        <r>
          <rPr>
            <sz val="12"/>
            <color indexed="81"/>
            <rFont val="Tahoma"/>
            <family val="2"/>
          </rPr>
          <t xml:space="preserve"> should according to year customer PPAP approval is expected (Note: Should be same or before SOP year for 1st tool set)
</t>
        </r>
      </text>
    </comment>
    <comment ref="R139" authorId="1" shapeId="0" xr:uid="{7F287167-0031-40A9-92E7-28189C9F79E8}">
      <text>
        <r>
          <rPr>
            <b/>
            <sz val="12"/>
            <color indexed="81"/>
            <rFont val="Tahoma"/>
            <family val="2"/>
          </rPr>
          <t>Calendar Year of Tooling Sale</t>
        </r>
        <r>
          <rPr>
            <sz val="12"/>
            <color indexed="81"/>
            <rFont val="Tahoma"/>
            <family val="2"/>
          </rPr>
          <t xml:space="preserve"> should according to year customer PPAP approval is expected (Note: Should be same or before SOP year for 1st tool set)
</t>
        </r>
      </text>
    </comment>
    <comment ref="T139" authorId="1" shapeId="0" xr:uid="{A6F43D71-BD6D-496F-9645-02467F980E09}">
      <text>
        <r>
          <rPr>
            <b/>
            <sz val="12"/>
            <color indexed="81"/>
            <rFont val="Tahoma"/>
            <family val="2"/>
          </rPr>
          <t>Calendar Year of Tooling Sale</t>
        </r>
        <r>
          <rPr>
            <sz val="12"/>
            <color indexed="81"/>
            <rFont val="Tahoma"/>
            <family val="2"/>
          </rPr>
          <t xml:space="preserve"> should according to year customer PPAP approval is expected (Note: Should be same or before SOP year for 1st tool set)
</t>
        </r>
      </text>
    </comment>
    <comment ref="V139" authorId="1" shapeId="0" xr:uid="{2C7CBA00-ABD0-43AF-997C-416F1B9465B4}">
      <text>
        <r>
          <rPr>
            <b/>
            <sz val="12"/>
            <color indexed="81"/>
            <rFont val="Tahoma"/>
            <family val="2"/>
          </rPr>
          <t>Calendar Year of Tooling Sale</t>
        </r>
        <r>
          <rPr>
            <sz val="12"/>
            <color indexed="81"/>
            <rFont val="Tahoma"/>
            <family val="2"/>
          </rPr>
          <t xml:space="preserve"> should according to year customer PPAP approval is expected (Note: Should be same or before SOP year for 1st tool set)
</t>
        </r>
      </text>
    </comment>
    <comment ref="X139" authorId="1" shapeId="0" xr:uid="{797D5B95-E0E2-4FD6-A8F8-0902B04EC8E1}">
      <text>
        <r>
          <rPr>
            <b/>
            <sz val="12"/>
            <color indexed="81"/>
            <rFont val="Tahoma"/>
            <family val="2"/>
          </rPr>
          <t>Calendar Year of Tooling Sale</t>
        </r>
        <r>
          <rPr>
            <sz val="12"/>
            <color indexed="81"/>
            <rFont val="Tahoma"/>
            <family val="2"/>
          </rPr>
          <t xml:space="preserve"> should according to year customer PPAP approval is expected (Note: Should be same or before SOP year for 1st tool set)
</t>
        </r>
      </text>
    </comment>
    <comment ref="J140" authorId="1" shapeId="0" xr:uid="{61041F6D-A964-4F20-A776-A635B2086839}">
      <text>
        <r>
          <rPr>
            <b/>
            <sz val="11"/>
            <color indexed="81"/>
            <rFont val="Tahoma"/>
            <family val="2"/>
          </rPr>
          <t>Enter the Cost of Tooling or Automation as quoted by vendor. If vendor is TIC or other Inter-Co, refer note below.</t>
        </r>
        <r>
          <rPr>
            <sz val="11"/>
            <color indexed="81"/>
            <rFont val="Tahoma"/>
            <family val="2"/>
          </rPr>
          <t xml:space="preserve">
Note: If the tool/automation is manufactured by TIC or other Inter-Co, please request for and enter TIC internal cost (excluding profit margin). If despite making the request, this information is not available, assume the COS is 90% of TIC quoted price.
</t>
        </r>
      </text>
    </comment>
    <comment ref="N140" authorId="1" shapeId="0" xr:uid="{BB396032-A615-4324-9A95-700746C1F0BA}">
      <text>
        <r>
          <rPr>
            <b/>
            <sz val="12"/>
            <color indexed="81"/>
            <rFont val="Tahoma"/>
            <family val="2"/>
          </rPr>
          <t xml:space="preserve">Fill-in the Tooling COS manually </t>
        </r>
        <r>
          <rPr>
            <sz val="12"/>
            <color indexed="81"/>
            <rFont val="Tahoma"/>
            <family val="2"/>
          </rPr>
          <t xml:space="preserve">according to the tooling cost in Tooling CBD. The default formula assumes COS = Sales Price. Please update maually if there is a profit margin.
</t>
        </r>
      </text>
    </comment>
    <comment ref="P140" authorId="1" shapeId="0" xr:uid="{E56F2061-B158-4FCF-8EC9-72768D32A73E}">
      <text>
        <r>
          <rPr>
            <b/>
            <sz val="12"/>
            <color indexed="81"/>
            <rFont val="Tahoma"/>
            <family val="2"/>
          </rPr>
          <t xml:space="preserve">Fill-in the Tooling COS manually </t>
        </r>
        <r>
          <rPr>
            <sz val="12"/>
            <color indexed="81"/>
            <rFont val="Tahoma"/>
            <family val="2"/>
          </rPr>
          <t xml:space="preserve">according to the tooling cost in Tooling CBD. The default formula assumes COS = Sales Price. Please update maually if there is a profit margin.
</t>
        </r>
      </text>
    </comment>
    <comment ref="R140" authorId="1" shapeId="0" xr:uid="{1CABB6C7-A1EA-4E38-B408-4F822F25E6C0}">
      <text>
        <r>
          <rPr>
            <b/>
            <sz val="12"/>
            <color indexed="81"/>
            <rFont val="Tahoma"/>
            <family val="2"/>
          </rPr>
          <t xml:space="preserve">Fill-in the Tooling COS manually </t>
        </r>
        <r>
          <rPr>
            <sz val="12"/>
            <color indexed="81"/>
            <rFont val="Tahoma"/>
            <family val="2"/>
          </rPr>
          <t xml:space="preserve">according to the tooling cost in Tooling CBD. The default formula assumes COS = Sales Price. Please update maually if there is a profit margin.
</t>
        </r>
      </text>
    </comment>
    <comment ref="T140" authorId="1" shapeId="0" xr:uid="{B2EB9040-9AD6-4580-8983-F31FCF154152}">
      <text>
        <r>
          <rPr>
            <b/>
            <sz val="12"/>
            <color indexed="81"/>
            <rFont val="Tahoma"/>
            <family val="2"/>
          </rPr>
          <t xml:space="preserve">Fill-in the Tooling COS manually </t>
        </r>
        <r>
          <rPr>
            <sz val="12"/>
            <color indexed="81"/>
            <rFont val="Tahoma"/>
            <family val="2"/>
          </rPr>
          <t xml:space="preserve">according to the tooling cost in Tooling CBD. The default formula assumes COS = Sales Price. Please update maually if there is a profit margin.
</t>
        </r>
      </text>
    </comment>
    <comment ref="V140" authorId="1" shapeId="0" xr:uid="{37E560F7-CD86-47B0-B153-2F29882AD870}">
      <text>
        <r>
          <rPr>
            <b/>
            <sz val="12"/>
            <color indexed="81"/>
            <rFont val="Tahoma"/>
            <family val="2"/>
          </rPr>
          <t xml:space="preserve">Fill-in the Tooling COS manually </t>
        </r>
        <r>
          <rPr>
            <sz val="12"/>
            <color indexed="81"/>
            <rFont val="Tahoma"/>
            <family val="2"/>
          </rPr>
          <t xml:space="preserve">according to the tooling cost in Tooling CBD. The default formula assumes COS = Sales Price. Please update maually if there is a profit margin.
</t>
        </r>
      </text>
    </comment>
    <comment ref="X140" authorId="1" shapeId="0" xr:uid="{ABD1BE0B-AEC4-4D50-A6BB-204DF192FC46}">
      <text>
        <r>
          <rPr>
            <b/>
            <sz val="12"/>
            <color indexed="81"/>
            <rFont val="Tahoma"/>
            <family val="2"/>
          </rPr>
          <t xml:space="preserve">Fill-in the Tooling COS manually </t>
        </r>
        <r>
          <rPr>
            <sz val="12"/>
            <color indexed="81"/>
            <rFont val="Tahoma"/>
            <family val="2"/>
          </rPr>
          <t xml:space="preserve">according to the tooling cost in Tooling CBD. The default formula assumes COS = Sales Price. Please update maually if there is a profit margin.
</t>
        </r>
      </text>
    </comment>
    <comment ref="J146" authorId="1" shapeId="0" xr:uid="{DE613715-1579-4EAA-BAD6-9C1EF2B5E9BF}">
      <text>
        <r>
          <rPr>
            <sz val="11"/>
            <color indexed="81"/>
            <rFont val="Tahoma"/>
            <family val="2"/>
          </rPr>
          <t xml:space="preserve">This section is created for any manual adjustments that Finance controller consider appropriate to presented a more accurate PNL of the project. 
This section should be used by qualified member of Finance function ONLY.
Adjustments here will create deviations between the CBD PNL versus Pre-CER PNL. And cash flow affected accordingly. e.g. adjustments for fixed vs variable overheads, tooling amortizationf, fixed vs variable SG&amp;A, etc.
</t>
        </r>
      </text>
    </comment>
    <comment ref="J148" authorId="1" shapeId="0" xr:uid="{7A0983B2-23F7-44A8-8E5B-28A5363DB08B}">
      <text>
        <r>
          <rPr>
            <b/>
            <sz val="11"/>
            <color indexed="81"/>
            <rFont val="Tahoma"/>
            <family val="2"/>
          </rPr>
          <t xml:space="preserve">If there are Inter-Co purchase components in the CBD and transfer cost includes profit margin made by the seller, then enter the estimated inter profit amount (as + positive number) for each year. The iner-co profit will be added back to GP &amp; EBITDA.
Reason: </t>
        </r>
        <r>
          <rPr>
            <sz val="11"/>
            <color indexed="81"/>
            <rFont val="Tahoma"/>
            <family val="2"/>
          </rPr>
          <t>For the purposes of CER simulation, the cost of such components should be based on Standard Cost at the Inter-Co site. You will need to obtain this the inter-co profit data from the Site GM or Controller.
This will ensure the CER financial analysis provides the Group perspective (eliminating any significant inter-company profits)</t>
        </r>
      </text>
    </comment>
    <comment ref="J149" authorId="1" shapeId="0" xr:uid="{8825BF29-FC1F-4247-A8D9-521AB2BAD9C3}">
      <text>
        <r>
          <rPr>
            <b/>
            <sz val="11"/>
            <color indexed="81"/>
            <rFont val="Tahoma"/>
            <family val="2"/>
          </rPr>
          <t xml:space="preserve">If, 
</t>
        </r>
        <r>
          <rPr>
            <sz val="11"/>
            <color indexed="81"/>
            <rFont val="Tahoma"/>
            <family val="2"/>
          </rPr>
          <t xml:space="preserve">1) the IDL rate in CBD is based on full absorption cost, and
2) this RFQ is not an anchor program, but is instead for short term / capacity loading and overheads absorption, </t>
        </r>
        <r>
          <rPr>
            <b/>
            <sz val="11"/>
            <color indexed="81"/>
            <rFont val="Tahoma"/>
            <family val="2"/>
          </rPr>
          <t xml:space="preserve">then enter the estimated adjustment (as + positive number) to remove the fixed cost component of IDL rate. 
</t>
        </r>
        <r>
          <rPr>
            <sz val="11"/>
            <color indexed="81"/>
            <rFont val="Tahoma"/>
            <family val="2"/>
          </rPr>
          <t xml:space="preserve">
The remaining cost in PNL represents variable (or incremental) cost only. If this RFQ has no incremental cost and provided both criteria above are met, then the PNL cost should be fully eliminated.</t>
        </r>
      </text>
    </comment>
    <comment ref="J150" authorId="1" shapeId="0" xr:uid="{3D24C57C-D0FA-49F8-83F4-D8AE2DA8B7CE}">
      <text>
        <r>
          <rPr>
            <b/>
            <sz val="11"/>
            <color indexed="81"/>
            <rFont val="Tahoma"/>
            <family val="2"/>
          </rPr>
          <t xml:space="preserve">If, 
</t>
        </r>
        <r>
          <rPr>
            <sz val="11"/>
            <color indexed="81"/>
            <rFont val="Tahoma"/>
            <family val="2"/>
          </rPr>
          <t xml:space="preserve">1) the Factory Support overheads rate in CBD is based on full absorption cost, and
2) this RFQ is not an anchor program, but is instead for short term / capacity loading and overheads absorption, </t>
        </r>
        <r>
          <rPr>
            <b/>
            <sz val="11"/>
            <color indexed="81"/>
            <rFont val="Tahoma"/>
            <family val="2"/>
          </rPr>
          <t xml:space="preserve">then enter the estimated adjustment (as + positive number) to remove the fixed cost component of FS rate. 
</t>
        </r>
        <r>
          <rPr>
            <sz val="11"/>
            <color indexed="81"/>
            <rFont val="Tahoma"/>
            <family val="2"/>
          </rPr>
          <t xml:space="preserve">
The remaining cost in PNL represents variable (or incremental) cost only. If this RFQ has no incremental cost and provided both criteria above are met, then the PNL cost should be fully eliminated</t>
        </r>
      </text>
    </comment>
    <comment ref="J151" authorId="1" shapeId="0" xr:uid="{E200F243-A45E-4DAD-A30F-4E1D19F68A43}">
      <text>
        <r>
          <rPr>
            <b/>
            <sz val="10"/>
            <color indexed="81"/>
            <rFont val="Tahoma"/>
            <family val="2"/>
          </rPr>
          <t>Input amortization of Interplex co-invested tooling or automation. For use of the amortization reflected in the CBD is incorrect.</t>
        </r>
        <r>
          <rPr>
            <sz val="10"/>
            <color indexed="81"/>
            <rFont val="Tahoma"/>
            <family val="2"/>
          </rPr>
          <t xml:space="preserve">
Note: Tooling/Automation co-invest must be 100% amortized by end of project. Otherwise, model will return an error message. Amortization period (period of recovery from customer) should not exceed 3 years, or maximum of 5 years for very large strategic projects.
To check if you have fully amortized the co-investment, refer to Section 1C or Section 4A (Balance Sheet). These section will show the Unamortized Balance, if any.
</t>
        </r>
      </text>
    </comment>
    <comment ref="J152" authorId="0" shapeId="0" xr:uid="{1B8DE2B1-ACAF-4DBD-8C8B-399420CAD9DE}">
      <text>
        <r>
          <rPr>
            <sz val="11"/>
            <color indexed="81"/>
            <rFont val="Tahoma"/>
            <family val="2"/>
          </rPr>
          <t xml:space="preserve">Available for use for </t>
        </r>
        <r>
          <rPr>
            <b/>
            <sz val="11"/>
            <color indexed="81"/>
            <rFont val="Tahoma"/>
            <family val="2"/>
          </rPr>
          <t>exceptional or one-off costs</t>
        </r>
        <r>
          <rPr>
            <sz val="11"/>
            <color indexed="81"/>
            <rFont val="Tahoma"/>
            <family val="2"/>
          </rPr>
          <t xml:space="preserve">. Enter in the year that expense is expected to occur. e.g.
1. Pre-production cost (IDL/DL recruitment/training, site preparation, etc.) 
2. Business links, rebates
3. Write off of surplus / obsolete inventory due to vendor MOQ
</t>
        </r>
      </text>
    </comment>
    <comment ref="J156" authorId="1" shapeId="0" xr:uid="{E79D617B-3262-4370-A8C4-A8BEEA514967}">
      <text>
        <r>
          <rPr>
            <b/>
            <sz val="11"/>
            <color indexed="81"/>
            <rFont val="Tahoma"/>
            <family val="2"/>
          </rPr>
          <t xml:space="preserve">If, 
</t>
        </r>
        <r>
          <rPr>
            <sz val="11"/>
            <color indexed="81"/>
            <rFont val="Tahoma"/>
            <family val="2"/>
          </rPr>
          <t xml:space="preserve">1) the S&amp;M and R&amp;D rate in CBD is based on full absorption cost, and
2) this RFQ is not an anchor program, but is instead for short term / capacity loading and overheads absorption, </t>
        </r>
        <r>
          <rPr>
            <b/>
            <sz val="11"/>
            <color indexed="81"/>
            <rFont val="Tahoma"/>
            <family val="2"/>
          </rPr>
          <t xml:space="preserve">then enter the estimated adjustment (as + positive number) to remove the fixed cost component of the overheads rate. 
</t>
        </r>
        <r>
          <rPr>
            <sz val="11"/>
            <color indexed="81"/>
            <rFont val="Tahoma"/>
            <family val="2"/>
          </rPr>
          <t xml:space="preserve">
The remaining cost in PNL represents variable (or incremental) cost only. If this RFQ has no incremental cost and provided both criteria above are met, then the PNL cost should be fully eliminated.</t>
        </r>
      </text>
    </comment>
    <comment ref="J157" authorId="1" shapeId="0" xr:uid="{A7A4E3F2-6D8B-4654-B0DC-61D02A3DAA77}">
      <text>
        <r>
          <rPr>
            <b/>
            <sz val="11"/>
            <color indexed="81"/>
            <rFont val="Tahoma"/>
            <family val="2"/>
          </rPr>
          <t xml:space="preserve">If, 
</t>
        </r>
        <r>
          <rPr>
            <sz val="11"/>
            <color indexed="81"/>
            <rFont val="Tahoma"/>
            <family val="2"/>
          </rPr>
          <t xml:space="preserve">1) the IDL rate in CBD is based on full absorption cost, and
2) this RFQ is not an anchor program, but is instead for short term / capacity loading and overheads absorption, </t>
        </r>
        <r>
          <rPr>
            <b/>
            <sz val="11"/>
            <color indexed="81"/>
            <rFont val="Tahoma"/>
            <family val="2"/>
          </rPr>
          <t xml:space="preserve">then enter the estimated adjustment (as + positive number) to remove the fixed cost component of IDL rate. 
</t>
        </r>
        <r>
          <rPr>
            <sz val="11"/>
            <color indexed="81"/>
            <rFont val="Tahoma"/>
            <family val="2"/>
          </rPr>
          <t xml:space="preserve">
The remaining cost in PNL represents variable (or incremental) cost only. If this RFQ has no incremental cost and provided both criteria above are met, then the PNL cost should be fully eliminated.</t>
        </r>
      </text>
    </comment>
    <comment ref="J170" authorId="0" shapeId="0" xr:uid="{9B466163-C144-479F-B90A-A3758DB8CA12}">
      <text>
        <r>
          <rPr>
            <sz val="11"/>
            <color indexed="81"/>
            <rFont val="Tahoma"/>
            <family val="2"/>
          </rPr>
          <t>Note: this model does not account for deferred tax asset arising from PNL losses (due to complications on cash flow statement). Therefore the PNL does not show a tax credit in event of losses.</t>
        </r>
      </text>
    </comment>
    <comment ref="J211" authorId="0" shapeId="0" xr:uid="{F15E5F46-A571-432F-B49C-265C78EA8515}">
      <text>
        <r>
          <rPr>
            <sz val="11"/>
            <color indexed="81"/>
            <rFont val="Tahoma"/>
            <family val="2"/>
          </rPr>
          <t xml:space="preserve">Trade payables = (COGS + Production Cost x 30%*) x Acct Payable Days / 365
*Only 30% of Production Cost is used as a large proportion is paid only without any credit terms e.g. IDL wages or salaries, rentals, etc.
</t>
        </r>
      </text>
    </comment>
    <comment ref="N294" authorId="0" shapeId="0" xr:uid="{7BCCE0DC-F955-4B28-95AF-51C135CE85CE}">
      <text>
        <r>
          <rPr>
            <sz val="11"/>
            <color indexed="81"/>
            <rFont val="Tahoma"/>
            <family val="2"/>
          </rPr>
          <t xml:space="preserve">Depreciation in 1st year of revenue is calculated assuming depreciation begins in SOP month. e.g. if SOP month is Mar (SOP month=3), then 10 months of depreciation on the capex incurred is imputed for that year. Annual straightline depreciation methodology is used.
Cell is unlocked in the unlikely event an amendment of 1st year depreciation is required.
</t>
        </r>
      </text>
    </comment>
    <comment ref="O294" authorId="0" shapeId="0" xr:uid="{3AB9DF92-4354-4813-B731-301D2C7AE7ED}">
      <text>
        <r>
          <rPr>
            <sz val="11"/>
            <color indexed="81"/>
            <rFont val="Tahoma"/>
            <family val="2"/>
          </rPr>
          <t xml:space="preserve">Depreciation in 1st year of revenue is calculated assuming depreciation begins in SOP month. e.g. if SOP month is Mar (SOP month=3), then 10 months of depreciation on the capex incurred is imputed for that year. Annual straightline depreciation methodology is used.
Cell is unlocked in the unlikely event an amendment of 1st year depreciation is required.
</t>
        </r>
      </text>
    </comment>
    <comment ref="P294" authorId="0" shapeId="0" xr:uid="{3889AFDD-5476-4AFC-93F8-5FB5719DEA95}">
      <text>
        <r>
          <rPr>
            <sz val="11"/>
            <color indexed="81"/>
            <rFont val="Tahoma"/>
            <family val="2"/>
          </rPr>
          <t xml:space="preserve">Depreciation in 1st year of revenue is calculated assuming depreciation begins in SOP month. e.g. if SOP month is Mar (SOP month=3), then 10 months of depreciation on the capex incurred is imputed for that year. Annual straightline depreciation methodology is used.
Cell is unlocked in the unlikely event an amendment of 1st year depreciation is required.
</t>
        </r>
      </text>
    </comment>
    <comment ref="J326" authorId="0" shapeId="0" xr:uid="{B1A69646-C452-434C-9524-93E1254F234E}">
      <text>
        <r>
          <rPr>
            <sz val="11"/>
            <color indexed="81"/>
            <rFont val="Tahoma"/>
            <family val="2"/>
          </rPr>
          <t>Payback period of capex is calculated as the time taken for cash generated from the project to recover the cost of capex (starting from the year capex is first incurred).</t>
        </r>
        <r>
          <rPr>
            <b/>
            <sz val="11"/>
            <color indexed="81"/>
            <rFont val="Tahoma"/>
            <family val="2"/>
          </rPr>
          <t xml:space="preserve"> 
Note: 
</t>
        </r>
        <r>
          <rPr>
            <sz val="11"/>
            <color indexed="81"/>
            <rFont val="Tahoma"/>
            <family val="2"/>
          </rPr>
          <t xml:space="preserve">For simplicity, the 1st year of capex is considered 0.5 years (i.e. assumes capex incurred at mid-year)
The cash flow is nominal i.e. undiscounted. </t>
        </r>
      </text>
    </comment>
    <comment ref="J329" authorId="0" shapeId="0" xr:uid="{CA467F79-4EE0-4851-A356-920F452B76E5}">
      <text>
        <r>
          <rPr>
            <sz val="11"/>
            <color indexed="81"/>
            <rFont val="Tahoma"/>
            <family val="2"/>
          </rPr>
          <t>Payback period of capex is calculated as the time taken for cash generated from the project to recover the cost of capex (starting from the year capex is first incurred).</t>
        </r>
        <r>
          <rPr>
            <b/>
            <sz val="11"/>
            <color indexed="81"/>
            <rFont val="Tahoma"/>
            <family val="2"/>
          </rPr>
          <t xml:space="preserve"> 
Note: 
</t>
        </r>
        <r>
          <rPr>
            <sz val="11"/>
            <color indexed="81"/>
            <rFont val="Tahoma"/>
            <family val="2"/>
          </rPr>
          <t xml:space="preserve">For simplicity, the 1st year of capex is considered 0.5 years (i.e. assumes capex incurred at mid-year)
The cash flow is nominal i.e. undiscounted.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Tomchi</author>
    <author>Tom LAM</author>
  </authors>
  <commentList>
    <comment ref="J7" authorId="0" shapeId="0" xr:uid="{041A20C0-68CA-4F9D-ABD5-A3D20CE7B90F}">
      <text>
        <r>
          <rPr>
            <sz val="12"/>
            <color indexed="81"/>
            <rFont val="Tahoma"/>
            <family val="2"/>
          </rPr>
          <t>Originator: T.Lam; Reviewed &amp; Approved by: J.Soon</t>
        </r>
        <r>
          <rPr>
            <b/>
            <sz val="12"/>
            <color indexed="81"/>
            <rFont val="Tahoma"/>
            <family val="2"/>
          </rPr>
          <t xml:space="preserve">
Revision History:
v0.1</t>
        </r>
        <r>
          <rPr>
            <sz val="12"/>
            <color indexed="81"/>
            <rFont val="Tahoma"/>
            <family val="2"/>
          </rPr>
          <t xml:space="preserve"> dd 131022: Issued for testing and feedback
</t>
        </r>
        <r>
          <rPr>
            <b/>
            <sz val="12"/>
            <color indexed="81"/>
            <rFont val="Tahoma"/>
            <family val="2"/>
          </rPr>
          <t>v0.2</t>
        </r>
        <r>
          <rPr>
            <sz val="12"/>
            <color indexed="81"/>
            <rFont val="Tahoma"/>
            <family val="2"/>
          </rPr>
          <t xml:space="preserve"> dd 141022: Updated for integration to CBD standard template. Formating, cell notes and formula changes.
</t>
        </r>
        <r>
          <rPr>
            <b/>
            <sz val="12"/>
            <color indexed="81"/>
            <rFont val="Tahoma"/>
            <family val="2"/>
          </rPr>
          <t>V0.3</t>
        </r>
        <r>
          <rPr>
            <sz val="12"/>
            <color indexed="81"/>
            <rFont val="Tahoma"/>
            <family val="2"/>
          </rPr>
          <t xml:space="preserve"> dd 181022: Further integration to CBD. capex (2B1) to hard code link to CBD Investment, inserted a new row (2B2) for manual capex input. Hard code the linked of Year 1 number of days of revenue to CQSC (2D). Refinement to year 1 calculation of ROI.
</t>
        </r>
        <r>
          <rPr>
            <b/>
            <sz val="12"/>
            <color indexed="81"/>
            <rFont val="Tahoma"/>
            <family val="2"/>
          </rPr>
          <t>V1.0</t>
        </r>
        <r>
          <rPr>
            <sz val="12"/>
            <color indexed="81"/>
            <rFont val="Tahoma"/>
            <family val="2"/>
          </rPr>
          <t xml:space="preserve"> dd 271022: Issued for pilot testing and implementation as part of CQSC integrated package. Created inventory components
</t>
        </r>
        <r>
          <rPr>
            <b/>
            <sz val="12"/>
            <color indexed="81"/>
            <rFont val="Tahoma"/>
            <family val="2"/>
          </rPr>
          <t>V1.1</t>
        </r>
        <r>
          <rPr>
            <sz val="12"/>
            <color indexed="81"/>
            <rFont val="Tahoma"/>
            <family val="2"/>
          </rPr>
          <t xml:space="preserve"> dd 051122: Debugging. Issued for pilot testing and implementation
</t>
        </r>
        <r>
          <rPr>
            <b/>
            <sz val="12"/>
            <color indexed="81"/>
            <rFont val="Tahoma"/>
            <family val="2"/>
          </rPr>
          <t xml:space="preserve">V1.2 </t>
        </r>
        <r>
          <rPr>
            <sz val="12"/>
            <color indexed="81"/>
            <rFont val="Tahoma"/>
            <family val="2"/>
          </rPr>
          <t xml:space="preserve">dd 131222 &amp; 040123: Tooling recoverable calculation tables in 2 places (1)Tooling Milestone calculation table column AE, (2) manual input. If method (1) Tooling Milestone calculation table is used, then Peak Funding Gap now includes maximum CF deficit due to tool payment vs customer collection. Total Investment includes Tooling PNL Loss. Debugging. 
</t>
        </r>
        <r>
          <rPr>
            <b/>
            <sz val="12"/>
            <color indexed="81"/>
            <rFont val="Tahoma"/>
            <family val="2"/>
          </rPr>
          <t>V1.3</t>
        </r>
        <r>
          <rPr>
            <sz val="12"/>
            <color indexed="81"/>
            <rFont val="Tahoma"/>
            <family val="2"/>
          </rPr>
          <t xml:space="preserve"> dd 190323: Split Investment between Capex vs Tooling investment / Deficit, new metrix EBIT% Total Revenue, Debugging: Updated Check formula to exclude Tooling recoverable offset, Typos, etc. All changes has no impact on PNL or ROI calculation. [CQSC: Investment tab depreciation schedule for capex, link to SFP254 depreciation life.]
</t>
        </r>
        <r>
          <rPr>
            <b/>
            <sz val="12"/>
            <color indexed="81"/>
            <rFont val="Tahoma"/>
            <family val="2"/>
          </rPr>
          <t>V1.3</t>
        </r>
        <r>
          <rPr>
            <sz val="12"/>
            <color indexed="81"/>
            <rFont val="Tahoma"/>
            <family val="2"/>
          </rPr>
          <t xml:space="preserve"> dd 200323: Debugging - corrected summation formula for Tooling Margin (row 142) and EBITDA per CBD (row 143).
</t>
        </r>
        <r>
          <rPr>
            <b/>
            <sz val="12"/>
            <color indexed="81"/>
            <rFont val="Tahoma"/>
            <family val="2"/>
          </rPr>
          <t>V1.4</t>
        </r>
        <r>
          <rPr>
            <sz val="12"/>
            <color indexed="81"/>
            <rFont val="Tahoma"/>
            <family val="2"/>
          </rPr>
          <t xml:space="preserve"> dd 190523: Creation of Section 9, being a replica of Section 1 but values are displayed in USD for presentation purposes. [date 020623] Section 7B, 1st Yr ROI starts if CF exceeds -0.05% of LTR (e.g. -$5K for LTR $10m), Section 1C, Ave Annual WC$ calculation excl 1st yr. [date 210623] In the Consol worksheet, Unlocked depreciation life on row 94 for manual input. No changes in formula or format. Updated Year furmula in AR73-87 in case mismatch btw tool fabrication year vs header years. Section1: EBITDA% formula use total revenue as denominator. [date 260623] Inserted Section 10, Charts for presentation.[050723] Depreciation cal in 1st Yr rev, row294, based on SOP mth (prev 50%). [180723] Debugging GP% at L375. [201223] Debugging ROI interval-yr glitch, Row 326 ROI count all Yrs w -ve Cum CF &gt;0.05%LTR Rev. [050124] Inserted IRR% for ref in K37, In CQSC file, starting Year N11 link to Part CBD and created new worksheet for USD Only Pre-CER as common currency for multi-programs consolidation. [100124] Tooling CBD: Year formula Z81 for Ph2 start date fail-safe; section 8 Scorecard "Rev (Parts+Tooling)", update Direct Method CF (row251) for presentation only. [230124] WACC display cell K392 updated. No chnge to calculations.[310124] CQSC update to v33
</t>
        </r>
        <r>
          <rPr>
            <b/>
            <sz val="12"/>
            <color indexed="81"/>
            <rFont val="Tahoma"/>
            <family val="2"/>
          </rPr>
          <t>v1.5</t>
        </r>
        <r>
          <rPr>
            <sz val="12"/>
            <color indexed="81"/>
            <rFont val="Tahoma"/>
            <family val="2"/>
          </rPr>
          <t xml:space="preserve"> dd090424. Updated formula in cells N78 and O78 to compute Revenue Days in SOP year in different scenarios. Revenue Days impact working capital calculation. </t>
        </r>
      </text>
    </comment>
    <comment ref="L8" authorId="1" shapeId="0" xr:uid="{2D016B5B-60A3-4E6C-A80C-8F2EEF3F8336}">
      <text>
        <r>
          <rPr>
            <sz val="12"/>
            <color indexed="81"/>
            <rFont val="Tahoma"/>
            <family val="2"/>
          </rPr>
          <t xml:space="preserve">If the autofill data is not correct, please overwrite this cell with the correct data or assumption.
</t>
        </r>
      </text>
    </comment>
    <comment ref="AC9" authorId="0" shapeId="0" xr:uid="{7CC2F8D2-C8E6-45B1-A9CB-E4E5CC11867F}">
      <text>
        <r>
          <rPr>
            <sz val="11"/>
            <color indexed="81"/>
            <rFont val="Tahoma"/>
            <family val="2"/>
          </rPr>
          <t xml:space="preserve">Cell shows results (or output) of financial model based on inputs entered. </t>
        </r>
        <r>
          <rPr>
            <b/>
            <sz val="11"/>
            <color indexed="81"/>
            <rFont val="Tahoma"/>
            <family val="2"/>
          </rPr>
          <t>Do NOT enter data into this cell</t>
        </r>
        <r>
          <rPr>
            <sz val="11"/>
            <color indexed="81"/>
            <rFont val="Tahoma"/>
            <family val="2"/>
          </rPr>
          <t xml:space="preserve">
</t>
        </r>
      </text>
    </comment>
    <comment ref="L11" authorId="1" shapeId="0" xr:uid="{84635381-3F69-4145-BEFE-0D61C37B9DE0}">
      <text>
        <r>
          <rPr>
            <sz val="12"/>
            <color indexed="81"/>
            <rFont val="Tahoma"/>
            <family val="2"/>
          </rPr>
          <t xml:space="preserve">Insert the </t>
        </r>
        <r>
          <rPr>
            <b/>
            <sz val="12"/>
            <color indexed="81"/>
            <rFont val="Tahoma"/>
            <family val="2"/>
          </rPr>
          <t>Calendar Year of SOP</t>
        </r>
        <r>
          <rPr>
            <sz val="12"/>
            <color indexed="81"/>
            <rFont val="Tahoma"/>
            <family val="2"/>
          </rPr>
          <t xml:space="preserve">
If the autofill data is not correct, please overwrite this cell with the correct data or assumption.
</t>
        </r>
      </text>
    </comment>
    <comment ref="L12" authorId="1" shapeId="0" xr:uid="{25C68BEA-20D4-48AD-9A45-3DBC3FBF108A}">
      <text>
        <r>
          <rPr>
            <sz val="12"/>
            <color indexed="81"/>
            <rFont val="Tahoma"/>
            <family val="2"/>
          </rPr>
          <t xml:space="preserve">Insert the </t>
        </r>
        <r>
          <rPr>
            <b/>
            <sz val="12"/>
            <color indexed="81"/>
            <rFont val="Tahoma"/>
            <family val="2"/>
          </rPr>
          <t>Calendar month of SOP in Year 1</t>
        </r>
        <r>
          <rPr>
            <sz val="12"/>
            <color indexed="81"/>
            <rFont val="Tahoma"/>
            <family val="2"/>
          </rPr>
          <t xml:space="preserve">
If the autofill data is not correct, please overwrite this cell with the correct data or assumption.
</t>
        </r>
      </text>
    </comment>
    <comment ref="N12" authorId="1" shapeId="0" xr:uid="{B0AADAEC-7B9D-4EFF-BB88-F3C6AA11E769}">
      <text>
        <r>
          <rPr>
            <b/>
            <sz val="9"/>
            <color indexed="81"/>
            <rFont val="Tahoma"/>
            <family val="2"/>
          </rPr>
          <t>Insert if Calendar Year or Interplex Fiscal Year</t>
        </r>
        <r>
          <rPr>
            <sz val="9"/>
            <color indexed="81"/>
            <rFont val="Tahoma"/>
            <family val="2"/>
          </rPr>
          <t xml:space="preserve">
</t>
        </r>
      </text>
    </comment>
    <comment ref="I14" authorId="0" shapeId="0" xr:uid="{BCA0BF32-6F98-4150-BF9B-2FA285F467C4}">
      <text>
        <r>
          <rPr>
            <b/>
            <sz val="11"/>
            <color indexed="81"/>
            <rFont val="Tahoma"/>
            <family val="2"/>
          </rPr>
          <t xml:space="preserve">Sections A and B should be used when presenting the RFQ or CER for Corporate Approval. The CER financial model must be sent at least 3 working days before the presentation </t>
        </r>
        <r>
          <rPr>
            <sz val="11"/>
            <color indexed="81"/>
            <rFont val="Tahoma"/>
            <family val="2"/>
          </rPr>
          <t xml:space="preserve">
</t>
        </r>
      </text>
    </comment>
    <comment ref="J26" authorId="0" shapeId="0" xr:uid="{B70B665B-A8D8-4A76-9259-466E8CB0E4DA}">
      <text>
        <r>
          <rPr>
            <b/>
            <sz val="10"/>
            <color indexed="81"/>
            <rFont val="Tahoma"/>
            <family val="2"/>
          </rPr>
          <t>Funding requirement for the year measured at year-end, after taking into account all cash collection made from customer during the year. This is for payment of capex, tooling, working capital, operating cost but partly offset by collections made during the year
Note:</t>
        </r>
        <r>
          <rPr>
            <sz val="10"/>
            <color indexed="81"/>
            <rFont val="Tahoma"/>
            <family val="2"/>
          </rPr>
          <t xml:space="preserve"> In contrast, Peak Funding gap is the maximum gap at the start of project during the DSO period (after payment of capex, expenses and inventory) but before any cash collection is made from customer
</t>
        </r>
      </text>
    </comment>
    <comment ref="J27" authorId="0" shapeId="0" xr:uid="{58770859-E810-4335-B0D8-7A99642E1487}">
      <text>
        <r>
          <rPr>
            <b/>
            <sz val="9"/>
            <color indexed="81"/>
            <rFont val="Tahoma"/>
            <family val="2"/>
          </rPr>
          <t xml:space="preserve">Peak funding gap is the cash needed at project start-up before any customer collection have been made*. This is to pay for capex, inventory and expenses at the very begining of the project. Funding gap must be financed out of existing cash balances.
</t>
        </r>
        <r>
          <rPr>
            <sz val="9"/>
            <color indexed="81"/>
            <rFont val="Tahoma"/>
            <family val="2"/>
          </rPr>
          <t xml:space="preserve">* Note: Collection occurs after product delivery, invoicing and customer payment. Higher capex, revenue, DSO, DIO and lower DPO will results in greater amount of funding requirement. </t>
        </r>
      </text>
    </comment>
    <comment ref="J34" authorId="1" shapeId="0" xr:uid="{217463A7-8568-4E1D-9A08-B0E734EC73B1}">
      <text>
        <r>
          <rPr>
            <sz val="10"/>
            <color indexed="81"/>
            <rFont val="Tahoma"/>
            <family val="2"/>
          </rPr>
          <t>Project cumulative cash flow is typically negative at the commencement (due to investments, inventory purchases, etc) and turns positive after suffiicient cash flow has been cumulatively collected to cover the initial outlay. 
ROI is the forecasted period of time required to achieve CF break even between initial outlay and net cash collected (after paying all operating expenses)</t>
        </r>
      </text>
    </comment>
    <comment ref="K34" authorId="0" shapeId="0" xr:uid="{74DBB492-778C-4D27-B80B-D1CF018B7B79}">
      <text>
        <r>
          <rPr>
            <b/>
            <sz val="11"/>
            <color indexed="81"/>
            <rFont val="Tahoma"/>
            <family val="2"/>
          </rPr>
          <t xml:space="preserve">CPCF multiple </t>
        </r>
        <r>
          <rPr>
            <sz val="11"/>
            <color indexed="81"/>
            <rFont val="Tahoma"/>
            <family val="2"/>
          </rPr>
          <t xml:space="preserve">measures the multiple of cash returns from the investment, and is useful for ranking of different investment options. A project with higher multiple is in general more attractive than a project with a lower multiple because the higher multiple project returns more cash per $ invested. However, it is important to consider how far in future the cash is generated. A longer period increases risk and reduces the present value of that cash flow 
CPCF multiple is calculated as Cumulative Project Cash Flow divided by Total Funding requirement.
</t>
        </r>
      </text>
    </comment>
    <comment ref="J35" authorId="0" shapeId="0" xr:uid="{01C4EBB6-C02E-439F-8E74-F39297D6CE56}">
      <text>
        <r>
          <rPr>
            <b/>
            <sz val="11"/>
            <color indexed="81"/>
            <rFont val="Tahoma"/>
            <family val="2"/>
          </rPr>
          <t>ROI or Payback period</t>
        </r>
        <r>
          <rPr>
            <sz val="11"/>
            <color indexed="81"/>
            <rFont val="Tahoma"/>
            <family val="2"/>
          </rPr>
          <t xml:space="preserve"> of investment is calculated as the time taken for operating cash flows generated from the project to recover the cost of capex, tooling co-invest if any, and working capital. 
Note: 
For simplicity, in Year 1, a sliding scale of time period is assumed for calculation of ROI depending on the month of SOP:
SOP in month 1-3 (Jan-Mar) </t>
        </r>
        <r>
          <rPr>
            <b/>
            <sz val="11"/>
            <color indexed="81"/>
            <rFont val="Tahoma"/>
            <family val="2"/>
          </rPr>
          <t xml:space="preserve">0.25 </t>
        </r>
        <r>
          <rPr>
            <sz val="11"/>
            <color indexed="81"/>
            <rFont val="Tahoma"/>
            <family val="2"/>
          </rPr>
          <t xml:space="preserve">years 
SOP in month 4-9 (Apr-Sep) </t>
        </r>
        <r>
          <rPr>
            <b/>
            <sz val="11"/>
            <color indexed="81"/>
            <rFont val="Tahoma"/>
            <family val="2"/>
          </rPr>
          <t xml:space="preserve">0.5 </t>
        </r>
        <r>
          <rPr>
            <sz val="11"/>
            <color indexed="81"/>
            <rFont val="Tahoma"/>
            <family val="2"/>
          </rPr>
          <t xml:space="preserve">years 
SOP in month 1-3 (Oct-Dec) </t>
        </r>
        <r>
          <rPr>
            <b/>
            <sz val="11"/>
            <color indexed="81"/>
            <rFont val="Tahoma"/>
            <family val="2"/>
          </rPr>
          <t>0.75</t>
        </r>
        <r>
          <rPr>
            <sz val="11"/>
            <color indexed="81"/>
            <rFont val="Tahoma"/>
            <family val="2"/>
          </rPr>
          <t xml:space="preserve"> years</t>
        </r>
      </text>
    </comment>
    <comment ref="J36" authorId="1" shapeId="0" xr:uid="{B95F7A12-02E3-40B6-8FE9-7CF165569CC0}">
      <text>
        <r>
          <rPr>
            <sz val="10"/>
            <color indexed="81"/>
            <rFont val="Tahoma"/>
            <family val="2"/>
          </rPr>
          <t xml:space="preserve">Represents the value of the project in terms of incremental future net cash flow after paying for initial outlays and operating expenses. Cash Flow is discounted to today's value using WACC (weighted average cost of capital) as stated. </t>
        </r>
      </text>
    </comment>
    <comment ref="J42" authorId="0" shapeId="0" xr:uid="{0FD7F8B1-BD14-452A-B0DD-6C8703852250}">
      <text>
        <r>
          <rPr>
            <b/>
            <sz val="11"/>
            <color indexed="81"/>
            <rFont val="Tahoma"/>
            <family val="2"/>
          </rPr>
          <t xml:space="preserve">Inventory for Raw Materials, Purchase Components, Sub-Contracted works and packaging. 
</t>
        </r>
        <r>
          <rPr>
            <u/>
            <sz val="11"/>
            <color indexed="81"/>
            <rFont val="Tahoma"/>
            <family val="2"/>
          </rPr>
          <t>Factors impacting RM Inventory days:</t>
        </r>
        <r>
          <rPr>
            <b/>
            <sz val="11"/>
            <color indexed="81"/>
            <rFont val="Tahoma"/>
            <family val="2"/>
          </rPr>
          <t xml:space="preserve"> 
</t>
        </r>
        <r>
          <rPr>
            <sz val="11"/>
            <color indexed="81"/>
            <rFont val="Tahoma"/>
            <family val="2"/>
          </rPr>
          <t>1)</t>
        </r>
        <r>
          <rPr>
            <b/>
            <sz val="11"/>
            <color indexed="81"/>
            <rFont val="Tahoma"/>
            <family val="2"/>
          </rPr>
          <t xml:space="preserve"> Supplier's MOQ (mininum purchase quantity)</t>
        </r>
        <r>
          <rPr>
            <sz val="11"/>
            <color indexed="81"/>
            <rFont val="Tahoma"/>
            <family val="2"/>
          </rPr>
          <t>. A high MOQ will result in a higher level of inventory purchase relative to amount required for consumption
2)</t>
        </r>
        <r>
          <rPr>
            <b/>
            <sz val="11"/>
            <color indexed="81"/>
            <rFont val="Tahoma"/>
            <family val="2"/>
          </rPr>
          <t xml:space="preserve"> Supplier's Lead time</t>
        </r>
        <r>
          <rPr>
            <sz val="11"/>
            <color indexed="81"/>
            <rFont val="Tahoma"/>
            <family val="2"/>
          </rPr>
          <t xml:space="preserve">. A longer lead time from PO placement to arrival of delivery may lead to higher RM inventory
3) </t>
        </r>
        <r>
          <rPr>
            <b/>
            <sz val="11"/>
            <color indexed="81"/>
            <rFont val="Tahoma"/>
            <family val="2"/>
          </rPr>
          <t>Freight &amp; Handling</t>
        </r>
        <r>
          <rPr>
            <sz val="11"/>
            <color indexed="81"/>
            <rFont val="Tahoma"/>
            <family val="2"/>
          </rPr>
          <t xml:space="preserve">. Longer time for freight, customs clearance and handling may lead to higher RM inventory
</t>
        </r>
      </text>
    </comment>
    <comment ref="J43" authorId="0" shapeId="0" xr:uid="{E6A8E7B7-0342-4273-911A-A5CC0D671305}">
      <text>
        <r>
          <rPr>
            <b/>
            <sz val="11"/>
            <color indexed="81"/>
            <rFont val="Tahoma"/>
            <family val="2"/>
          </rPr>
          <t xml:space="preserve">Inventory for WIP in production or held as semi-finished components.
</t>
        </r>
        <r>
          <rPr>
            <u/>
            <sz val="11"/>
            <color indexed="81"/>
            <rFont val="Tahoma"/>
            <family val="2"/>
          </rPr>
          <t xml:space="preserve">Factors impacting WIP DIO: </t>
        </r>
        <r>
          <rPr>
            <b/>
            <sz val="11"/>
            <color indexed="81"/>
            <rFont val="Tahoma"/>
            <family val="2"/>
          </rPr>
          <t xml:space="preserve">
A) Manufacturing lead time; </t>
        </r>
        <r>
          <rPr>
            <sz val="11"/>
            <color indexed="81"/>
            <rFont val="Tahoma"/>
            <family val="2"/>
          </rPr>
          <t xml:space="preserve">Longer manufacturing lead time may results in higher WIP inventory levels
</t>
        </r>
        <r>
          <rPr>
            <b/>
            <sz val="11"/>
            <color indexed="81"/>
            <rFont val="Tahoma"/>
            <family val="2"/>
          </rPr>
          <t>B) Production Batch Size vs Customer MOQ.</t>
        </r>
        <r>
          <rPr>
            <sz val="11"/>
            <color indexed="81"/>
            <rFont val="Tahoma"/>
            <family val="2"/>
          </rPr>
          <t xml:space="preserve"> If production batch size is greater than Customer MOQ, there may be surplus production and higher WIP
</t>
        </r>
        <r>
          <rPr>
            <b/>
            <sz val="11"/>
            <color indexed="81"/>
            <rFont val="Tahoma"/>
            <family val="2"/>
          </rPr>
          <t xml:space="preserve">C) Surplus labour capacity </t>
        </r>
        <r>
          <rPr>
            <sz val="11"/>
            <color indexed="81"/>
            <rFont val="Tahoma"/>
            <family val="2"/>
          </rPr>
          <t xml:space="preserve">at plant resulting in level loading. Level loading (producing beyond customer demand in order to utilize or absorp labour) may result in higher WIP
</t>
        </r>
        <r>
          <rPr>
            <b/>
            <sz val="11"/>
            <color indexed="81"/>
            <rFont val="Tahoma"/>
            <family val="2"/>
          </rPr>
          <t>D) Product complexity and number of child parts.</t>
        </r>
        <r>
          <rPr>
            <sz val="11"/>
            <color indexed="81"/>
            <rFont val="Tahoma"/>
            <family val="2"/>
          </rPr>
          <t xml:space="preserve"> Higher complexity/child parts may result in holding of semi-finished component awaiting final assembly 
</t>
        </r>
      </text>
    </comment>
    <comment ref="J44" authorId="0" shapeId="0" xr:uid="{8AA426BD-8D7A-4B5D-8E7D-479B5E0DBD60}">
      <text>
        <r>
          <rPr>
            <b/>
            <sz val="11"/>
            <color indexed="81"/>
            <rFont val="Tahoma"/>
            <family val="2"/>
          </rPr>
          <t>Inventory for Finished Goods held at Site based on Interplex's requirements</t>
        </r>
        <r>
          <rPr>
            <sz val="11"/>
            <color indexed="81"/>
            <rFont val="Tahoma"/>
            <family val="2"/>
          </rPr>
          <t xml:space="preserve"> in order to </t>
        </r>
        <r>
          <rPr>
            <u/>
            <sz val="11"/>
            <color indexed="81"/>
            <rFont val="Tahoma"/>
            <family val="2"/>
          </rPr>
          <t>meet our contractual obligation to customer</t>
        </r>
        <r>
          <rPr>
            <sz val="11"/>
            <color indexed="81"/>
            <rFont val="Tahoma"/>
            <family val="2"/>
          </rPr>
          <t xml:space="preserve"> for timely and sufficient supply. Excluding an in-transit inventory to customer location (per Incoterms), VMI or Hub arrangements.
</t>
        </r>
        <r>
          <rPr>
            <b/>
            <sz val="11"/>
            <color indexed="81"/>
            <rFont val="Tahoma"/>
            <family val="2"/>
          </rPr>
          <t xml:space="preserve">
</t>
        </r>
        <r>
          <rPr>
            <u/>
            <sz val="11"/>
            <color indexed="81"/>
            <rFont val="Tahoma"/>
            <family val="2"/>
          </rPr>
          <t xml:space="preserve">Factors impacting FG DIO at Site: </t>
        </r>
        <r>
          <rPr>
            <b/>
            <sz val="11"/>
            <color indexed="81"/>
            <rFont val="Tahoma"/>
            <family val="2"/>
          </rPr>
          <t xml:space="preserve">
</t>
        </r>
        <r>
          <rPr>
            <sz val="11"/>
            <color indexed="81"/>
            <rFont val="Tahoma"/>
            <family val="2"/>
          </rPr>
          <t xml:space="preserve">1) </t>
        </r>
        <r>
          <rPr>
            <b/>
            <sz val="11"/>
            <color indexed="81"/>
            <rFont val="Tahoma"/>
            <family val="2"/>
          </rPr>
          <t>Routine safety stock</t>
        </r>
        <r>
          <rPr>
            <sz val="11"/>
            <color indexed="81"/>
            <rFont val="Tahoma"/>
            <family val="2"/>
          </rPr>
          <t xml:space="preserve">. Stock maintained by Site to mitigate production delays or due to production level loading.
2) </t>
        </r>
        <r>
          <rPr>
            <b/>
            <sz val="11"/>
            <color indexed="81"/>
            <rFont val="Tahoma"/>
            <family val="2"/>
          </rPr>
          <t>Build to Customer's Forecast contract terms</t>
        </r>
        <r>
          <rPr>
            <sz val="11"/>
            <color indexed="81"/>
            <rFont val="Tahoma"/>
            <family val="2"/>
          </rPr>
          <t xml:space="preserve">. Site may have to maintain safety stock awaiting customer collection, or surplus stock if customer actual demand fall short of forecast.
3) </t>
        </r>
        <r>
          <rPr>
            <b/>
            <sz val="11"/>
            <color indexed="81"/>
            <rFont val="Tahoma"/>
            <family val="2"/>
          </rPr>
          <t>Production batch size is greater than Customer MOQ</t>
        </r>
        <r>
          <rPr>
            <sz val="11"/>
            <color indexed="81"/>
            <rFont val="Tahoma"/>
            <family val="2"/>
          </rPr>
          <t xml:space="preserve">. Surplus stock because production quantities exceeds customer minimum order quantity
4) </t>
        </r>
        <r>
          <rPr>
            <b/>
            <sz val="11"/>
            <color indexed="81"/>
            <rFont val="Tahoma"/>
            <family val="2"/>
          </rPr>
          <t>Customer lead time less than production lead time</t>
        </r>
        <r>
          <rPr>
            <sz val="11"/>
            <color indexed="81"/>
            <rFont val="Tahoma"/>
            <family val="2"/>
          </rPr>
          <t xml:space="preserve">. Higher safety stock to meet customer demand timely, because its too late to only start production after receipt of PO. e.g. if customer lead time is 2 day from PO, but mfg lead time is 6 days, then safety stock up to 3x (depending on size of customer order)
</t>
        </r>
      </text>
    </comment>
    <comment ref="J45" authorId="0" shapeId="0" xr:uid="{FCE3C0EC-2B78-4B57-8D88-6B4904363FA2}">
      <text>
        <r>
          <rPr>
            <b/>
            <sz val="11"/>
            <color indexed="81"/>
            <rFont val="Tahoma"/>
            <family val="2"/>
          </rPr>
          <t xml:space="preserve">Inventory of Finished Goods in transit, at logistics hub, at customer premises under Hub or VMI (to be sold upon consumption). </t>
        </r>
        <r>
          <rPr>
            <sz val="11"/>
            <color indexed="81"/>
            <rFont val="Tahoma"/>
            <family val="2"/>
          </rPr>
          <t>This stock-in-transit &amp; stock-at-hub are on top of the stock held for Site's requirements.</t>
        </r>
        <r>
          <rPr>
            <b/>
            <sz val="11"/>
            <color indexed="81"/>
            <rFont val="Tahoma"/>
            <family val="2"/>
          </rPr>
          <t xml:space="preserve">
</t>
        </r>
        <r>
          <rPr>
            <u/>
            <sz val="11"/>
            <color indexed="81"/>
            <rFont val="Tahoma"/>
            <family val="2"/>
          </rPr>
          <t xml:space="preserve">Factors impacting Inventory days: 
</t>
        </r>
        <r>
          <rPr>
            <b/>
            <sz val="11"/>
            <color indexed="81"/>
            <rFont val="Tahoma"/>
            <family val="2"/>
          </rPr>
          <t>1)</t>
        </r>
        <r>
          <rPr>
            <sz val="11"/>
            <color indexed="81"/>
            <rFont val="Tahoma"/>
            <family val="2"/>
          </rPr>
          <t xml:space="preserve"> </t>
        </r>
        <r>
          <rPr>
            <b/>
            <sz val="11"/>
            <color indexed="81"/>
            <rFont val="Tahoma"/>
            <family val="2"/>
          </rPr>
          <t>INCOTERMS</t>
        </r>
        <r>
          <rPr>
            <sz val="11"/>
            <color indexed="81"/>
            <rFont val="Tahoma"/>
            <family val="2"/>
          </rPr>
          <t xml:space="preserve">, impacts In-Transit Inventory. Any Incoterms (excl. exworks) where delivery is at customer's or transporter's location (e.g. FOB, DAP, DDU, DDP, etc.) will increase stock-in-transit due to waiting on transporter, customs clerance, freight &amp; handling time, local transport, etc. (inventory remains on Interplex's books until arrival at final destination).
2) </t>
        </r>
        <r>
          <rPr>
            <b/>
            <sz val="11"/>
            <color indexed="81"/>
            <rFont val="Tahoma"/>
            <family val="2"/>
          </rPr>
          <t>Safety stock required by Customer's</t>
        </r>
        <r>
          <rPr>
            <sz val="11"/>
            <color indexed="81"/>
            <rFont val="Tahoma"/>
            <family val="2"/>
          </rPr>
          <t>. This is customer's requested safety stock. Interplex may be under contractual obligation to maintain a certain level of safety stock ensure certainty of supply to customer.    
3</t>
        </r>
        <r>
          <rPr>
            <b/>
            <sz val="11"/>
            <color indexed="81"/>
            <rFont val="Tahoma"/>
            <family val="2"/>
          </rPr>
          <t>)</t>
        </r>
        <r>
          <rPr>
            <sz val="11"/>
            <color indexed="81"/>
            <rFont val="Tahoma"/>
            <family val="2"/>
          </rPr>
          <t xml:space="preserve"> </t>
        </r>
        <r>
          <rPr>
            <b/>
            <sz val="11"/>
            <color indexed="81"/>
            <rFont val="Tahoma"/>
            <family val="2"/>
          </rPr>
          <t>VMI/Hub (consignment of FG awaiting consumption)</t>
        </r>
        <r>
          <rPr>
            <sz val="11"/>
            <color indexed="81"/>
            <rFont val="Tahoma"/>
            <family val="2"/>
          </rPr>
          <t xml:space="preserve">. Will increase inventory because inventory remains on Interplex books until consumed by customer. Check how much inventory Interplex must maintain in Hub based on contractual terms or VMI/ Hub term with customer. This is often expressed in # of days of stock.
</t>
        </r>
      </text>
    </comment>
    <comment ref="J49" authorId="1" shapeId="0" xr:uid="{502147B5-B171-421C-A85A-A009EBBE467E}">
      <text>
        <r>
          <rPr>
            <b/>
            <sz val="10"/>
            <color indexed="81"/>
            <rFont val="Tahoma"/>
            <family val="2"/>
          </rPr>
          <t>Note:</t>
        </r>
        <r>
          <rPr>
            <sz val="10"/>
            <color indexed="81"/>
            <rFont val="Tahoma"/>
            <family val="2"/>
          </rPr>
          <t xml:space="preserve">
TOOLING/AUTOMATION CO-INVESTMENT balance must be zero (fully amortized at end of Project).
If not fully amortized, adjust the PNL amortization amount in Section 3A to fully amortize the co-investment. Make the amendment in the PNL: Amortiztn-Tool/Auto Co-Invest (non-cash)
Note: Tooling/Automation co-invest must be 100% amortized by end of project. Otherwise, model will return an error message. Amortization period (period of recovery from customer) should not exceed 3 years, or maximum of 5 years for very large strategic projects.
</t>
        </r>
      </text>
    </comment>
    <comment ref="AT68" authorId="1" shapeId="0" xr:uid="{29EA45E8-E614-476F-8F84-E9433AAE87A5}">
      <text>
        <r>
          <rPr>
            <b/>
            <sz val="9"/>
            <color indexed="81"/>
            <rFont val="Tahoma"/>
            <family val="2"/>
          </rPr>
          <t>This incremental CF gap is inputted into the Peak Funding Gap as shown in Section 1</t>
        </r>
        <r>
          <rPr>
            <sz val="9"/>
            <color indexed="81"/>
            <rFont val="Tahoma"/>
            <family val="2"/>
          </rPr>
          <t xml:space="preserve">
This funding gap represent the funding deficit during the year (monthly cumulative gap) as tooling cost are paid but before milestone collections from customer are made.</t>
        </r>
      </text>
    </comment>
    <comment ref="J70" authorId="0" shapeId="0" xr:uid="{0A8A1B2A-8CCC-4A0F-8458-DD131E564181}">
      <text>
        <r>
          <rPr>
            <b/>
            <sz val="11"/>
            <color indexed="81"/>
            <rFont val="Tahoma"/>
            <family val="2"/>
          </rPr>
          <t>Enter capex amount according to the following periods:
1. Input downpayments in the financial year the downpayment is</t>
        </r>
        <r>
          <rPr>
            <b/>
            <u/>
            <sz val="11"/>
            <color indexed="81"/>
            <rFont val="Tahoma"/>
            <family val="2"/>
          </rPr>
          <t xml:space="preserve"> Paid</t>
        </r>
        <r>
          <rPr>
            <b/>
            <sz val="11"/>
            <color indexed="81"/>
            <rFont val="Tahoma"/>
            <family val="2"/>
          </rPr>
          <t xml:space="preserve">
2. Remainder of purchase price in the financial year the capex is </t>
        </r>
        <r>
          <rPr>
            <b/>
            <u/>
            <sz val="11"/>
            <color indexed="81"/>
            <rFont val="Tahoma"/>
            <family val="2"/>
          </rPr>
          <t xml:space="preserve">Received. </t>
        </r>
        <r>
          <rPr>
            <b/>
            <sz val="11"/>
            <color indexed="81"/>
            <rFont val="Tahoma"/>
            <family val="2"/>
          </rPr>
          <t xml:space="preserve">
</t>
        </r>
        <r>
          <rPr>
            <sz val="11"/>
            <color indexed="81"/>
            <rFont val="Tahoma"/>
            <family val="2"/>
          </rPr>
          <t>Do not include any Inter-Co transfer of existing machines/equipment. Refer example below</t>
        </r>
        <r>
          <rPr>
            <b/>
            <sz val="11"/>
            <color indexed="81"/>
            <rFont val="Tahoma"/>
            <family val="2"/>
          </rPr>
          <t xml:space="preserve">
RFQ with Capex requires pre-CER approval. To qualify as Capex, the expenditures (production machines, automation, etc.) must satisfy these criteria:</t>
        </r>
        <r>
          <rPr>
            <sz val="11"/>
            <color indexed="81"/>
            <rFont val="Tahoma"/>
            <family val="2"/>
          </rPr>
          <t xml:space="preserve">
1. Interplex has legal ownership, custody and control of the asset
2. Asset must be a physically identifiable item, used to generate income with useful life of min 2 years (e.g. machine/ automation, building, infrastructure, etc.) 
3. Asset has high generic design content and application i.e. suitable for use or change over to other programs in site's core business
4. Interplex has the right to use the asset for any customers or programs, if practicable
Any deviation requires CFO prior written exemption. An approved CER must be obtained for all capex.
</t>
        </r>
        <r>
          <rPr>
            <b/>
            <sz val="11"/>
            <color indexed="81"/>
            <rFont val="Tahoma"/>
            <family val="2"/>
          </rPr>
          <t xml:space="preserve">
E.g. Capex for machines with purhase price of $1 million </t>
        </r>
        <r>
          <rPr>
            <sz val="11"/>
            <color indexed="81"/>
            <rFont val="Tahoma"/>
            <family val="2"/>
          </rPr>
          <t xml:space="preserve">
Downpayment $300K payable in Dec 2021
Delivery date is Apr 2022
Payment of balance $700K in Dec 2022. 
In this case, capex for $1m should be input in FY21. Any deferred payment arrangement negotiated with vendor will be considered separately, and should be highlighted as a Note in your CER presentation   
</t>
        </r>
      </text>
    </comment>
    <comment ref="J74" authorId="1" shapeId="0" xr:uid="{09BEB5C9-A86B-4284-B004-DF1D5C75F2A7}">
      <text>
        <r>
          <rPr>
            <b/>
            <sz val="12"/>
            <color indexed="81"/>
            <rFont val="Tahoma"/>
            <family val="2"/>
          </rPr>
          <t xml:space="preserve">Enter total cost of tool or automation for amortization per customer contract (refer financial qualification criteria below). </t>
        </r>
        <r>
          <rPr>
            <sz val="12"/>
            <color indexed="81"/>
            <rFont val="Tahoma"/>
            <family val="2"/>
          </rPr>
          <t xml:space="preserve">Amount should be entered in year of payment (usually year 1 as tooling/automation are normally completed before SOP). 
This input is mandatory if CBD PNL contains amortization expense.The amount is equal to the total LTR tooling amortization expense in the CBD. 
</t>
        </r>
        <r>
          <rPr>
            <b/>
            <sz val="12"/>
            <color indexed="81"/>
            <rFont val="Tahoma"/>
            <family val="2"/>
          </rPr>
          <t xml:space="preserve">
For cost amortization in PNL, customer Tool/Automation contract must satisfy these criteria. 
</t>
        </r>
        <r>
          <rPr>
            <sz val="12"/>
            <color indexed="81"/>
            <rFont val="Tahoma"/>
            <family val="2"/>
          </rPr>
          <t xml:space="preserve">1. Customer has agreed to Tool/Automation Selling Price and Amortization basis in writing (e.g. in PO or Purchase Contract)
2. Amortization (including relevant mark-up) has been factored into Part Price
3. Customer have contractual Liability for payment of any unamortized balance  
4. Interplex retain custody and control of the physical asset until fully amortized (paid by customer).
Refer Baseline Quotation Template 2.0 Amortization.
If above criteria not fully met, cost of customer's tooling must be recorded in Tooling COS PNL. If sale price is less than cost, the Tooling loss must be recognized in PNL. It must not be treated as capex or tooling amortization. For treatment as Capex, Automation Line must meet capex criteria (refer to Capex cell note above).
</t>
        </r>
        <r>
          <rPr>
            <b/>
            <sz val="12"/>
            <color indexed="81"/>
            <rFont val="Tahoma"/>
            <family val="2"/>
          </rPr>
          <t>Cash Flow treatmen</t>
        </r>
        <r>
          <rPr>
            <sz val="12"/>
            <color indexed="81"/>
            <rFont val="Tahoma"/>
            <family val="2"/>
          </rPr>
          <t xml:space="preserve">t: Co-invest will is cash outflow in the year paid, and impacts ROI. 
</t>
        </r>
        <r>
          <rPr>
            <b/>
            <sz val="12"/>
            <color indexed="81"/>
            <rFont val="Tahoma"/>
            <family val="2"/>
          </rPr>
          <t>PNL treatment</t>
        </r>
        <r>
          <rPr>
            <sz val="12"/>
            <color indexed="81"/>
            <rFont val="Tahoma"/>
            <family val="2"/>
          </rPr>
          <t xml:space="preserve">: Amortization expense impacts GP and EBITDA, but will not impact cash flow. </t>
        </r>
      </text>
    </comment>
    <comment ref="N74" authorId="1" shapeId="0" xr:uid="{C5D96AC0-8600-49EC-BD2D-039BC3138F0C}">
      <text>
        <r>
          <rPr>
            <sz val="12"/>
            <color indexed="81"/>
            <rFont val="Tahoma"/>
            <family val="2"/>
          </rPr>
          <t xml:space="preserve">If the autofill data is not correct, please overwrite this cell with the correct data or assumption.
</t>
        </r>
      </text>
    </comment>
    <comment ref="J75" authorId="0" shapeId="0" xr:uid="{7CA5F5D7-7497-4596-AD29-918E94E4570A}">
      <text>
        <r>
          <rPr>
            <b/>
            <sz val="11"/>
            <color indexed="81"/>
            <rFont val="Tahoma"/>
            <family val="2"/>
          </rPr>
          <t xml:space="preserve">Enter inter-co asset transfer value in the year the assets are received into the project.
</t>
        </r>
        <r>
          <rPr>
            <sz val="11"/>
            <color indexed="81"/>
            <rFont val="Tahoma"/>
            <family val="2"/>
          </rPr>
          <t xml:space="preserve">
Note: This amount will affect the project CF statement (Investing cash flow), and the funding gap / requirements. However, it will not impact ROI. 
 </t>
        </r>
        <r>
          <rPr>
            <b/>
            <sz val="11"/>
            <color indexed="81"/>
            <rFont val="Tahoma"/>
            <family val="2"/>
          </rPr>
          <t xml:space="preserve">
</t>
        </r>
        <r>
          <rPr>
            <sz val="11"/>
            <color indexed="81"/>
            <rFont val="Tahoma"/>
            <family val="2"/>
          </rPr>
          <t>Inter-co asset  transfer should only be used as an assumptions if the transfer of asset has been agreed between the sending and receiving Sites, or by advice from Corporate only.</t>
        </r>
      </text>
    </comment>
    <comment ref="N78" authorId="1" shapeId="0" xr:uid="{CE1FD188-DFD2-4317-9795-82276F296558}">
      <text>
        <r>
          <rPr>
            <sz val="12"/>
            <color indexed="81"/>
            <rFont val="Tahoma"/>
            <family val="2"/>
          </rPr>
          <t xml:space="preserve">Use Default of 1. This is the year prior to SOP, therefore revenue should be zero. 
If the autofill data is not correct, please overwrite this cell with the correct data or assumption.
</t>
        </r>
      </text>
    </comment>
    <comment ref="J79" authorId="0" shapeId="0" xr:uid="{F9C5DE1C-254F-4076-ADEA-7C47BD8CA59C}">
      <text>
        <r>
          <rPr>
            <b/>
            <sz val="12"/>
            <color indexed="81"/>
            <rFont val="Tahoma"/>
            <family val="2"/>
          </rPr>
          <t xml:space="preserve">Enter the expected DSO days for the Project = Parts Payment Terms + 20 to 30 days. 
</t>
        </r>
        <r>
          <rPr>
            <sz val="12"/>
            <color indexed="81"/>
            <rFont val="Tahoma"/>
            <family val="2"/>
          </rPr>
          <t xml:space="preserve">Note: Add minimum 20 days on top of RFQ payment terms, to cover customer's internal process, typical delays due to 1) ignoring INCOTERM on title transfer*, 2) internal delays in recording receipt, 3) tax reconciliation, 4) infrequent payment runs, 5) delinquency or minor disputes. 
Consult site controller regarding payment track record of the RFQ customer.
* e.g. Customer recognizing payment liability only after physical receipt of goods in warehouse even though INCOTERMS is Exwork (liability upon pick-up) </t>
        </r>
      </text>
    </comment>
    <comment ref="J81" authorId="0" shapeId="0" xr:uid="{B959E172-63FC-42C1-8D61-4E4E909AF556}">
      <text>
        <r>
          <rPr>
            <b/>
            <sz val="11"/>
            <color indexed="81"/>
            <rFont val="Tahoma"/>
            <family val="2"/>
          </rPr>
          <t xml:space="preserve">Enter the expected Inventory DIO days for Raw Materials, Purchase Components, Sub-Contracted works and packaging. 
</t>
        </r>
        <r>
          <rPr>
            <u/>
            <sz val="11"/>
            <color indexed="81"/>
            <rFont val="Tahoma"/>
            <family val="2"/>
          </rPr>
          <t>Factors impacting RM Inventory days:</t>
        </r>
        <r>
          <rPr>
            <b/>
            <sz val="11"/>
            <color indexed="81"/>
            <rFont val="Tahoma"/>
            <family val="2"/>
          </rPr>
          <t xml:space="preserve"> 
</t>
        </r>
        <r>
          <rPr>
            <sz val="11"/>
            <color indexed="81"/>
            <rFont val="Tahoma"/>
            <family val="2"/>
          </rPr>
          <t>1)</t>
        </r>
        <r>
          <rPr>
            <b/>
            <sz val="11"/>
            <color indexed="81"/>
            <rFont val="Tahoma"/>
            <family val="2"/>
          </rPr>
          <t xml:space="preserve"> Supplier's MOQ (mininum purchase quantity)</t>
        </r>
        <r>
          <rPr>
            <sz val="11"/>
            <color indexed="81"/>
            <rFont val="Tahoma"/>
            <family val="2"/>
          </rPr>
          <t>. A high MOQ will result in a higher level of inventory purchase relative to amount required for consumption
2)</t>
        </r>
        <r>
          <rPr>
            <b/>
            <sz val="11"/>
            <color indexed="81"/>
            <rFont val="Tahoma"/>
            <family val="2"/>
          </rPr>
          <t xml:space="preserve"> Supplier's Lead time</t>
        </r>
        <r>
          <rPr>
            <sz val="11"/>
            <color indexed="81"/>
            <rFont val="Tahoma"/>
            <family val="2"/>
          </rPr>
          <t xml:space="preserve">. A longer lead time from PO placement to arrival of delivery may lead to higher RM inventory
3) </t>
        </r>
        <r>
          <rPr>
            <b/>
            <sz val="11"/>
            <color indexed="81"/>
            <rFont val="Tahoma"/>
            <family val="2"/>
          </rPr>
          <t>Freight &amp; Handling</t>
        </r>
        <r>
          <rPr>
            <sz val="11"/>
            <color indexed="81"/>
            <rFont val="Tahoma"/>
            <family val="2"/>
          </rPr>
          <t xml:space="preserve">. Longer time for freight, customs clearance and handling may lead to higher RM inventory
</t>
        </r>
        <r>
          <rPr>
            <u/>
            <sz val="11"/>
            <color indexed="81"/>
            <rFont val="Tahoma"/>
            <family val="2"/>
          </rPr>
          <t>Calculation of RM Inventory $</t>
        </r>
        <r>
          <rPr>
            <sz val="11"/>
            <color indexed="81"/>
            <rFont val="Tahoma"/>
            <family val="2"/>
          </rPr>
          <t xml:space="preserve">
RM Inventory $ = Total Cost-to-COPA for the year x RM Inventory Days / 365 (other than year 1 where the actual number of revenue days is used)
Note: Do a sense check against Site's current DIO. Ensure any major variances between project assumptions and Site's prevailing rates are valid and explainable. Model will use Inventory days assumption to compute the inventory balance at each year end, which will inturn impact working capital and cash flows. </t>
        </r>
      </text>
    </comment>
    <comment ref="J82" authorId="0" shapeId="0" xr:uid="{38779DD6-32DD-4165-9F0F-558730AB9141}">
      <text>
        <r>
          <rPr>
            <b/>
            <sz val="10"/>
            <color indexed="81"/>
            <rFont val="Tahoma"/>
            <family val="2"/>
          </rPr>
          <t xml:space="preserve">Enter the expected Inventory DIO days for WIP.
</t>
        </r>
        <r>
          <rPr>
            <u/>
            <sz val="10"/>
            <color indexed="81"/>
            <rFont val="Tahoma"/>
            <family val="2"/>
          </rPr>
          <t xml:space="preserve">Factors impacting WIP DIO: </t>
        </r>
        <r>
          <rPr>
            <b/>
            <sz val="10"/>
            <color indexed="81"/>
            <rFont val="Tahoma"/>
            <family val="2"/>
          </rPr>
          <t xml:space="preserve">
A) Manufacturing lead time; </t>
        </r>
        <r>
          <rPr>
            <sz val="10"/>
            <color indexed="81"/>
            <rFont val="Tahoma"/>
            <family val="2"/>
          </rPr>
          <t xml:space="preserve">Longer manufacturing lead time may results in higher WIP inventory levels
</t>
        </r>
        <r>
          <rPr>
            <b/>
            <sz val="10"/>
            <color indexed="81"/>
            <rFont val="Tahoma"/>
            <family val="2"/>
          </rPr>
          <t>B) Production Batch Size vs Customer MOQ.</t>
        </r>
        <r>
          <rPr>
            <sz val="10"/>
            <color indexed="81"/>
            <rFont val="Tahoma"/>
            <family val="2"/>
          </rPr>
          <t xml:space="preserve"> If production batch size is greater than Customer MOQ, there may be surplus production and higher WIP
</t>
        </r>
        <r>
          <rPr>
            <b/>
            <sz val="10"/>
            <color indexed="81"/>
            <rFont val="Tahoma"/>
            <family val="2"/>
          </rPr>
          <t xml:space="preserve">C) Surplus labour capacity </t>
        </r>
        <r>
          <rPr>
            <sz val="10"/>
            <color indexed="81"/>
            <rFont val="Tahoma"/>
            <family val="2"/>
          </rPr>
          <t xml:space="preserve">at plant resulting in level loading. Level loading (producing beyond customer demand in order to utilize or absorp labour) may result in higher WIP
</t>
        </r>
        <r>
          <rPr>
            <b/>
            <sz val="10"/>
            <color indexed="81"/>
            <rFont val="Tahoma"/>
            <family val="2"/>
          </rPr>
          <t>D) Product complexity and number of child parts.</t>
        </r>
        <r>
          <rPr>
            <sz val="10"/>
            <color indexed="81"/>
            <rFont val="Tahoma"/>
            <family val="2"/>
          </rPr>
          <t xml:space="preserve"> Higher complexity/child parts may result in holding of semi-finished component awaiting final assembly 
</t>
        </r>
        <r>
          <rPr>
            <u/>
            <sz val="10"/>
            <color indexed="81"/>
            <rFont val="Tahoma"/>
            <family val="2"/>
          </rPr>
          <t>Calculation of WIP Inventory $</t>
        </r>
        <r>
          <rPr>
            <sz val="10"/>
            <color indexed="81"/>
            <rFont val="Tahoma"/>
            <family val="2"/>
          </rPr>
          <t xml:space="preserve">
WIP Inventory $ = Total Mfg cost* for the year x Inventory Days / 365 (other than year 1 where the actual number of revenue days is used, e.g. 180 days instead of 365 if sales was for 6 mnths revenue only)
*Model assumes full-absorption costing whereby Mfg cost comprises materials, packaging, sub-con, DL, IDL, FS (excluding one-off items) and Indirect COS. For WIP, overheads absorption is assumed at 50% of standard as it is assumed to be only 50% completed (FG: 100%)
Note: Do a sense check against Site's current DIO. Ensure any major variances between project assumptions and Site's prevailing rates are valid and explainable. 
</t>
        </r>
      </text>
    </comment>
    <comment ref="J83" authorId="0" shapeId="0" xr:uid="{F569DBDA-3B23-4EB9-8CC9-983423F43BD6}">
      <text>
        <r>
          <rPr>
            <b/>
            <sz val="10"/>
            <color indexed="81"/>
            <rFont val="Tahoma"/>
            <family val="2"/>
          </rPr>
          <t>Enter expected Inventory DIO days for Finished Goods held at Site based on Interplex's requirements</t>
        </r>
        <r>
          <rPr>
            <sz val="10"/>
            <color indexed="81"/>
            <rFont val="Tahoma"/>
            <family val="2"/>
          </rPr>
          <t xml:space="preserve"> in order to </t>
        </r>
        <r>
          <rPr>
            <u/>
            <sz val="10"/>
            <color indexed="81"/>
            <rFont val="Tahoma"/>
            <family val="2"/>
          </rPr>
          <t>meet our contractual obligation to customer</t>
        </r>
        <r>
          <rPr>
            <sz val="10"/>
            <color indexed="81"/>
            <rFont val="Tahoma"/>
            <family val="2"/>
          </rPr>
          <t xml:space="preserve"> for timely and sufficient supply. Excluding an in-transit inventory to customer location (per Incoterms), VMI or Hub arrangements.
</t>
        </r>
        <r>
          <rPr>
            <b/>
            <sz val="10"/>
            <color indexed="81"/>
            <rFont val="Tahoma"/>
            <family val="2"/>
          </rPr>
          <t xml:space="preserve">
</t>
        </r>
        <r>
          <rPr>
            <u/>
            <sz val="10"/>
            <color indexed="81"/>
            <rFont val="Tahoma"/>
            <family val="2"/>
          </rPr>
          <t xml:space="preserve">Factors impacting FG DIO at Site: </t>
        </r>
        <r>
          <rPr>
            <b/>
            <sz val="10"/>
            <color indexed="81"/>
            <rFont val="Tahoma"/>
            <family val="2"/>
          </rPr>
          <t xml:space="preserve">
</t>
        </r>
        <r>
          <rPr>
            <sz val="10"/>
            <color indexed="81"/>
            <rFont val="Tahoma"/>
            <family val="2"/>
          </rPr>
          <t xml:space="preserve">1) </t>
        </r>
        <r>
          <rPr>
            <b/>
            <sz val="10"/>
            <color indexed="81"/>
            <rFont val="Tahoma"/>
            <family val="2"/>
          </rPr>
          <t>Routine safety stock</t>
        </r>
        <r>
          <rPr>
            <sz val="10"/>
            <color indexed="81"/>
            <rFont val="Tahoma"/>
            <family val="2"/>
          </rPr>
          <t xml:space="preserve">. Stock maintained by Site to mitigate production delays or due to production level loading.
2) </t>
        </r>
        <r>
          <rPr>
            <b/>
            <sz val="10"/>
            <color indexed="81"/>
            <rFont val="Tahoma"/>
            <family val="2"/>
          </rPr>
          <t>Build to Customer's Forecast contract terms</t>
        </r>
        <r>
          <rPr>
            <sz val="10"/>
            <color indexed="81"/>
            <rFont val="Tahoma"/>
            <family val="2"/>
          </rPr>
          <t xml:space="preserve">. Site may have to maintain safety stock awaiting customer collection, or surplus stock if customer actual demand fall short of forecast.
3) </t>
        </r>
        <r>
          <rPr>
            <b/>
            <sz val="10"/>
            <color indexed="81"/>
            <rFont val="Tahoma"/>
            <family val="2"/>
          </rPr>
          <t>Production batch size is greater than Customer MOQ</t>
        </r>
        <r>
          <rPr>
            <sz val="10"/>
            <color indexed="81"/>
            <rFont val="Tahoma"/>
            <family val="2"/>
          </rPr>
          <t xml:space="preserve">. Surplus stock because production quantities exceeds customer minimum order quantity
4) </t>
        </r>
        <r>
          <rPr>
            <b/>
            <sz val="10"/>
            <color indexed="81"/>
            <rFont val="Tahoma"/>
            <family val="2"/>
          </rPr>
          <t>Customer lead time less than production lead time</t>
        </r>
        <r>
          <rPr>
            <sz val="10"/>
            <color indexed="81"/>
            <rFont val="Tahoma"/>
            <family val="2"/>
          </rPr>
          <t xml:space="preserve">. Higher safety stock to meet customer demand timely, because its too late to only start production after receipt of PO. e.g. if customer lead time is 2 day from PO, but mfg lead time is 6 days, then safety stock up to 3x (depending on size of customer order)
Note: Do a sense check against Site's current DIO. Ensure any major variances between project assumptions and Site's prevailing rates are valid and explainable. 
</t>
        </r>
        <r>
          <rPr>
            <u/>
            <sz val="10"/>
            <color indexed="81"/>
            <rFont val="Tahoma"/>
            <family val="2"/>
          </rPr>
          <t>Calculation of FG Inventory</t>
        </r>
        <r>
          <rPr>
            <sz val="10"/>
            <color indexed="81"/>
            <rFont val="Tahoma"/>
            <family val="2"/>
          </rPr>
          <t xml:space="preserve">
FG Inv $ = Total Mfg cost* for the year x Inventory Days / 365 (other than year 1 where the actual number of revenue days is used, e.g. 180 days instead of 365 if sales was for 6 mnths revenue only)
*Model assumes full-absorption costing whereby Mfg cost comprises materials, packaging, sub-con, DL, IDL, FS (excluding one-off items) and Indirect COS. For FG, overheads absorption is assumed at 100% of standard because parts are 100% completed (WIP: 50%)
</t>
        </r>
      </text>
    </comment>
    <comment ref="J84" authorId="0" shapeId="0" xr:uid="{77762DF8-35D5-4FA7-900E-AAEC10C91636}">
      <text>
        <r>
          <rPr>
            <sz val="10"/>
            <color indexed="81"/>
            <rFont val="Tahoma"/>
            <family val="2"/>
          </rPr>
          <t xml:space="preserve">Enter expected DIO days for </t>
        </r>
        <r>
          <rPr>
            <b/>
            <sz val="10"/>
            <color indexed="81"/>
            <rFont val="Tahoma"/>
            <family val="2"/>
          </rPr>
          <t xml:space="preserve">Finished Goods in transit, at logistics hub, at customer premises under Hub or VMI (to be sold upon consumption). </t>
        </r>
        <r>
          <rPr>
            <sz val="10"/>
            <color indexed="81"/>
            <rFont val="Tahoma"/>
            <family val="2"/>
          </rPr>
          <t>This stock-in-transit &amp; stock-at-hub are on top of the stock held for Site's requirements.</t>
        </r>
        <r>
          <rPr>
            <b/>
            <sz val="10"/>
            <color indexed="81"/>
            <rFont val="Tahoma"/>
            <family val="2"/>
          </rPr>
          <t xml:space="preserve">
</t>
        </r>
        <r>
          <rPr>
            <u/>
            <sz val="10"/>
            <color indexed="81"/>
            <rFont val="Tahoma"/>
            <family val="2"/>
          </rPr>
          <t xml:space="preserve">Factors impacting Inventory days: 
</t>
        </r>
        <r>
          <rPr>
            <b/>
            <sz val="10"/>
            <color indexed="81"/>
            <rFont val="Tahoma"/>
            <family val="2"/>
          </rPr>
          <t>1)</t>
        </r>
        <r>
          <rPr>
            <sz val="10"/>
            <color indexed="81"/>
            <rFont val="Tahoma"/>
            <family val="2"/>
          </rPr>
          <t xml:space="preserve"> </t>
        </r>
        <r>
          <rPr>
            <b/>
            <sz val="10"/>
            <color indexed="81"/>
            <rFont val="Tahoma"/>
            <family val="2"/>
          </rPr>
          <t>INCOTERMS</t>
        </r>
        <r>
          <rPr>
            <sz val="10"/>
            <color indexed="81"/>
            <rFont val="Tahoma"/>
            <family val="2"/>
          </rPr>
          <t xml:space="preserve">, impacts In-Transit Inventory. Any Incoterms (excl. exworks) where delivery is at customer's or transporter's location (e.g. FOB, DAP, DDU, DDP, etc.) will increase stock-in-transit due to waiting on transporter, customs clerance, freight &amp; handling time, local transport, etc. (inventory remains on Interplex's books until arrival at final destination).
2) </t>
        </r>
        <r>
          <rPr>
            <b/>
            <sz val="10"/>
            <color indexed="81"/>
            <rFont val="Tahoma"/>
            <family val="2"/>
          </rPr>
          <t>Safety stock required by Customer's</t>
        </r>
        <r>
          <rPr>
            <sz val="10"/>
            <color indexed="81"/>
            <rFont val="Tahoma"/>
            <family val="2"/>
          </rPr>
          <t>. This is customer's requested safety stock. Interplex may be under contractual obligation to maintain a certain level of safety stock ensure certainty of supply to customer.    
3</t>
        </r>
        <r>
          <rPr>
            <b/>
            <sz val="10"/>
            <color indexed="81"/>
            <rFont val="Tahoma"/>
            <family val="2"/>
          </rPr>
          <t>)</t>
        </r>
        <r>
          <rPr>
            <sz val="10"/>
            <color indexed="81"/>
            <rFont val="Tahoma"/>
            <family val="2"/>
          </rPr>
          <t xml:space="preserve"> </t>
        </r>
        <r>
          <rPr>
            <b/>
            <sz val="10"/>
            <color indexed="81"/>
            <rFont val="Tahoma"/>
            <family val="2"/>
          </rPr>
          <t>VMI/Hub (consignment of FG awaiting consumption)</t>
        </r>
        <r>
          <rPr>
            <sz val="10"/>
            <color indexed="81"/>
            <rFont val="Tahoma"/>
            <family val="2"/>
          </rPr>
          <t xml:space="preserve">. Will increase inventory because inventory remains on Interplex books until consumed by customer. Check how much inventory Interplex must maintain in Hub based on contractual terms or VMI/ Hub term with customer. This is often expressed in # of days of stock.
</t>
        </r>
        <r>
          <rPr>
            <u/>
            <sz val="10"/>
            <color indexed="81"/>
            <rFont val="Tahoma"/>
            <family val="2"/>
          </rPr>
          <t>Calculation of FG $</t>
        </r>
        <r>
          <rPr>
            <sz val="10"/>
            <color indexed="81"/>
            <rFont val="Tahoma"/>
            <family val="2"/>
          </rPr>
          <t xml:space="preserve">
FG $ = Total Mfg cost* for the year x Inventory Days / 365 (other than year 1 where the actual number of revenue days is used, e.g. 180 days instead of 365 if sales was for 6 mnths revenue only)
*Model assumes full-absorption costing whereby Mfg cost comprises materials, packaging, sub-con, DL, IDL, FS (excluding one-off items) and Indirect COS. For FG, overheads absorption is assumed at 100% of standard because parts are 100% completed (WIP: 50%)
Note: Do a sense check against Site's current DIO. Ensure any major variances between project assumptions and Site's prevailing rates are valid and explainable. Model will use Inventory days assumption to compute the inventory balance at each year end, which will inturn impact working capital and cash flows. 
</t>
        </r>
      </text>
    </comment>
    <comment ref="J85" authorId="1" shapeId="0" xr:uid="{0AD8523E-98D3-4E7F-91BB-C89F5F066A22}">
      <text>
        <r>
          <rPr>
            <sz val="9"/>
            <color indexed="81"/>
            <rFont val="Tahoma"/>
            <family val="2"/>
          </rPr>
          <t xml:space="preserve">Input any known items. Otherwise, leave blank
</t>
        </r>
      </text>
    </comment>
    <comment ref="J86" authorId="1" shapeId="0" xr:uid="{0B55B7FB-8E2B-46F0-A656-65088EF0AF98}">
      <text>
        <r>
          <rPr>
            <sz val="12"/>
            <color indexed="81"/>
            <rFont val="Tahoma"/>
            <family val="2"/>
          </rPr>
          <t>A method for calculating Tooling Recovrable has been provided in Column AE:AL. Refer to the calculation table. 
You may also over-write the input cell if you wish to do your own independent calculation (without using the methodology provided) 
Note: Tooling recoverable is used to calculate Peak Funding Gap</t>
        </r>
      </text>
    </comment>
    <comment ref="J87" authorId="0" shapeId="0" xr:uid="{F877F34A-364D-4743-ABAB-71557466CD36}">
      <text>
        <r>
          <rPr>
            <b/>
            <sz val="11"/>
            <color indexed="81"/>
            <rFont val="Tahoma"/>
            <family val="2"/>
          </rPr>
          <t xml:space="preserve">Enter % of payment received in each year as quoted to customer in the RFQ. </t>
        </r>
        <r>
          <rPr>
            <sz val="11"/>
            <color indexed="81"/>
            <rFont val="Tahoma"/>
            <family val="2"/>
          </rPr>
          <t xml:space="preserve">% of payment received must total up to 100% latest by year 5.
Note: The Interplex baseline terms for customer to pay for tooling/automation are:
# Nomination/PO - 30%-50%;
# FOT/ISIR submission - 30%-50%;
# PPAP submission - 0-40%;
# PPAP Approval (up to max 30 days) 0-10%. 
</t>
        </r>
      </text>
    </comment>
    <comment ref="J88" authorId="0" shapeId="0" xr:uid="{42CD4195-499E-484C-B468-39B13BD498A2}">
      <text>
        <r>
          <rPr>
            <b/>
            <sz val="11"/>
            <color indexed="81"/>
            <rFont val="Tahoma"/>
            <family val="2"/>
          </rPr>
          <t xml:space="preserve">Enter the expected DPO days for the Project. 
</t>
        </r>
        <r>
          <rPr>
            <sz val="11"/>
            <color indexed="81"/>
            <rFont val="Tahoma"/>
            <family val="2"/>
          </rPr>
          <t xml:space="preserve">This is normally equal to the vendor payment terms from Direct Materials vendors. Model will compute trade payable balance:
Trade payables = (COGS + Production Cost x 30%*) x Acct Payable Days / 365 (other than year 1 where the actual number of revenue days is used)
*Only 30% of Production Cost is used as a large proportion is paid only without any credit terms e.g. IDL wages or salaries, rentals, etc.
</t>
        </r>
      </text>
    </comment>
    <comment ref="J89" authorId="1" shapeId="0" xr:uid="{9830BFA3-8383-4A5A-B0B5-40D71812F3E5}">
      <text>
        <r>
          <rPr>
            <sz val="9"/>
            <color indexed="81"/>
            <rFont val="Tahoma"/>
            <family val="2"/>
          </rPr>
          <t xml:space="preserve">Input any known items. Otherwise, leave blank
</t>
        </r>
      </text>
    </comment>
    <comment ref="J94" authorId="0" shapeId="0" xr:uid="{21B5ACF8-9CD8-4C75-9725-236B07D91E4B}">
      <text>
        <r>
          <rPr>
            <b/>
            <sz val="11"/>
            <color indexed="81"/>
            <rFont val="Tahoma"/>
            <family val="2"/>
          </rPr>
          <t xml:space="preserve">Enter the weighted average depreciation life of the asset items making up the Capex list.
</t>
        </r>
        <r>
          <rPr>
            <sz val="11"/>
            <color indexed="81"/>
            <rFont val="Tahoma"/>
            <family val="2"/>
          </rPr>
          <t xml:space="preserve">
Project depreciation begins in the firsy year of revenue on straightline basis over average useful life of capex with zero residual value, and continues until fully depreciated.
Depreciation for 1st year of capex acquisition is assumed to be 50% of annual depreciation on simplified assumption that capex was put in service in mid-year.</t>
        </r>
      </text>
    </comment>
    <comment ref="N94" authorId="1" shapeId="0" xr:uid="{AEF4D60C-9CC2-406E-8C4C-B072C1B54F2A}">
      <text>
        <r>
          <rPr>
            <b/>
            <sz val="12"/>
            <color indexed="81"/>
            <rFont val="Tahoma"/>
            <family val="2"/>
          </rPr>
          <t>Note for SFP254 standalone version</t>
        </r>
        <r>
          <rPr>
            <sz val="12"/>
            <color indexed="81"/>
            <rFont val="Tahoma"/>
            <family val="2"/>
          </rPr>
          <t xml:space="preserve">: Input the weighted average depreciation life (yrs) considering all capex items. If capex consist of several asset categories with different depreciation life (e.g. Machines 10 yrs and Automation 3 yrs), you should manually calculate the depreciation expense per annum, and divide by the capex value (GBV) to derive the weighted average depreciation life (for input into this cell). In the </t>
        </r>
        <r>
          <rPr>
            <b/>
            <sz val="12"/>
            <color indexed="81"/>
            <rFont val="Tahoma"/>
            <family val="2"/>
          </rPr>
          <t>Consol worksheet,</t>
        </r>
        <r>
          <rPr>
            <sz val="12"/>
            <color indexed="81"/>
            <rFont val="Tahoma"/>
            <family val="2"/>
          </rPr>
          <t xml:space="preserve"> you must enter the weighted average depreciation life manually.
</t>
        </r>
        <r>
          <rPr>
            <b/>
            <sz val="12"/>
            <color indexed="81"/>
            <rFont val="Tahoma"/>
            <family val="2"/>
          </rPr>
          <t>Note for CQSC Integrated version</t>
        </r>
        <r>
          <rPr>
            <sz val="12"/>
            <color indexed="81"/>
            <rFont val="Tahoma"/>
            <family val="2"/>
          </rPr>
          <t xml:space="preserve">: If the autofill data is not correct, please overwrite this cell with the correct weighted average depreciation life. Use the methodology outlined above to do your calculation
</t>
        </r>
      </text>
    </comment>
    <comment ref="J95" authorId="0" shapeId="0" xr:uid="{CCFF1079-2C0D-453E-A779-245F1C5B5FA3}">
      <text>
        <r>
          <rPr>
            <b/>
            <sz val="11"/>
            <color indexed="81"/>
            <rFont val="Tahoma"/>
            <family val="2"/>
          </rPr>
          <t xml:space="preserve">Enter the corporate income tax rate applicable to the site or to the project (if special tax rate apply to the project). Reduce rates due to tax incentive rate should NOT be used unless that incentive has ALREADY been approved by the relevant Tax Authority
</t>
        </r>
        <r>
          <rPr>
            <sz val="11"/>
            <color indexed="81"/>
            <rFont val="Tahoma"/>
            <family val="2"/>
          </rPr>
          <t xml:space="preserve">
Note: this model does not account for deferred tax asset arising from PNL losses (due to complications on cash flow statement). Therefore the PNL does not show a tax credit in event of operating losses.</t>
        </r>
      </text>
    </comment>
    <comment ref="N95" authorId="1" shapeId="0" xr:uid="{7474BCE2-3557-4F89-A9CE-7DA7C6BD6796}">
      <text>
        <r>
          <rPr>
            <sz val="12"/>
            <color indexed="81"/>
            <rFont val="Tahoma"/>
            <family val="2"/>
          </rPr>
          <t xml:space="preserve">If the autofill data is not correct, please overwrite this cell with the correct data or assumption.
</t>
        </r>
      </text>
    </comment>
    <comment ref="I97" authorId="0" shapeId="0" xr:uid="{76DDFE57-05A3-422D-8DC4-847FD28BA1FA}">
      <text>
        <r>
          <rPr>
            <b/>
            <sz val="11"/>
            <color indexed="81"/>
            <rFont val="Tahoma"/>
            <family val="2"/>
          </rPr>
          <t xml:space="preserve">Owner of Assumption: 
</t>
        </r>
        <r>
          <rPr>
            <sz val="11"/>
            <color indexed="81"/>
            <rFont val="Tahoma"/>
            <family val="2"/>
          </rPr>
          <t>Site Controller</t>
        </r>
      </text>
    </comment>
    <comment ref="J97" authorId="0" shapeId="0" xr:uid="{E5AE8848-0350-4923-B5BE-D4CB527203B5}">
      <text>
        <r>
          <rPr>
            <sz val="9"/>
            <color indexed="81"/>
            <rFont val="Tahoma"/>
            <family val="2"/>
          </rPr>
          <t>Funding assumptions will generally be finalized by Corporate HQ. For the purposes of CER preparation, you should assume that funding requirement is met by 50% to 100% equity and have sufficient free cash flow at site to meet the funding requirements (check your latest cash at bank balance).</t>
        </r>
      </text>
    </comment>
    <comment ref="T97" authorId="0" shapeId="0" xr:uid="{9613FC52-DC71-4AAB-A141-9FA547DFA818}">
      <text>
        <r>
          <rPr>
            <b/>
            <sz val="11"/>
            <color indexed="81"/>
            <rFont val="Tahoma"/>
            <family val="2"/>
          </rPr>
          <t xml:space="preserve">CPCF multiple </t>
        </r>
        <r>
          <rPr>
            <sz val="11"/>
            <color indexed="81"/>
            <rFont val="Tahoma"/>
            <family val="2"/>
          </rPr>
          <t xml:space="preserve">measures the multiple of cash returns from the investment, and is useful for ranking of different investment options. A project with higher multiple is in general more attractive than a project with a lower multiple because the higher multiple project returns more cash per $ invested. However, it is important to consider how far in future the cash is generated. A longer period increases risk and reduces the present value of that cash flow 
CPCF multiple is calculated as Cumulative Project Cash Flow divided by Total Funding requirement.
</t>
        </r>
      </text>
    </comment>
    <comment ref="J98" authorId="0" shapeId="0" xr:uid="{11172280-0ED4-4781-8D56-AB66B35830A8}">
      <text>
        <r>
          <rPr>
            <sz val="9"/>
            <color indexed="81"/>
            <rFont val="Tahoma"/>
            <family val="2"/>
          </rPr>
          <t xml:space="preserve">For NPV calculation
</t>
        </r>
      </text>
    </comment>
    <comment ref="L98" authorId="0" shapeId="0" xr:uid="{6AD8975F-2F4D-40C2-88BC-6EA65739643B}">
      <text>
        <r>
          <rPr>
            <b/>
            <sz val="9"/>
            <color indexed="81"/>
            <rFont val="Tahoma"/>
            <family val="2"/>
          </rPr>
          <t>Do not change - set by Corporate HQ at 15%</t>
        </r>
      </text>
    </comment>
    <comment ref="J99" authorId="0" shapeId="0" xr:uid="{08D82033-1B0D-4B68-AA9B-FBFCB184C65A}">
      <text>
        <r>
          <rPr>
            <b/>
            <sz val="11"/>
            <color indexed="81"/>
            <rFont val="Tahoma"/>
            <family val="2"/>
          </rPr>
          <t xml:space="preserve">Determines whether inter-co asset transfer is factored into ROI / NPV calculation. 
If No, (default setting) </t>
        </r>
        <r>
          <rPr>
            <sz val="11"/>
            <color indexed="81"/>
            <rFont val="Tahoma"/>
            <family val="2"/>
          </rPr>
          <t xml:space="preserve">the value of asset transfer is NOT considered an incremental investment to the Interplex group, and therefore will be EXCLUDED from ROI/NPV calculation. "No" is appropriate if the asset being transferred is under-utilized at its current Site, and there is minimal opportunity cost or loss of business as result of the transfer.
If </t>
        </r>
        <r>
          <rPr>
            <b/>
            <sz val="11"/>
            <color indexed="81"/>
            <rFont val="Tahoma"/>
            <family val="2"/>
          </rPr>
          <t>Yes</t>
        </r>
        <r>
          <rPr>
            <sz val="11"/>
            <color indexed="81"/>
            <rFont val="Tahoma"/>
            <family val="2"/>
          </rPr>
          <t>, the value of asset transfer IS considered an incremental investment, and therefore will be INCLUDED in ROI/NPV calculation. "No" is appropriate if the asset being transferred is currently utilized as there is an opportunity cost or loss of business at its current site as result of the transfer. "Yes" can also be used if we would like to compute ROI / NPV at Project/Site level, rather than at Interplex Group level.</t>
        </r>
      </text>
    </comment>
    <comment ref="J100" authorId="0" shapeId="0" xr:uid="{1366B634-6D4B-4ACB-8A50-8074818C78CC}">
      <text>
        <r>
          <rPr>
            <b/>
            <sz val="9"/>
            <color indexed="81"/>
            <rFont val="Tahoma"/>
            <family val="2"/>
          </rPr>
          <t>If external borrowings are used, enter the applicable interest rate. Otherwise use 7% p.a.</t>
        </r>
        <r>
          <rPr>
            <sz val="9"/>
            <color indexed="81"/>
            <rFont val="Tahoma"/>
            <family val="2"/>
          </rPr>
          <t xml:space="preserve">
</t>
        </r>
      </text>
    </comment>
    <comment ref="J101" authorId="0" shapeId="0" xr:uid="{6E719648-3D5A-48F3-9F6B-35133BF3127B}">
      <text>
        <r>
          <rPr>
            <b/>
            <sz val="11"/>
            <color indexed="81"/>
            <rFont val="Tahoma"/>
            <family val="2"/>
          </rPr>
          <t xml:space="preserve">Insert (+ figure) $ of external borrowings. In general, a minimum of 50% of capex value should be assumed to be funded by external borrowings except if Site has sufficient surplus cash in its bank account to finance the capex requirements. If this is left blank, the model assumes funding via equity or surplus cash.
All external borrowings must be repaid during the life of the project. Insert debt repayment assumption (-ve figure) such that the entire loan amount is repaid and project cash balance remains positive every year-end. 
</t>
        </r>
        <r>
          <rPr>
            <sz val="11"/>
            <color indexed="81"/>
            <rFont val="Tahoma"/>
            <family val="2"/>
          </rPr>
          <t xml:space="preserve">Use of debt will have the following effect on the model:
1. Interest Expense will be calculated on the debt value and recorded in the PNL
2. Balance sheet will record the outstanding amount of debt
3. Debt must be repaid. Any debt drawdown must be offset by a repayment such that the row total must add up to zero.
</t>
        </r>
      </text>
    </comment>
    <comment ref="N101" authorId="0" shapeId="0" xr:uid="{2E74ACEF-C868-4500-BEAA-B481539F7E16}">
      <text>
        <r>
          <rPr>
            <sz val="11"/>
            <color indexed="81"/>
            <rFont val="Tahoma"/>
            <family val="2"/>
          </rPr>
          <t>Insert debt funding amount such that Project Cash Balance at Year-end is positive (2 rows down). Make an assumption on debt repayment based on Project cash balance surplus. If Site has no capacity to assume debt, then enter funding in the Equity section below.
If not sure about debt, then assume all funding requirement is by way of equity. Insert funding requirement in cell below.</t>
        </r>
      </text>
    </comment>
    <comment ref="J102" authorId="0" shapeId="0" xr:uid="{7FD07144-2D8B-4A06-A9D1-F9FB48DD126B}">
      <text>
        <r>
          <rPr>
            <b/>
            <sz val="11"/>
            <color indexed="81"/>
            <rFont val="Tahoma"/>
            <family val="2"/>
          </rPr>
          <t>After determining external debt funding amount, the model will automatically assume the balance of funding requirements will be made via equity. Funding is needed to pay for capex and working capital requirements of the project.
The use of equity will have the following effect:
1. Equity value will be recorded in shareholder equity on the balance sheet
2. No interest cost is calculated</t>
        </r>
      </text>
    </comment>
    <comment ref="N102" authorId="0" shapeId="0" xr:uid="{E872FE00-9D36-498D-AD09-91AA2545FA5D}">
      <text>
        <r>
          <rPr>
            <sz val="11"/>
            <color indexed="81"/>
            <rFont val="Tahoma"/>
            <family val="2"/>
          </rPr>
          <t>After determining debt funding, insert equity funding amount such that Project Cash Balance at Year-end is positive (1 rows down). Equity funding for project could originate from site surplus cash flow or new equity injection.</t>
        </r>
      </text>
    </comment>
    <comment ref="J107" authorId="1" shapeId="0" xr:uid="{AC30B268-1192-40C9-A4CE-7D5EF1A57EC8}">
      <text>
        <r>
          <rPr>
            <b/>
            <sz val="10"/>
            <color indexed="81"/>
            <rFont val="Tahoma"/>
            <family val="2"/>
          </rPr>
          <t>Unfavorable or Excess WC / (Favourable WC)</t>
        </r>
        <r>
          <rPr>
            <sz val="10"/>
            <color indexed="81"/>
            <rFont val="Tahoma"/>
            <family val="2"/>
          </rPr>
          <t xml:space="preserve">
</t>
        </r>
      </text>
    </comment>
    <comment ref="J109" authorId="1" shapeId="0" xr:uid="{C27954DD-52A5-4879-9309-B87631E2B58E}">
      <text>
        <r>
          <rPr>
            <sz val="10"/>
            <color indexed="81"/>
            <rFont val="Tahoma"/>
            <family val="2"/>
          </rPr>
          <t>Standard working capital allowance is calculated assuming 50% Raw Materials and 50% FG
i.e. Standard WC allocance = DIO of 15 days for RM and 15 days for WIP&amp;FG</t>
        </r>
      </text>
    </comment>
    <comment ref="I113" authorId="0" shapeId="0" xr:uid="{E1844F40-23A8-47C7-95CA-001F19BE8887}">
      <text>
        <r>
          <rPr>
            <b/>
            <sz val="11"/>
            <color indexed="81"/>
            <rFont val="Tahoma"/>
            <family val="2"/>
          </rPr>
          <t xml:space="preserve">Owner of Section
</t>
        </r>
        <r>
          <rPr>
            <sz val="11"/>
            <color indexed="81"/>
            <rFont val="Tahoma"/>
            <family val="2"/>
          </rPr>
          <t xml:space="preserve">Site/Region Controller </t>
        </r>
      </text>
    </comment>
    <comment ref="J137" authorId="0" shapeId="0" xr:uid="{F079E6F1-85FC-4CCA-B981-120362E70686}">
      <text>
        <r>
          <rPr>
            <sz val="11"/>
            <color indexed="81"/>
            <rFont val="Tahoma"/>
            <family val="2"/>
          </rPr>
          <t>Maybe used for any unsual items such as govt grants, subsidies, etc.</t>
        </r>
      </text>
    </comment>
    <comment ref="N139" authorId="1" shapeId="0" xr:uid="{0BF2E413-ACB3-481F-BA3C-C6AAD41F0E24}">
      <text>
        <r>
          <rPr>
            <b/>
            <sz val="12"/>
            <color indexed="81"/>
            <rFont val="Tahoma"/>
            <family val="2"/>
          </rPr>
          <t>Calendar Year of Tooling Sale</t>
        </r>
        <r>
          <rPr>
            <sz val="12"/>
            <color indexed="81"/>
            <rFont val="Tahoma"/>
            <family val="2"/>
          </rPr>
          <t xml:space="preserve"> should according to year customer PPAP approval is expected (Note: Should be same or before SOP year for 1st tool set)
</t>
        </r>
      </text>
    </comment>
    <comment ref="P139" authorId="1" shapeId="0" xr:uid="{1954F998-9A27-4F9A-913B-72570D2DD9D6}">
      <text>
        <r>
          <rPr>
            <b/>
            <sz val="12"/>
            <color indexed="81"/>
            <rFont val="Tahoma"/>
            <family val="2"/>
          </rPr>
          <t>Calendar Year of Tooling Sale</t>
        </r>
        <r>
          <rPr>
            <sz val="12"/>
            <color indexed="81"/>
            <rFont val="Tahoma"/>
            <family val="2"/>
          </rPr>
          <t xml:space="preserve"> should according to year customer PPAP approval is expected (Note: Should be same or before SOP year for 1st tool set)
</t>
        </r>
      </text>
    </comment>
    <comment ref="R139" authorId="1" shapeId="0" xr:uid="{18E7D679-7995-47AD-B53B-7D3E8E1FC540}">
      <text>
        <r>
          <rPr>
            <b/>
            <sz val="12"/>
            <color indexed="81"/>
            <rFont val="Tahoma"/>
            <family val="2"/>
          </rPr>
          <t>Calendar Year of Tooling Sale</t>
        </r>
        <r>
          <rPr>
            <sz val="12"/>
            <color indexed="81"/>
            <rFont val="Tahoma"/>
            <family val="2"/>
          </rPr>
          <t xml:space="preserve"> should according to year customer PPAP approval is expected (Note: Should be same or before SOP year for 1st tool set)
</t>
        </r>
      </text>
    </comment>
    <comment ref="T139" authorId="1" shapeId="0" xr:uid="{64687CEC-E58B-4CAD-843C-8AA8A1DD890E}">
      <text>
        <r>
          <rPr>
            <b/>
            <sz val="12"/>
            <color indexed="81"/>
            <rFont val="Tahoma"/>
            <family val="2"/>
          </rPr>
          <t>Calendar Year of Tooling Sale</t>
        </r>
        <r>
          <rPr>
            <sz val="12"/>
            <color indexed="81"/>
            <rFont val="Tahoma"/>
            <family val="2"/>
          </rPr>
          <t xml:space="preserve"> should according to year customer PPAP approval is expected (Note: Should be same or before SOP year for 1st tool set)
</t>
        </r>
      </text>
    </comment>
    <comment ref="V139" authorId="1" shapeId="0" xr:uid="{8B5EC4D8-5D6C-439D-8F82-30578E88CA27}">
      <text>
        <r>
          <rPr>
            <b/>
            <sz val="12"/>
            <color indexed="81"/>
            <rFont val="Tahoma"/>
            <family val="2"/>
          </rPr>
          <t>Calendar Year of Tooling Sale</t>
        </r>
        <r>
          <rPr>
            <sz val="12"/>
            <color indexed="81"/>
            <rFont val="Tahoma"/>
            <family val="2"/>
          </rPr>
          <t xml:space="preserve"> should according to year customer PPAP approval is expected (Note: Should be same or before SOP year for 1st tool set)
</t>
        </r>
      </text>
    </comment>
    <comment ref="X139" authorId="1" shapeId="0" xr:uid="{BC3B0E6A-ECA7-481C-AE4B-6F0C70F9568A}">
      <text>
        <r>
          <rPr>
            <b/>
            <sz val="12"/>
            <color indexed="81"/>
            <rFont val="Tahoma"/>
            <family val="2"/>
          </rPr>
          <t>Calendar Year of Tooling Sale</t>
        </r>
        <r>
          <rPr>
            <sz val="12"/>
            <color indexed="81"/>
            <rFont val="Tahoma"/>
            <family val="2"/>
          </rPr>
          <t xml:space="preserve"> should according to year customer PPAP approval is expected (Note: Should be same or before SOP year for 1st tool set)
</t>
        </r>
      </text>
    </comment>
    <comment ref="J140" authorId="1" shapeId="0" xr:uid="{2D3413E5-E1D0-442F-BD98-32EFA3054E72}">
      <text>
        <r>
          <rPr>
            <b/>
            <sz val="11"/>
            <color indexed="81"/>
            <rFont val="Tahoma"/>
            <family val="2"/>
          </rPr>
          <t>Enter the Cost of Tooling or Automation as quoted by vendor. If vendor is TIC or other Inter-Co, refer note below.</t>
        </r>
        <r>
          <rPr>
            <sz val="11"/>
            <color indexed="81"/>
            <rFont val="Tahoma"/>
            <family val="2"/>
          </rPr>
          <t xml:space="preserve">
Note: If the tool/automation is manufactured by TIC or other Inter-Co, please request for and enter TIC internal cost (excluding profit margin). If despite making the request, this information is not available, assume the COS is 90% of TIC quoted price.
</t>
        </r>
      </text>
    </comment>
    <comment ref="N140" authorId="1" shapeId="0" xr:uid="{04A72F41-B7B9-4F47-8D75-C1DA8A48C7A4}">
      <text>
        <r>
          <rPr>
            <b/>
            <sz val="12"/>
            <color indexed="81"/>
            <rFont val="Tahoma"/>
            <family val="2"/>
          </rPr>
          <t xml:space="preserve">Fill-in the Tooling COS manually </t>
        </r>
        <r>
          <rPr>
            <sz val="12"/>
            <color indexed="81"/>
            <rFont val="Tahoma"/>
            <family val="2"/>
          </rPr>
          <t xml:space="preserve">according to the tooling cost in Tooling CBD. The default formula assumes COS = Sales Price. Please update maually if there is a profit margin.
</t>
        </r>
      </text>
    </comment>
    <comment ref="P140" authorId="1" shapeId="0" xr:uid="{4D94791F-94B4-4EEF-8F57-ED3FC3534775}">
      <text>
        <r>
          <rPr>
            <b/>
            <sz val="12"/>
            <color indexed="81"/>
            <rFont val="Tahoma"/>
            <family val="2"/>
          </rPr>
          <t xml:space="preserve">Fill-in the Tooling COS manually </t>
        </r>
        <r>
          <rPr>
            <sz val="12"/>
            <color indexed="81"/>
            <rFont val="Tahoma"/>
            <family val="2"/>
          </rPr>
          <t xml:space="preserve">according to the tooling cost in Tooling CBD. The default formula assumes COS = Sales Price. Please update maually if there is a profit margin.
</t>
        </r>
      </text>
    </comment>
    <comment ref="R140" authorId="1" shapeId="0" xr:uid="{DC592613-B1CB-46DA-9608-9292CA8AF6EA}">
      <text>
        <r>
          <rPr>
            <b/>
            <sz val="12"/>
            <color indexed="81"/>
            <rFont val="Tahoma"/>
            <family val="2"/>
          </rPr>
          <t xml:space="preserve">Fill-in the Tooling COS manually </t>
        </r>
        <r>
          <rPr>
            <sz val="12"/>
            <color indexed="81"/>
            <rFont val="Tahoma"/>
            <family val="2"/>
          </rPr>
          <t xml:space="preserve">according to the tooling cost in Tooling CBD. The default formula assumes COS = Sales Price. Please update maually if there is a profit margin.
</t>
        </r>
      </text>
    </comment>
    <comment ref="T140" authorId="1" shapeId="0" xr:uid="{7D69B086-8DBD-45C1-A095-194CE6862E35}">
      <text>
        <r>
          <rPr>
            <b/>
            <sz val="12"/>
            <color indexed="81"/>
            <rFont val="Tahoma"/>
            <family val="2"/>
          </rPr>
          <t xml:space="preserve">Fill-in the Tooling COS manually </t>
        </r>
        <r>
          <rPr>
            <sz val="12"/>
            <color indexed="81"/>
            <rFont val="Tahoma"/>
            <family val="2"/>
          </rPr>
          <t xml:space="preserve">according to the tooling cost in Tooling CBD. The default formula assumes COS = Sales Price. Please update maually if there is a profit margin.
</t>
        </r>
      </text>
    </comment>
    <comment ref="V140" authorId="1" shapeId="0" xr:uid="{0ED213A0-38B3-4CF4-9376-2921ECCD66A8}">
      <text>
        <r>
          <rPr>
            <b/>
            <sz val="12"/>
            <color indexed="81"/>
            <rFont val="Tahoma"/>
            <family val="2"/>
          </rPr>
          <t xml:space="preserve">Fill-in the Tooling COS manually </t>
        </r>
        <r>
          <rPr>
            <sz val="12"/>
            <color indexed="81"/>
            <rFont val="Tahoma"/>
            <family val="2"/>
          </rPr>
          <t xml:space="preserve">according to the tooling cost in Tooling CBD. The default formula assumes COS = Sales Price. Please update maually if there is a profit margin.
</t>
        </r>
      </text>
    </comment>
    <comment ref="X140" authorId="1" shapeId="0" xr:uid="{AC205ACF-A51B-4761-B02B-23764EF3A5A1}">
      <text>
        <r>
          <rPr>
            <b/>
            <sz val="12"/>
            <color indexed="81"/>
            <rFont val="Tahoma"/>
            <family val="2"/>
          </rPr>
          <t xml:space="preserve">Fill-in the Tooling COS manually </t>
        </r>
        <r>
          <rPr>
            <sz val="12"/>
            <color indexed="81"/>
            <rFont val="Tahoma"/>
            <family val="2"/>
          </rPr>
          <t xml:space="preserve">according to the tooling cost in Tooling CBD. The default formula assumes COS = Sales Price. Please update maually if there is a profit margin.
</t>
        </r>
      </text>
    </comment>
    <comment ref="J146" authorId="1" shapeId="0" xr:uid="{BA6180D4-D9E1-40B8-BBC5-20647CC8B1C4}">
      <text>
        <r>
          <rPr>
            <sz val="11"/>
            <color indexed="81"/>
            <rFont val="Tahoma"/>
            <family val="2"/>
          </rPr>
          <t xml:space="preserve">This section is created for any manual adjustments that Finance controller consider appropriate to presented a more accurate PNL of the project. 
This section should be used by qualified member of Finance function ONLY.
Adjustments here will create deviations between the CBD PNL versus Pre-CER PNL. And cash flow affected accordingly. e.g. adjustments for fixed vs variable overheads, tooling amortizationf, fixed vs variable SG&amp;A, etc.
</t>
        </r>
      </text>
    </comment>
    <comment ref="J148" authorId="1" shapeId="0" xr:uid="{D2D4582B-6FC1-4A44-9C5E-DC1413A2D5D8}">
      <text>
        <r>
          <rPr>
            <b/>
            <sz val="11"/>
            <color indexed="81"/>
            <rFont val="Tahoma"/>
            <family val="2"/>
          </rPr>
          <t xml:space="preserve">If there are Inter-Co purchase components in the CBD and transfer cost includes profit margin made by the seller, then enter the estimated inter profit amount (as + positive number) for each year. The iner-co profit will be added back to GP &amp; EBITDA.
Reason: </t>
        </r>
        <r>
          <rPr>
            <sz val="11"/>
            <color indexed="81"/>
            <rFont val="Tahoma"/>
            <family val="2"/>
          </rPr>
          <t>For the purposes of CER simulation, the cost of such components should be based on Standard Cost at the Inter-Co site. You will need to obtain this the inter-co profit data from the Site GM or Controller.
This will ensure the CER financial analysis provides the Group perspective (eliminating any significant inter-company profits)</t>
        </r>
      </text>
    </comment>
    <comment ref="J149" authorId="1" shapeId="0" xr:uid="{358E0A46-D3CF-4DC3-A6B4-7195AF08E006}">
      <text>
        <r>
          <rPr>
            <b/>
            <sz val="11"/>
            <color indexed="81"/>
            <rFont val="Tahoma"/>
            <family val="2"/>
          </rPr>
          <t xml:space="preserve">If, 
</t>
        </r>
        <r>
          <rPr>
            <sz val="11"/>
            <color indexed="81"/>
            <rFont val="Tahoma"/>
            <family val="2"/>
          </rPr>
          <t xml:space="preserve">1) the IDL rate in CBD is based on full absorption cost, and
2) this RFQ is not an anchor program, but is instead for short term / capacity loading and overheads absorption, </t>
        </r>
        <r>
          <rPr>
            <b/>
            <sz val="11"/>
            <color indexed="81"/>
            <rFont val="Tahoma"/>
            <family val="2"/>
          </rPr>
          <t xml:space="preserve">then enter the estimated adjustment (as + positive number) to remove the fixed cost component of IDL rate. 
</t>
        </r>
        <r>
          <rPr>
            <sz val="11"/>
            <color indexed="81"/>
            <rFont val="Tahoma"/>
            <family val="2"/>
          </rPr>
          <t xml:space="preserve">
The remaining cost in PNL represents variable (or incremental) cost only. If this RFQ has no incremental cost and provided both criteria above are met, then the PNL cost should be fully eliminated.</t>
        </r>
      </text>
    </comment>
    <comment ref="J150" authorId="1" shapeId="0" xr:uid="{04B7018A-81A6-4B86-99B5-85392795158E}">
      <text>
        <r>
          <rPr>
            <b/>
            <sz val="11"/>
            <color indexed="81"/>
            <rFont val="Tahoma"/>
            <family val="2"/>
          </rPr>
          <t xml:space="preserve">If, 
</t>
        </r>
        <r>
          <rPr>
            <sz val="11"/>
            <color indexed="81"/>
            <rFont val="Tahoma"/>
            <family val="2"/>
          </rPr>
          <t xml:space="preserve">1) the Factory Support overheads rate in CBD is based on full absorption cost, and
2) this RFQ is not an anchor program, but is instead for short term / capacity loading and overheads absorption, </t>
        </r>
        <r>
          <rPr>
            <b/>
            <sz val="11"/>
            <color indexed="81"/>
            <rFont val="Tahoma"/>
            <family val="2"/>
          </rPr>
          <t xml:space="preserve">then enter the estimated adjustment (as + positive number) to remove the fixed cost component of FS rate. 
</t>
        </r>
        <r>
          <rPr>
            <sz val="11"/>
            <color indexed="81"/>
            <rFont val="Tahoma"/>
            <family val="2"/>
          </rPr>
          <t xml:space="preserve">
The remaining cost in PNL represents variable (or incremental) cost only. If this RFQ has no incremental cost and provided both criteria above are met, then the PNL cost should be fully eliminated</t>
        </r>
      </text>
    </comment>
    <comment ref="J151" authorId="1" shapeId="0" xr:uid="{60E60BB7-6486-4798-906A-8D37AE0CA2E5}">
      <text>
        <r>
          <rPr>
            <b/>
            <sz val="10"/>
            <color indexed="81"/>
            <rFont val="Tahoma"/>
            <family val="2"/>
          </rPr>
          <t>Input amortization of Interplex co-invested tooling or automation. For use of the amortization reflected in the CBD is incorrect.</t>
        </r>
        <r>
          <rPr>
            <sz val="10"/>
            <color indexed="81"/>
            <rFont val="Tahoma"/>
            <family val="2"/>
          </rPr>
          <t xml:space="preserve">
Note: Tooling/Automation co-invest must be 100% amortized by end of project. Otherwise, model will return an error message. Amortization period (period of recovery from customer) should not exceed 3 years, or maximum of 5 years for very large strategic projects.
To check if you have fully amortized the co-investment, refer to Section 1C or Section 4A (Balance Sheet). These section will show the Unamortized Balance, if any.
</t>
        </r>
      </text>
    </comment>
    <comment ref="J152" authorId="0" shapeId="0" xr:uid="{7CD882C7-0B6D-4809-85BB-D5053662B457}">
      <text>
        <r>
          <rPr>
            <sz val="11"/>
            <color indexed="81"/>
            <rFont val="Tahoma"/>
            <family val="2"/>
          </rPr>
          <t xml:space="preserve">Available for use for </t>
        </r>
        <r>
          <rPr>
            <b/>
            <sz val="11"/>
            <color indexed="81"/>
            <rFont val="Tahoma"/>
            <family val="2"/>
          </rPr>
          <t>exceptional or one-off costs</t>
        </r>
        <r>
          <rPr>
            <sz val="11"/>
            <color indexed="81"/>
            <rFont val="Tahoma"/>
            <family val="2"/>
          </rPr>
          <t xml:space="preserve">. Enter in the year that expense is expected to occur. e.g.
1. Pre-production cost (IDL/DL recruitment/training, site preparation, etc.) 
2. Business links, rebates
3. Write off of surplus / obsolete inventory due to vendor MOQ
</t>
        </r>
      </text>
    </comment>
    <comment ref="J156" authorId="1" shapeId="0" xr:uid="{13CE2BD2-EA49-4D36-9AB5-305D2CC1F2E5}">
      <text>
        <r>
          <rPr>
            <b/>
            <sz val="11"/>
            <color indexed="81"/>
            <rFont val="Tahoma"/>
            <family val="2"/>
          </rPr>
          <t xml:space="preserve">If, 
</t>
        </r>
        <r>
          <rPr>
            <sz val="11"/>
            <color indexed="81"/>
            <rFont val="Tahoma"/>
            <family val="2"/>
          </rPr>
          <t xml:space="preserve">1) the S&amp;M and R&amp;D rate in CBD is based on full absorption cost, and
2) this RFQ is not an anchor program, but is instead for short term / capacity loading and overheads absorption, </t>
        </r>
        <r>
          <rPr>
            <b/>
            <sz val="11"/>
            <color indexed="81"/>
            <rFont val="Tahoma"/>
            <family val="2"/>
          </rPr>
          <t xml:space="preserve">then enter the estimated adjustment (as + positive number) to remove the fixed cost component of the overheads rate. 
</t>
        </r>
        <r>
          <rPr>
            <sz val="11"/>
            <color indexed="81"/>
            <rFont val="Tahoma"/>
            <family val="2"/>
          </rPr>
          <t xml:space="preserve">
The remaining cost in PNL represents variable (or incremental) cost only. If this RFQ has no incremental cost and provided both criteria above are met, then the PNL cost should be fully eliminated.</t>
        </r>
      </text>
    </comment>
    <comment ref="J157" authorId="1" shapeId="0" xr:uid="{AFF6BC1C-975B-4A1E-BA43-582B980E59E1}">
      <text>
        <r>
          <rPr>
            <b/>
            <sz val="11"/>
            <color indexed="81"/>
            <rFont val="Tahoma"/>
            <family val="2"/>
          </rPr>
          <t xml:space="preserve">If, 
</t>
        </r>
        <r>
          <rPr>
            <sz val="11"/>
            <color indexed="81"/>
            <rFont val="Tahoma"/>
            <family val="2"/>
          </rPr>
          <t xml:space="preserve">1) the IDL rate in CBD is based on full absorption cost, and
2) this RFQ is not an anchor program, but is instead for short term / capacity loading and overheads absorption, </t>
        </r>
        <r>
          <rPr>
            <b/>
            <sz val="11"/>
            <color indexed="81"/>
            <rFont val="Tahoma"/>
            <family val="2"/>
          </rPr>
          <t xml:space="preserve">then enter the estimated adjustment (as + positive number) to remove the fixed cost component of IDL rate. 
</t>
        </r>
        <r>
          <rPr>
            <sz val="11"/>
            <color indexed="81"/>
            <rFont val="Tahoma"/>
            <family val="2"/>
          </rPr>
          <t xml:space="preserve">
The remaining cost in PNL represents variable (or incremental) cost only. If this RFQ has no incremental cost and provided both criteria above are met, then the PNL cost should be fully eliminated.</t>
        </r>
      </text>
    </comment>
    <comment ref="J170" authorId="0" shapeId="0" xr:uid="{7C04C475-85A7-4600-B3FB-0F38172D88A2}">
      <text>
        <r>
          <rPr>
            <sz val="11"/>
            <color indexed="81"/>
            <rFont val="Tahoma"/>
            <family val="2"/>
          </rPr>
          <t>Note: this model does not account for deferred tax asset arising from PNL losses (due to complications on cash flow statement). Therefore the PNL does not show a tax credit in event of losses.</t>
        </r>
      </text>
    </comment>
    <comment ref="J211" authorId="0" shapeId="0" xr:uid="{D1404B8F-3D9C-46B1-BF45-93825F704F38}">
      <text>
        <r>
          <rPr>
            <sz val="11"/>
            <color indexed="81"/>
            <rFont val="Tahoma"/>
            <family val="2"/>
          </rPr>
          <t xml:space="preserve">Trade payables = (COGS + Production Cost x 30%*) x Acct Payable Days / 365
*Only 30% of Production Cost is used as a large proportion is paid only without any credit terms e.g. IDL wages or salaries, rentals, etc.
</t>
        </r>
      </text>
    </comment>
    <comment ref="N294" authorId="0" shapeId="0" xr:uid="{FE7F9027-D188-4751-898C-5E633E72D34B}">
      <text>
        <r>
          <rPr>
            <sz val="11"/>
            <color indexed="81"/>
            <rFont val="Tahoma"/>
            <family val="2"/>
          </rPr>
          <t xml:space="preserve">Depreciation in 1st year of revenue is calculated assuming depreciation begins in SOP month. e.g. if SOP month is Mar (SOP month=3), then 10 months of depreciation on the capex incurred is imputed for that year. Annual straightline depreciation methodology is used.
Cell is unlocked in the unlikely event an amendment of 1st year depreciation is required.
</t>
        </r>
      </text>
    </comment>
    <comment ref="O294" authorId="0" shapeId="0" xr:uid="{B7855504-CB67-409C-A8D7-45182A045CB2}">
      <text>
        <r>
          <rPr>
            <sz val="11"/>
            <color indexed="81"/>
            <rFont val="Tahoma"/>
            <family val="2"/>
          </rPr>
          <t xml:space="preserve">Depreciation in 1st year of revenue is calculated assuming depreciation begins in SOP month. e.g. if SOP month is Mar (SOP month=3), then 10 months of depreciation on the capex incurred is imputed for that year. Annual straightline depreciation methodology is used.
Cell is unlocked in the unlikely event an amendment of 1st year depreciation is required.
</t>
        </r>
      </text>
    </comment>
    <comment ref="P294" authorId="0" shapeId="0" xr:uid="{53A622E9-429D-4BDF-A51A-FEFFEE0E6776}">
      <text>
        <r>
          <rPr>
            <sz val="11"/>
            <color indexed="81"/>
            <rFont val="Tahoma"/>
            <family val="2"/>
          </rPr>
          <t xml:space="preserve">Depreciation in 1st year of revenue is calculated assuming depreciation begins in SOP month. e.g. if SOP month is Mar (SOP month=3), then 10 months of depreciation on the capex incurred is imputed for that year. Annual straightline depreciation methodology is used.
Cell is unlocked in the unlikely event an amendment of 1st year depreciation is required.
</t>
        </r>
      </text>
    </comment>
    <comment ref="J326" authorId="0" shapeId="0" xr:uid="{D71632D3-5BCD-42C6-A952-063552BD294C}">
      <text>
        <r>
          <rPr>
            <sz val="11"/>
            <color indexed="81"/>
            <rFont val="Tahoma"/>
            <family val="2"/>
          </rPr>
          <t>Payback period of capex is calculated as the time taken for cash generated from the project to recover the cost of capex (starting from the year capex is first incurred).</t>
        </r>
        <r>
          <rPr>
            <b/>
            <sz val="11"/>
            <color indexed="81"/>
            <rFont val="Tahoma"/>
            <family val="2"/>
          </rPr>
          <t xml:space="preserve"> 
Note: 
</t>
        </r>
        <r>
          <rPr>
            <sz val="11"/>
            <color indexed="81"/>
            <rFont val="Tahoma"/>
            <family val="2"/>
          </rPr>
          <t xml:space="preserve">For simplicity, the 1st year of capex is considered 0.5 years (i.e. assumes capex incurred at mid-year)
The cash flow is nominal i.e. undiscounted. </t>
        </r>
      </text>
    </comment>
    <comment ref="J329" authorId="0" shapeId="0" xr:uid="{BC521115-C78B-4319-8CD4-F82ABFD04F1B}">
      <text>
        <r>
          <rPr>
            <sz val="11"/>
            <color indexed="81"/>
            <rFont val="Tahoma"/>
            <family val="2"/>
          </rPr>
          <t>Payback period of capex is calculated as the time taken for cash generated from the project to recover the cost of capex (starting from the year capex is first incurred).</t>
        </r>
        <r>
          <rPr>
            <b/>
            <sz val="11"/>
            <color indexed="81"/>
            <rFont val="Tahoma"/>
            <family val="2"/>
          </rPr>
          <t xml:space="preserve"> 
Note: 
</t>
        </r>
        <r>
          <rPr>
            <sz val="11"/>
            <color indexed="81"/>
            <rFont val="Tahoma"/>
            <family val="2"/>
          </rPr>
          <t xml:space="preserve">For simplicity, the 1st year of capex is considered 0.5 years (i.e. assumes capex incurred at mid-year)
The cash flow is nominal i.e. undiscounted.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Tomchi</author>
    <author>Tom LAM</author>
  </authors>
  <commentList>
    <comment ref="J7" authorId="0" shapeId="0" xr:uid="{39D8DAF0-B669-4E53-B29A-2B67144E7E8A}">
      <text>
        <r>
          <rPr>
            <sz val="12"/>
            <color indexed="81"/>
            <rFont val="Tahoma"/>
            <family val="2"/>
          </rPr>
          <t>Originator: T.Lam; Reviewed &amp; Approved by: J.Soon</t>
        </r>
        <r>
          <rPr>
            <b/>
            <sz val="12"/>
            <color indexed="81"/>
            <rFont val="Tahoma"/>
            <family val="2"/>
          </rPr>
          <t xml:space="preserve">
Revision History:
v0.1</t>
        </r>
        <r>
          <rPr>
            <sz val="12"/>
            <color indexed="81"/>
            <rFont val="Tahoma"/>
            <family val="2"/>
          </rPr>
          <t xml:space="preserve"> dd 131022: Issued for testing and feedback
</t>
        </r>
        <r>
          <rPr>
            <b/>
            <sz val="12"/>
            <color indexed="81"/>
            <rFont val="Tahoma"/>
            <family val="2"/>
          </rPr>
          <t>v0.2</t>
        </r>
        <r>
          <rPr>
            <sz val="12"/>
            <color indexed="81"/>
            <rFont val="Tahoma"/>
            <family val="2"/>
          </rPr>
          <t xml:space="preserve"> dd 141022: Updated for integration to CBD standard template. Formating, cell notes and formula changes.
</t>
        </r>
        <r>
          <rPr>
            <b/>
            <sz val="12"/>
            <color indexed="81"/>
            <rFont val="Tahoma"/>
            <family val="2"/>
          </rPr>
          <t>V0.3</t>
        </r>
        <r>
          <rPr>
            <sz val="12"/>
            <color indexed="81"/>
            <rFont val="Tahoma"/>
            <family val="2"/>
          </rPr>
          <t xml:space="preserve"> dd 181022: Further integration to CBD. capex (2B1) to hard code link to CBD Investment, inserted a new row (2B2) for manual capex input. Hard code the linked of Year 1 number of days of revenue to CQSC (2D). Refinement to year 1 calculation of ROI.
</t>
        </r>
        <r>
          <rPr>
            <b/>
            <sz val="12"/>
            <color indexed="81"/>
            <rFont val="Tahoma"/>
            <family val="2"/>
          </rPr>
          <t>V1.0</t>
        </r>
        <r>
          <rPr>
            <sz val="12"/>
            <color indexed="81"/>
            <rFont val="Tahoma"/>
            <family val="2"/>
          </rPr>
          <t xml:space="preserve"> dd 271022: Issued for pilot testing and implementation as part of CQSC integrated package. Created inventory components
</t>
        </r>
        <r>
          <rPr>
            <b/>
            <sz val="12"/>
            <color indexed="81"/>
            <rFont val="Tahoma"/>
            <family val="2"/>
          </rPr>
          <t>V1.1</t>
        </r>
        <r>
          <rPr>
            <sz val="12"/>
            <color indexed="81"/>
            <rFont val="Tahoma"/>
            <family val="2"/>
          </rPr>
          <t xml:space="preserve"> dd 051122: Debugging. Issued for pilot testing and implementation
</t>
        </r>
        <r>
          <rPr>
            <b/>
            <sz val="12"/>
            <color indexed="81"/>
            <rFont val="Tahoma"/>
            <family val="2"/>
          </rPr>
          <t xml:space="preserve">V1.2 </t>
        </r>
        <r>
          <rPr>
            <sz val="12"/>
            <color indexed="81"/>
            <rFont val="Tahoma"/>
            <family val="2"/>
          </rPr>
          <t xml:space="preserve">dd 131222 &amp; 040123: Tooling recoverable calculation tables in 2 places (1)Tooling Milestone calculation table column AE, (2) manual input. If method (1) Tooling Milestone calculation table is used, then Peak Funding Gap now includes maximum CF deficit due to tool payment vs customer collection. Total Investment includes Tooling PNL Loss. Debugging. 
</t>
        </r>
        <r>
          <rPr>
            <b/>
            <sz val="12"/>
            <color indexed="81"/>
            <rFont val="Tahoma"/>
            <family val="2"/>
          </rPr>
          <t>V1.3</t>
        </r>
        <r>
          <rPr>
            <sz val="12"/>
            <color indexed="81"/>
            <rFont val="Tahoma"/>
            <family val="2"/>
          </rPr>
          <t xml:space="preserve"> dd 190323: Split Investment between Capex vs Tooling investment / Deficit, new metrix EBIT% Total Revenue, Debugging: Updated Check formula to exclude Tooling recoverable offset, Typos, etc. All changes has no impact on PNL or ROI calculation. [CQSC: Investment tab depreciation schedule for capex, link to SFP254 depreciation life.]
</t>
        </r>
        <r>
          <rPr>
            <b/>
            <sz val="12"/>
            <color indexed="81"/>
            <rFont val="Tahoma"/>
            <family val="2"/>
          </rPr>
          <t>V1.3</t>
        </r>
        <r>
          <rPr>
            <sz val="12"/>
            <color indexed="81"/>
            <rFont val="Tahoma"/>
            <family val="2"/>
          </rPr>
          <t xml:space="preserve"> dd 200323: Debugging - corrected summation formula for Tooling Margin (row 142) and EBITDA per CBD (row 143).
</t>
        </r>
        <r>
          <rPr>
            <b/>
            <sz val="12"/>
            <color indexed="81"/>
            <rFont val="Tahoma"/>
            <family val="2"/>
          </rPr>
          <t>V1.4</t>
        </r>
        <r>
          <rPr>
            <sz val="12"/>
            <color indexed="81"/>
            <rFont val="Tahoma"/>
            <family val="2"/>
          </rPr>
          <t xml:space="preserve"> dd 190523: Creation of Section 9, being a replica of Section 1 but values are displayed in USD for presentation purposes. [date 020623] Section 7B, 1st Yr ROI starts if CF exceeds -0.05% of LTR (e.g. -$5K for LTR $10m), Section 1C, Ave Annual WC$ calculation excl 1st yr. [date 210623] In the Consol worksheet, Unlocked depreciation life on row 94 for manual input. No changes in formula or format. Updated Year furmula in AR73-87 in case mismatch btw tool fabrication year vs header years. Section1: EBITDA% formula use total revenue as denominator. [date 260623] Inserted Section 10, Charts for presentation.[050723] Depreciation cal in 1st Yr rev, row294, based on SOP mth (prev 50%). [180723] Debugging GP% at L375. [201223] Debugging ROI interval-yr glitch, Row 326 ROI count all Yrs w -ve Cum CF &gt;0.05%LTR Rev. [050124] Inserted IRR% for ref in K37, In CQSC file, starting Year N11 link to Part CBD and created new worksheet for USD Only Pre-CER as common currency for multi-programs consolidation. [100124] Tooling CBD: Year formula Z81 for Ph2 start date fail-safe; section 8 Scorecard "Rev (Parts+Tooling)", update Direct Method CF (row251) for presentation only. [230124] WACC display cell K392 updated. No chnge to calculations.[310124] CQSC update to v33
</t>
        </r>
        <r>
          <rPr>
            <b/>
            <sz val="12"/>
            <color indexed="81"/>
            <rFont val="Tahoma"/>
            <family val="2"/>
          </rPr>
          <t>v1.5</t>
        </r>
        <r>
          <rPr>
            <sz val="12"/>
            <color indexed="81"/>
            <rFont val="Tahoma"/>
            <family val="2"/>
          </rPr>
          <t xml:space="preserve"> dd090424. Updated formula in cells N78 and O78 to compute Revenue Days in SOP year in different scenarios. Revenue Days impact working capital calculation. </t>
        </r>
      </text>
    </comment>
    <comment ref="L8" authorId="1" shapeId="0" xr:uid="{0D3F78C8-168E-429A-8945-9D1B815CF78D}">
      <text>
        <r>
          <rPr>
            <sz val="12"/>
            <color indexed="81"/>
            <rFont val="Tahoma"/>
            <family val="2"/>
          </rPr>
          <t xml:space="preserve">If the autofill data is not correct, please overwrite this cell with the correct data or assumption.
</t>
        </r>
      </text>
    </comment>
    <comment ref="AC9" authorId="0" shapeId="0" xr:uid="{1DBE55F3-85D6-43E7-9638-A2563ED2F4AC}">
      <text>
        <r>
          <rPr>
            <sz val="11"/>
            <color indexed="81"/>
            <rFont val="Tahoma"/>
            <family val="2"/>
          </rPr>
          <t xml:space="preserve">Cell shows results (or output) of financial model based on inputs entered. </t>
        </r>
        <r>
          <rPr>
            <b/>
            <sz val="11"/>
            <color indexed="81"/>
            <rFont val="Tahoma"/>
            <family val="2"/>
          </rPr>
          <t>Do NOT enter data into this cell</t>
        </r>
        <r>
          <rPr>
            <sz val="11"/>
            <color indexed="81"/>
            <rFont val="Tahoma"/>
            <family val="2"/>
          </rPr>
          <t xml:space="preserve">
</t>
        </r>
      </text>
    </comment>
    <comment ref="L11" authorId="1" shapeId="0" xr:uid="{8FB7B79C-E04D-41C6-91F2-885EC9935657}">
      <text>
        <r>
          <rPr>
            <sz val="12"/>
            <color indexed="81"/>
            <rFont val="Tahoma"/>
            <family val="2"/>
          </rPr>
          <t xml:space="preserve">Insert the </t>
        </r>
        <r>
          <rPr>
            <b/>
            <sz val="12"/>
            <color indexed="81"/>
            <rFont val="Tahoma"/>
            <family val="2"/>
          </rPr>
          <t>Calendar Year of SOP</t>
        </r>
        <r>
          <rPr>
            <sz val="12"/>
            <color indexed="81"/>
            <rFont val="Tahoma"/>
            <family val="2"/>
          </rPr>
          <t xml:space="preserve">
If the autofill data is not correct, please overwrite this cell with the correct data or assumption.
</t>
        </r>
      </text>
    </comment>
    <comment ref="L12" authorId="1" shapeId="0" xr:uid="{9AC5CD92-E69C-4782-90A8-FB15DA05FE3B}">
      <text>
        <r>
          <rPr>
            <sz val="12"/>
            <color indexed="81"/>
            <rFont val="Tahoma"/>
            <family val="2"/>
          </rPr>
          <t xml:space="preserve">Insert the </t>
        </r>
        <r>
          <rPr>
            <b/>
            <sz val="12"/>
            <color indexed="81"/>
            <rFont val="Tahoma"/>
            <family val="2"/>
          </rPr>
          <t>Calendar month of SOP in Year 1</t>
        </r>
        <r>
          <rPr>
            <sz val="12"/>
            <color indexed="81"/>
            <rFont val="Tahoma"/>
            <family val="2"/>
          </rPr>
          <t xml:space="preserve">
If the autofill data is not correct, please overwrite this cell with the correct data or assumption.
</t>
        </r>
      </text>
    </comment>
    <comment ref="N12" authorId="1" shapeId="0" xr:uid="{70EAB429-B536-4698-8D32-DAE1F9966561}">
      <text>
        <r>
          <rPr>
            <b/>
            <sz val="9"/>
            <color indexed="81"/>
            <rFont val="Tahoma"/>
            <family val="2"/>
          </rPr>
          <t>Insert if Calendar Year or Interplex Fiscal Year</t>
        </r>
        <r>
          <rPr>
            <sz val="9"/>
            <color indexed="81"/>
            <rFont val="Tahoma"/>
            <family val="2"/>
          </rPr>
          <t xml:space="preserve">
</t>
        </r>
      </text>
    </comment>
    <comment ref="I14" authorId="0" shapeId="0" xr:uid="{79874E85-F966-468F-9A38-9B2997421927}">
      <text>
        <r>
          <rPr>
            <b/>
            <sz val="11"/>
            <color indexed="81"/>
            <rFont val="Tahoma"/>
            <family val="2"/>
          </rPr>
          <t xml:space="preserve">Sections A and B should be used when presenting the RFQ or CER for Corporate Approval. The CER financial model must be sent at least 3 working days before the presentation </t>
        </r>
        <r>
          <rPr>
            <sz val="11"/>
            <color indexed="81"/>
            <rFont val="Tahoma"/>
            <family val="2"/>
          </rPr>
          <t xml:space="preserve">
</t>
        </r>
      </text>
    </comment>
    <comment ref="J26" authorId="0" shapeId="0" xr:uid="{2F41BA35-DA4A-4F1B-A008-E9ED83CAFEB3}">
      <text>
        <r>
          <rPr>
            <b/>
            <sz val="10"/>
            <color indexed="81"/>
            <rFont val="Tahoma"/>
            <family val="2"/>
          </rPr>
          <t>Funding requirement for the year measured at year-end, after taking into account all cash collection made from customer during the year. This is for payment of capex, tooling, working capital, operating cost but partly offset by collections made during the year
Note:</t>
        </r>
        <r>
          <rPr>
            <sz val="10"/>
            <color indexed="81"/>
            <rFont val="Tahoma"/>
            <family val="2"/>
          </rPr>
          <t xml:space="preserve"> In contrast, Peak Funding gap is the maximum gap at the start of project during the DSO period (after payment of capex, expenses and inventory) but before any cash collection is made from customer
</t>
        </r>
      </text>
    </comment>
    <comment ref="J27" authorId="0" shapeId="0" xr:uid="{C1318795-3734-447C-852B-84759902F7A2}">
      <text>
        <r>
          <rPr>
            <b/>
            <sz val="9"/>
            <color indexed="81"/>
            <rFont val="Tahoma"/>
            <family val="2"/>
          </rPr>
          <t xml:space="preserve">Peak funding gap is the cash needed at project start-up before any customer collection have been made*. This is to pay for capex, inventory and expenses at the very begining of the project. Funding gap must be financed out of existing cash balances.
</t>
        </r>
        <r>
          <rPr>
            <sz val="9"/>
            <color indexed="81"/>
            <rFont val="Tahoma"/>
            <family val="2"/>
          </rPr>
          <t xml:space="preserve">* Note: Collection occurs after product delivery, invoicing and customer payment. Higher capex, revenue, DSO, DIO and lower DPO will results in greater amount of funding requirement. </t>
        </r>
      </text>
    </comment>
    <comment ref="J34" authorId="1" shapeId="0" xr:uid="{A2CAE7DE-34F5-4491-A218-EA2B5358EAA5}">
      <text>
        <r>
          <rPr>
            <sz val="10"/>
            <color indexed="81"/>
            <rFont val="Tahoma"/>
            <family val="2"/>
          </rPr>
          <t>Project cumulative cash flow is typically negative at the commencement (due to investments, inventory purchases, etc) and turns positive after suffiicient cash flow has been cumulatively collected to cover the initial outlay. 
ROI is the forecasted period of time required to achieve CF break even between initial outlay and net cash collected (after paying all operating expenses)</t>
        </r>
      </text>
    </comment>
    <comment ref="K34" authorId="0" shapeId="0" xr:uid="{1DEDB3C3-8329-461E-A653-A290566EFEBB}">
      <text>
        <r>
          <rPr>
            <b/>
            <sz val="11"/>
            <color indexed="81"/>
            <rFont val="Tahoma"/>
            <family val="2"/>
          </rPr>
          <t xml:space="preserve">CPCF multiple </t>
        </r>
        <r>
          <rPr>
            <sz val="11"/>
            <color indexed="81"/>
            <rFont val="Tahoma"/>
            <family val="2"/>
          </rPr>
          <t xml:space="preserve">measures the multiple of cash returns from the investment, and is useful for ranking of different investment options. A project with higher multiple is in general more attractive than a project with a lower multiple because the higher multiple project returns more cash per $ invested. However, it is important to consider how far in future the cash is generated. A longer period increases risk and reduces the present value of that cash flow 
CPCF multiple is calculated as Cumulative Project Cash Flow divided by Total Funding requirement.
</t>
        </r>
      </text>
    </comment>
    <comment ref="J35" authorId="0" shapeId="0" xr:uid="{912CCF95-E13D-4E88-B21E-770B46303230}">
      <text>
        <r>
          <rPr>
            <b/>
            <sz val="11"/>
            <color indexed="81"/>
            <rFont val="Tahoma"/>
            <family val="2"/>
          </rPr>
          <t>ROI or Payback period</t>
        </r>
        <r>
          <rPr>
            <sz val="11"/>
            <color indexed="81"/>
            <rFont val="Tahoma"/>
            <family val="2"/>
          </rPr>
          <t xml:space="preserve"> of investment is calculated as the time taken for operating cash flows generated from the project to recover the cost of capex, tooling co-invest if any, and working capital. 
Note: 
For simplicity, in Year 1, a sliding scale of time period is assumed for calculation of ROI depending on the month of SOP:
SOP in month 1-3 (Jan-Mar) </t>
        </r>
        <r>
          <rPr>
            <b/>
            <sz val="11"/>
            <color indexed="81"/>
            <rFont val="Tahoma"/>
            <family val="2"/>
          </rPr>
          <t xml:space="preserve">0.25 </t>
        </r>
        <r>
          <rPr>
            <sz val="11"/>
            <color indexed="81"/>
            <rFont val="Tahoma"/>
            <family val="2"/>
          </rPr>
          <t xml:space="preserve">years 
SOP in month 4-9 (Apr-Sep) </t>
        </r>
        <r>
          <rPr>
            <b/>
            <sz val="11"/>
            <color indexed="81"/>
            <rFont val="Tahoma"/>
            <family val="2"/>
          </rPr>
          <t xml:space="preserve">0.5 </t>
        </r>
        <r>
          <rPr>
            <sz val="11"/>
            <color indexed="81"/>
            <rFont val="Tahoma"/>
            <family val="2"/>
          </rPr>
          <t xml:space="preserve">years 
SOP in month 1-3 (Oct-Dec) </t>
        </r>
        <r>
          <rPr>
            <b/>
            <sz val="11"/>
            <color indexed="81"/>
            <rFont val="Tahoma"/>
            <family val="2"/>
          </rPr>
          <t>0.75</t>
        </r>
        <r>
          <rPr>
            <sz val="11"/>
            <color indexed="81"/>
            <rFont val="Tahoma"/>
            <family val="2"/>
          </rPr>
          <t xml:space="preserve"> years</t>
        </r>
      </text>
    </comment>
    <comment ref="J36" authorId="1" shapeId="0" xr:uid="{E68F603B-2984-4EBA-B820-6D4718007914}">
      <text>
        <r>
          <rPr>
            <sz val="10"/>
            <color indexed="81"/>
            <rFont val="Tahoma"/>
            <family val="2"/>
          </rPr>
          <t xml:space="preserve">Represents the value of the project in terms of incremental future net cash flow after paying for initial outlays and operating expenses. Cash Flow is discounted to today's value using WACC (weighted average cost of capital) as stated. </t>
        </r>
      </text>
    </comment>
    <comment ref="J42" authorId="0" shapeId="0" xr:uid="{B06368FB-6933-4FD3-B998-23234D6C2C76}">
      <text>
        <r>
          <rPr>
            <b/>
            <sz val="11"/>
            <color indexed="81"/>
            <rFont val="Tahoma"/>
            <family val="2"/>
          </rPr>
          <t xml:space="preserve">Inventory for Raw Materials, Purchase Components, Sub-Contracted works and packaging. 
</t>
        </r>
        <r>
          <rPr>
            <u/>
            <sz val="11"/>
            <color indexed="81"/>
            <rFont val="Tahoma"/>
            <family val="2"/>
          </rPr>
          <t>Factors impacting RM Inventory days:</t>
        </r>
        <r>
          <rPr>
            <b/>
            <sz val="11"/>
            <color indexed="81"/>
            <rFont val="Tahoma"/>
            <family val="2"/>
          </rPr>
          <t xml:space="preserve"> 
</t>
        </r>
        <r>
          <rPr>
            <sz val="11"/>
            <color indexed="81"/>
            <rFont val="Tahoma"/>
            <family val="2"/>
          </rPr>
          <t>1)</t>
        </r>
        <r>
          <rPr>
            <b/>
            <sz val="11"/>
            <color indexed="81"/>
            <rFont val="Tahoma"/>
            <family val="2"/>
          </rPr>
          <t xml:space="preserve"> Supplier's MOQ (mininum purchase quantity)</t>
        </r>
        <r>
          <rPr>
            <sz val="11"/>
            <color indexed="81"/>
            <rFont val="Tahoma"/>
            <family val="2"/>
          </rPr>
          <t>. A high MOQ will result in a higher level of inventory purchase relative to amount required for consumption
2)</t>
        </r>
        <r>
          <rPr>
            <b/>
            <sz val="11"/>
            <color indexed="81"/>
            <rFont val="Tahoma"/>
            <family val="2"/>
          </rPr>
          <t xml:space="preserve"> Supplier's Lead time</t>
        </r>
        <r>
          <rPr>
            <sz val="11"/>
            <color indexed="81"/>
            <rFont val="Tahoma"/>
            <family val="2"/>
          </rPr>
          <t xml:space="preserve">. A longer lead time from PO placement to arrival of delivery may lead to higher RM inventory
3) </t>
        </r>
        <r>
          <rPr>
            <b/>
            <sz val="11"/>
            <color indexed="81"/>
            <rFont val="Tahoma"/>
            <family val="2"/>
          </rPr>
          <t>Freight &amp; Handling</t>
        </r>
        <r>
          <rPr>
            <sz val="11"/>
            <color indexed="81"/>
            <rFont val="Tahoma"/>
            <family val="2"/>
          </rPr>
          <t xml:space="preserve">. Longer time for freight, customs clearance and handling may lead to higher RM inventory
</t>
        </r>
      </text>
    </comment>
    <comment ref="J43" authorId="0" shapeId="0" xr:uid="{E35329AE-1E6C-4FF9-A1B4-C8E891750DE3}">
      <text>
        <r>
          <rPr>
            <b/>
            <sz val="11"/>
            <color indexed="81"/>
            <rFont val="Tahoma"/>
            <family val="2"/>
          </rPr>
          <t xml:space="preserve">Inventory for WIP in production or held as semi-finished components.
</t>
        </r>
        <r>
          <rPr>
            <u/>
            <sz val="11"/>
            <color indexed="81"/>
            <rFont val="Tahoma"/>
            <family val="2"/>
          </rPr>
          <t xml:space="preserve">Factors impacting WIP DIO: </t>
        </r>
        <r>
          <rPr>
            <b/>
            <sz val="11"/>
            <color indexed="81"/>
            <rFont val="Tahoma"/>
            <family val="2"/>
          </rPr>
          <t xml:space="preserve">
A) Manufacturing lead time; </t>
        </r>
        <r>
          <rPr>
            <sz val="11"/>
            <color indexed="81"/>
            <rFont val="Tahoma"/>
            <family val="2"/>
          </rPr>
          <t xml:space="preserve">Longer manufacturing lead time may results in higher WIP inventory levels
</t>
        </r>
        <r>
          <rPr>
            <b/>
            <sz val="11"/>
            <color indexed="81"/>
            <rFont val="Tahoma"/>
            <family val="2"/>
          </rPr>
          <t>B) Production Batch Size vs Customer MOQ.</t>
        </r>
        <r>
          <rPr>
            <sz val="11"/>
            <color indexed="81"/>
            <rFont val="Tahoma"/>
            <family val="2"/>
          </rPr>
          <t xml:space="preserve"> If production batch size is greater than Customer MOQ, there may be surplus production and higher WIP
</t>
        </r>
        <r>
          <rPr>
            <b/>
            <sz val="11"/>
            <color indexed="81"/>
            <rFont val="Tahoma"/>
            <family val="2"/>
          </rPr>
          <t xml:space="preserve">C) Surplus labour capacity </t>
        </r>
        <r>
          <rPr>
            <sz val="11"/>
            <color indexed="81"/>
            <rFont val="Tahoma"/>
            <family val="2"/>
          </rPr>
          <t xml:space="preserve">at plant resulting in level loading. Level loading (producing beyond customer demand in order to utilize or absorp labour) may result in higher WIP
</t>
        </r>
        <r>
          <rPr>
            <b/>
            <sz val="11"/>
            <color indexed="81"/>
            <rFont val="Tahoma"/>
            <family val="2"/>
          </rPr>
          <t>D) Product complexity and number of child parts.</t>
        </r>
        <r>
          <rPr>
            <sz val="11"/>
            <color indexed="81"/>
            <rFont val="Tahoma"/>
            <family val="2"/>
          </rPr>
          <t xml:space="preserve"> Higher complexity/child parts may result in holding of semi-finished component awaiting final assembly 
</t>
        </r>
      </text>
    </comment>
    <comment ref="J44" authorId="0" shapeId="0" xr:uid="{A027C73E-51A2-495A-BF78-9DB23860704D}">
      <text>
        <r>
          <rPr>
            <b/>
            <sz val="11"/>
            <color indexed="81"/>
            <rFont val="Tahoma"/>
            <family val="2"/>
          </rPr>
          <t>Inventory for Finished Goods held at Site based on Interplex's requirements</t>
        </r>
        <r>
          <rPr>
            <sz val="11"/>
            <color indexed="81"/>
            <rFont val="Tahoma"/>
            <family val="2"/>
          </rPr>
          <t xml:space="preserve"> in order to </t>
        </r>
        <r>
          <rPr>
            <u/>
            <sz val="11"/>
            <color indexed="81"/>
            <rFont val="Tahoma"/>
            <family val="2"/>
          </rPr>
          <t>meet our contractual obligation to customer</t>
        </r>
        <r>
          <rPr>
            <sz val="11"/>
            <color indexed="81"/>
            <rFont val="Tahoma"/>
            <family val="2"/>
          </rPr>
          <t xml:space="preserve"> for timely and sufficient supply. Excluding an in-transit inventory to customer location (per Incoterms), VMI or Hub arrangements.
</t>
        </r>
        <r>
          <rPr>
            <b/>
            <sz val="11"/>
            <color indexed="81"/>
            <rFont val="Tahoma"/>
            <family val="2"/>
          </rPr>
          <t xml:space="preserve">
</t>
        </r>
        <r>
          <rPr>
            <u/>
            <sz val="11"/>
            <color indexed="81"/>
            <rFont val="Tahoma"/>
            <family val="2"/>
          </rPr>
          <t xml:space="preserve">Factors impacting FG DIO at Site: </t>
        </r>
        <r>
          <rPr>
            <b/>
            <sz val="11"/>
            <color indexed="81"/>
            <rFont val="Tahoma"/>
            <family val="2"/>
          </rPr>
          <t xml:space="preserve">
</t>
        </r>
        <r>
          <rPr>
            <sz val="11"/>
            <color indexed="81"/>
            <rFont val="Tahoma"/>
            <family val="2"/>
          </rPr>
          <t xml:space="preserve">1) </t>
        </r>
        <r>
          <rPr>
            <b/>
            <sz val="11"/>
            <color indexed="81"/>
            <rFont val="Tahoma"/>
            <family val="2"/>
          </rPr>
          <t>Routine safety stock</t>
        </r>
        <r>
          <rPr>
            <sz val="11"/>
            <color indexed="81"/>
            <rFont val="Tahoma"/>
            <family val="2"/>
          </rPr>
          <t xml:space="preserve">. Stock maintained by Site to mitigate production delays or due to production level loading.
2) </t>
        </r>
        <r>
          <rPr>
            <b/>
            <sz val="11"/>
            <color indexed="81"/>
            <rFont val="Tahoma"/>
            <family val="2"/>
          </rPr>
          <t>Build to Customer's Forecast contract terms</t>
        </r>
        <r>
          <rPr>
            <sz val="11"/>
            <color indexed="81"/>
            <rFont val="Tahoma"/>
            <family val="2"/>
          </rPr>
          <t xml:space="preserve">. Site may have to maintain safety stock awaiting customer collection, or surplus stock if customer actual demand fall short of forecast.
3) </t>
        </r>
        <r>
          <rPr>
            <b/>
            <sz val="11"/>
            <color indexed="81"/>
            <rFont val="Tahoma"/>
            <family val="2"/>
          </rPr>
          <t>Production batch size is greater than Customer MOQ</t>
        </r>
        <r>
          <rPr>
            <sz val="11"/>
            <color indexed="81"/>
            <rFont val="Tahoma"/>
            <family val="2"/>
          </rPr>
          <t xml:space="preserve">. Surplus stock because production quantities exceeds customer minimum order quantity
4) </t>
        </r>
        <r>
          <rPr>
            <b/>
            <sz val="11"/>
            <color indexed="81"/>
            <rFont val="Tahoma"/>
            <family val="2"/>
          </rPr>
          <t>Customer lead time less than production lead time</t>
        </r>
        <r>
          <rPr>
            <sz val="11"/>
            <color indexed="81"/>
            <rFont val="Tahoma"/>
            <family val="2"/>
          </rPr>
          <t xml:space="preserve">. Higher safety stock to meet customer demand timely, because its too late to only start production after receipt of PO. e.g. if customer lead time is 2 day from PO, but mfg lead time is 6 days, then safety stock up to 3x (depending on size of customer order)
</t>
        </r>
      </text>
    </comment>
    <comment ref="J45" authorId="0" shapeId="0" xr:uid="{F9ED0329-E822-4996-B796-827EC9B9770C}">
      <text>
        <r>
          <rPr>
            <b/>
            <sz val="11"/>
            <color indexed="81"/>
            <rFont val="Tahoma"/>
            <family val="2"/>
          </rPr>
          <t xml:space="preserve">Inventory of Finished Goods in transit, at logistics hub, at customer premises under Hub or VMI (to be sold upon consumption). </t>
        </r>
        <r>
          <rPr>
            <sz val="11"/>
            <color indexed="81"/>
            <rFont val="Tahoma"/>
            <family val="2"/>
          </rPr>
          <t>This stock-in-transit &amp; stock-at-hub are on top of the stock held for Site's requirements.</t>
        </r>
        <r>
          <rPr>
            <b/>
            <sz val="11"/>
            <color indexed="81"/>
            <rFont val="Tahoma"/>
            <family val="2"/>
          </rPr>
          <t xml:space="preserve">
</t>
        </r>
        <r>
          <rPr>
            <u/>
            <sz val="11"/>
            <color indexed="81"/>
            <rFont val="Tahoma"/>
            <family val="2"/>
          </rPr>
          <t xml:space="preserve">Factors impacting Inventory days: 
</t>
        </r>
        <r>
          <rPr>
            <b/>
            <sz val="11"/>
            <color indexed="81"/>
            <rFont val="Tahoma"/>
            <family val="2"/>
          </rPr>
          <t>1)</t>
        </r>
        <r>
          <rPr>
            <sz val="11"/>
            <color indexed="81"/>
            <rFont val="Tahoma"/>
            <family val="2"/>
          </rPr>
          <t xml:space="preserve"> </t>
        </r>
        <r>
          <rPr>
            <b/>
            <sz val="11"/>
            <color indexed="81"/>
            <rFont val="Tahoma"/>
            <family val="2"/>
          </rPr>
          <t>INCOTERMS</t>
        </r>
        <r>
          <rPr>
            <sz val="11"/>
            <color indexed="81"/>
            <rFont val="Tahoma"/>
            <family val="2"/>
          </rPr>
          <t xml:space="preserve">, impacts In-Transit Inventory. Any Incoterms (excl. exworks) where delivery is at customer's or transporter's location (e.g. FOB, DAP, DDU, DDP, etc.) will increase stock-in-transit due to waiting on transporter, customs clerance, freight &amp; handling time, local transport, etc. (inventory remains on Interplex's books until arrival at final destination).
2) </t>
        </r>
        <r>
          <rPr>
            <b/>
            <sz val="11"/>
            <color indexed="81"/>
            <rFont val="Tahoma"/>
            <family val="2"/>
          </rPr>
          <t>Safety stock required by Customer's</t>
        </r>
        <r>
          <rPr>
            <sz val="11"/>
            <color indexed="81"/>
            <rFont val="Tahoma"/>
            <family val="2"/>
          </rPr>
          <t>. This is customer's requested safety stock. Interplex may be under contractual obligation to maintain a certain level of safety stock ensure certainty of supply to customer.    
3</t>
        </r>
        <r>
          <rPr>
            <b/>
            <sz val="11"/>
            <color indexed="81"/>
            <rFont val="Tahoma"/>
            <family val="2"/>
          </rPr>
          <t>)</t>
        </r>
        <r>
          <rPr>
            <sz val="11"/>
            <color indexed="81"/>
            <rFont val="Tahoma"/>
            <family val="2"/>
          </rPr>
          <t xml:space="preserve"> </t>
        </r>
        <r>
          <rPr>
            <b/>
            <sz val="11"/>
            <color indexed="81"/>
            <rFont val="Tahoma"/>
            <family val="2"/>
          </rPr>
          <t>VMI/Hub (consignment of FG awaiting consumption)</t>
        </r>
        <r>
          <rPr>
            <sz val="11"/>
            <color indexed="81"/>
            <rFont val="Tahoma"/>
            <family val="2"/>
          </rPr>
          <t xml:space="preserve">. Will increase inventory because inventory remains on Interplex books until consumed by customer. Check how much inventory Interplex must maintain in Hub based on contractual terms or VMI/ Hub term with customer. This is often expressed in # of days of stock.
</t>
        </r>
      </text>
    </comment>
    <comment ref="J49" authorId="1" shapeId="0" xr:uid="{8862BBAF-70AB-413B-B2DC-37532FB907EF}">
      <text>
        <r>
          <rPr>
            <b/>
            <sz val="10"/>
            <color indexed="81"/>
            <rFont val="Tahoma"/>
            <family val="2"/>
          </rPr>
          <t>Note:</t>
        </r>
        <r>
          <rPr>
            <sz val="10"/>
            <color indexed="81"/>
            <rFont val="Tahoma"/>
            <family val="2"/>
          </rPr>
          <t xml:space="preserve">
TOOLING/AUTOMATION CO-INVESTMENT balance must be zero (fully amortized at end of Project).
If not fully amortized, adjust the PNL amortization amount in Section 3A to fully amortize the co-investment. Make the amendment in the PNL: Amortiztn-Tool/Auto Co-Invest (non-cash)
Note: Tooling/Automation co-invest must be 100% amortized by end of project. Otherwise, model will return an error message. Amortization period (period of recovery from customer) should not exceed 3 years, or maximum of 5 years for very large strategic projects.
</t>
        </r>
      </text>
    </comment>
    <comment ref="AT68" authorId="1" shapeId="0" xr:uid="{895BEAB9-C84F-48BB-91EB-0BA0C767D038}">
      <text>
        <r>
          <rPr>
            <b/>
            <sz val="9"/>
            <color indexed="81"/>
            <rFont val="Tahoma"/>
            <family val="2"/>
          </rPr>
          <t>This incremental CF gap is inputted into the Peak Funding Gap as shown in Section 1</t>
        </r>
        <r>
          <rPr>
            <sz val="9"/>
            <color indexed="81"/>
            <rFont val="Tahoma"/>
            <family val="2"/>
          </rPr>
          <t xml:space="preserve">
This funding gap represent the funding deficit during the year (monthly cumulative gap) as tooling cost are paid but before milestone collections from customer are made.</t>
        </r>
      </text>
    </comment>
    <comment ref="J70" authorId="0" shapeId="0" xr:uid="{2CC83E2E-3EC5-40D8-9B65-7605BA1A5325}">
      <text>
        <r>
          <rPr>
            <b/>
            <sz val="11"/>
            <color indexed="81"/>
            <rFont val="Tahoma"/>
            <family val="2"/>
          </rPr>
          <t>Enter capex amount according to the following periods:
1. Input downpayments in the financial year the downpayment is</t>
        </r>
        <r>
          <rPr>
            <b/>
            <u/>
            <sz val="11"/>
            <color indexed="81"/>
            <rFont val="Tahoma"/>
            <family val="2"/>
          </rPr>
          <t xml:space="preserve"> Paid</t>
        </r>
        <r>
          <rPr>
            <b/>
            <sz val="11"/>
            <color indexed="81"/>
            <rFont val="Tahoma"/>
            <family val="2"/>
          </rPr>
          <t xml:space="preserve">
2. Remainder of purchase price in the financial year the capex is </t>
        </r>
        <r>
          <rPr>
            <b/>
            <u/>
            <sz val="11"/>
            <color indexed="81"/>
            <rFont val="Tahoma"/>
            <family val="2"/>
          </rPr>
          <t xml:space="preserve">Received. </t>
        </r>
        <r>
          <rPr>
            <b/>
            <sz val="11"/>
            <color indexed="81"/>
            <rFont val="Tahoma"/>
            <family val="2"/>
          </rPr>
          <t xml:space="preserve">
</t>
        </r>
        <r>
          <rPr>
            <sz val="11"/>
            <color indexed="81"/>
            <rFont val="Tahoma"/>
            <family val="2"/>
          </rPr>
          <t>Do not include any Inter-Co transfer of existing machines/equipment. Refer example below</t>
        </r>
        <r>
          <rPr>
            <b/>
            <sz val="11"/>
            <color indexed="81"/>
            <rFont val="Tahoma"/>
            <family val="2"/>
          </rPr>
          <t xml:space="preserve">
RFQ with Capex requires pre-CER approval. To qualify as Capex, the expenditures (production machines, automation, etc.) must satisfy these criteria:</t>
        </r>
        <r>
          <rPr>
            <sz val="11"/>
            <color indexed="81"/>
            <rFont val="Tahoma"/>
            <family val="2"/>
          </rPr>
          <t xml:space="preserve">
1. Interplex has legal ownership, custody and control of the asset
2. Asset must be a physically identifiable item, used to generate income with useful life of min 2 years (e.g. machine/ automation, building, infrastructure, etc.) 
3. Asset has high generic design content and application i.e. suitable for use or change over to other programs in site's core business
4. Interplex has the right to use the asset for any customers or programs, if practicable
Any deviation requires CFO prior written exemption. An approved CER must be obtained for all capex.
</t>
        </r>
        <r>
          <rPr>
            <b/>
            <sz val="11"/>
            <color indexed="81"/>
            <rFont val="Tahoma"/>
            <family val="2"/>
          </rPr>
          <t xml:space="preserve">
E.g. Capex for machines with purhase price of $1 million </t>
        </r>
        <r>
          <rPr>
            <sz val="11"/>
            <color indexed="81"/>
            <rFont val="Tahoma"/>
            <family val="2"/>
          </rPr>
          <t xml:space="preserve">
Downpayment $300K payable in Dec 2021
Delivery date is Apr 2022
Payment of balance $700K in Dec 2022. 
In this case, capex for $1m should be input in FY21. Any deferred payment arrangement negotiated with vendor will be considered separately, and should be highlighted as a Note in your CER presentation   
</t>
        </r>
      </text>
    </comment>
    <comment ref="J74" authorId="1" shapeId="0" xr:uid="{96188893-3C3A-422C-A114-0621977FF3C2}">
      <text>
        <r>
          <rPr>
            <b/>
            <sz val="12"/>
            <color indexed="81"/>
            <rFont val="Tahoma"/>
            <family val="2"/>
          </rPr>
          <t xml:space="preserve">Enter total cost of tool or automation for amortization per customer contract (refer financial qualification criteria below). </t>
        </r>
        <r>
          <rPr>
            <sz val="12"/>
            <color indexed="81"/>
            <rFont val="Tahoma"/>
            <family val="2"/>
          </rPr>
          <t xml:space="preserve">Amount should be entered in year of payment (usually year 1 as tooling/automation are normally completed before SOP). 
This input is mandatory if CBD PNL contains amortization expense.The amount is equal to the total LTR tooling amortization expense in the CBD. 
</t>
        </r>
        <r>
          <rPr>
            <b/>
            <sz val="12"/>
            <color indexed="81"/>
            <rFont val="Tahoma"/>
            <family val="2"/>
          </rPr>
          <t xml:space="preserve">
For cost amortization in PNL, customer Tool/Automation contract must satisfy these criteria. 
</t>
        </r>
        <r>
          <rPr>
            <sz val="12"/>
            <color indexed="81"/>
            <rFont val="Tahoma"/>
            <family val="2"/>
          </rPr>
          <t xml:space="preserve">1. Customer has agreed to Tool/Automation Selling Price and Amortization basis in writing (e.g. in PO or Purchase Contract)
2. Amortization (including relevant mark-up) has been factored into Part Price
3. Customer have contractual Liability for payment of any unamortized balance  
4. Interplex retain custody and control of the physical asset until fully amortized (paid by customer).
Refer Baseline Quotation Template 2.0 Amortization.
If above criteria not fully met, cost of customer's tooling must be recorded in Tooling COS PNL. If sale price is less than cost, the Tooling loss must be recognized in PNL. It must not be treated as capex or tooling amortization. For treatment as Capex, Automation Line must meet capex criteria (refer to Capex cell note above).
</t>
        </r>
        <r>
          <rPr>
            <b/>
            <sz val="12"/>
            <color indexed="81"/>
            <rFont val="Tahoma"/>
            <family val="2"/>
          </rPr>
          <t>Cash Flow treatmen</t>
        </r>
        <r>
          <rPr>
            <sz val="12"/>
            <color indexed="81"/>
            <rFont val="Tahoma"/>
            <family val="2"/>
          </rPr>
          <t xml:space="preserve">t: Co-invest will is cash outflow in the year paid, and impacts ROI. 
</t>
        </r>
        <r>
          <rPr>
            <b/>
            <sz val="12"/>
            <color indexed="81"/>
            <rFont val="Tahoma"/>
            <family val="2"/>
          </rPr>
          <t>PNL treatment</t>
        </r>
        <r>
          <rPr>
            <sz val="12"/>
            <color indexed="81"/>
            <rFont val="Tahoma"/>
            <family val="2"/>
          </rPr>
          <t xml:space="preserve">: Amortization expense impacts GP and EBITDA, but will not impact cash flow. </t>
        </r>
      </text>
    </comment>
    <comment ref="N74" authorId="1" shapeId="0" xr:uid="{87A70E31-EB1B-4643-A8DE-4988C114D974}">
      <text>
        <r>
          <rPr>
            <sz val="12"/>
            <color indexed="81"/>
            <rFont val="Tahoma"/>
            <family val="2"/>
          </rPr>
          <t xml:space="preserve">If the autofill data is not correct, please overwrite this cell with the correct data or assumption.
</t>
        </r>
      </text>
    </comment>
    <comment ref="J75" authorId="0" shapeId="0" xr:uid="{F0BD6195-F82F-480F-9F1B-587586C5216A}">
      <text>
        <r>
          <rPr>
            <b/>
            <sz val="11"/>
            <color indexed="81"/>
            <rFont val="Tahoma"/>
            <family val="2"/>
          </rPr>
          <t xml:space="preserve">Enter inter-co asset transfer value in the year the assets are received into the project.
</t>
        </r>
        <r>
          <rPr>
            <sz val="11"/>
            <color indexed="81"/>
            <rFont val="Tahoma"/>
            <family val="2"/>
          </rPr>
          <t xml:space="preserve">
Note: This amount will affect the project CF statement (Investing cash flow), and the funding gap / requirements. However, it will not impact ROI. 
 </t>
        </r>
        <r>
          <rPr>
            <b/>
            <sz val="11"/>
            <color indexed="81"/>
            <rFont val="Tahoma"/>
            <family val="2"/>
          </rPr>
          <t xml:space="preserve">
</t>
        </r>
        <r>
          <rPr>
            <sz val="11"/>
            <color indexed="81"/>
            <rFont val="Tahoma"/>
            <family val="2"/>
          </rPr>
          <t>Inter-co asset  transfer should only be used as an assumptions if the transfer of asset has been agreed between the sending and receiving Sites, or by advice from Corporate only.</t>
        </r>
      </text>
    </comment>
    <comment ref="N78" authorId="1" shapeId="0" xr:uid="{F74B4C06-27B7-4196-B295-A873371C7A9C}">
      <text>
        <r>
          <rPr>
            <sz val="12"/>
            <color indexed="81"/>
            <rFont val="Tahoma"/>
            <family val="2"/>
          </rPr>
          <t xml:space="preserve">Use Default of 1. This is the year prior to SOP, therefore revenue should be zero. 
If the autofill data is not correct, please overwrite this cell with the correct data or assumption.
</t>
        </r>
      </text>
    </comment>
    <comment ref="J79" authorId="0" shapeId="0" xr:uid="{53D1A4E9-4918-46D5-BA2C-929FD99EEB45}">
      <text>
        <r>
          <rPr>
            <b/>
            <sz val="12"/>
            <color indexed="81"/>
            <rFont val="Tahoma"/>
            <family val="2"/>
          </rPr>
          <t xml:space="preserve">Enter the expected DSO days for the Project = Parts Payment Terms + 20 to 30 days. 
</t>
        </r>
        <r>
          <rPr>
            <sz val="12"/>
            <color indexed="81"/>
            <rFont val="Tahoma"/>
            <family val="2"/>
          </rPr>
          <t xml:space="preserve">Note: Add minimum 20 days on top of RFQ payment terms, to cover customer's internal process, typical delays due to 1) ignoring INCOTERM on title transfer*, 2) internal delays in recording receipt, 3) tax reconciliation, 4) infrequent payment runs, 5) delinquency or minor disputes. 
Consult site controller regarding payment track record of the RFQ customer.
* e.g. Customer recognizing payment liability only after physical receipt of goods in warehouse even though INCOTERMS is Exwork (liability upon pick-up) </t>
        </r>
      </text>
    </comment>
    <comment ref="J81" authorId="0" shapeId="0" xr:uid="{73D4D8D8-B916-49E8-B0CF-953F683A63D6}">
      <text>
        <r>
          <rPr>
            <b/>
            <sz val="11"/>
            <color indexed="81"/>
            <rFont val="Tahoma"/>
            <family val="2"/>
          </rPr>
          <t xml:space="preserve">Enter the expected Inventory DIO days for Raw Materials, Purchase Components, Sub-Contracted works and packaging. 
</t>
        </r>
        <r>
          <rPr>
            <u/>
            <sz val="11"/>
            <color indexed="81"/>
            <rFont val="Tahoma"/>
            <family val="2"/>
          </rPr>
          <t>Factors impacting RM Inventory days:</t>
        </r>
        <r>
          <rPr>
            <b/>
            <sz val="11"/>
            <color indexed="81"/>
            <rFont val="Tahoma"/>
            <family val="2"/>
          </rPr>
          <t xml:space="preserve"> 
</t>
        </r>
        <r>
          <rPr>
            <sz val="11"/>
            <color indexed="81"/>
            <rFont val="Tahoma"/>
            <family val="2"/>
          </rPr>
          <t>1)</t>
        </r>
        <r>
          <rPr>
            <b/>
            <sz val="11"/>
            <color indexed="81"/>
            <rFont val="Tahoma"/>
            <family val="2"/>
          </rPr>
          <t xml:space="preserve"> Supplier's MOQ (mininum purchase quantity)</t>
        </r>
        <r>
          <rPr>
            <sz val="11"/>
            <color indexed="81"/>
            <rFont val="Tahoma"/>
            <family val="2"/>
          </rPr>
          <t>. A high MOQ will result in a higher level of inventory purchase relative to amount required for consumption
2)</t>
        </r>
        <r>
          <rPr>
            <b/>
            <sz val="11"/>
            <color indexed="81"/>
            <rFont val="Tahoma"/>
            <family val="2"/>
          </rPr>
          <t xml:space="preserve"> Supplier's Lead time</t>
        </r>
        <r>
          <rPr>
            <sz val="11"/>
            <color indexed="81"/>
            <rFont val="Tahoma"/>
            <family val="2"/>
          </rPr>
          <t xml:space="preserve">. A longer lead time from PO placement to arrival of delivery may lead to higher RM inventory
3) </t>
        </r>
        <r>
          <rPr>
            <b/>
            <sz val="11"/>
            <color indexed="81"/>
            <rFont val="Tahoma"/>
            <family val="2"/>
          </rPr>
          <t>Freight &amp; Handling</t>
        </r>
        <r>
          <rPr>
            <sz val="11"/>
            <color indexed="81"/>
            <rFont val="Tahoma"/>
            <family val="2"/>
          </rPr>
          <t xml:space="preserve">. Longer time for freight, customs clearance and handling may lead to higher RM inventory
</t>
        </r>
        <r>
          <rPr>
            <u/>
            <sz val="11"/>
            <color indexed="81"/>
            <rFont val="Tahoma"/>
            <family val="2"/>
          </rPr>
          <t>Calculation of RM Inventory $</t>
        </r>
        <r>
          <rPr>
            <sz val="11"/>
            <color indexed="81"/>
            <rFont val="Tahoma"/>
            <family val="2"/>
          </rPr>
          <t xml:space="preserve">
RM Inventory $ = Total Cost-to-COPA for the year x RM Inventory Days / 365 (other than year 1 where the actual number of revenue days is used)
Note: Do a sense check against Site's current DIO. Ensure any major variances between project assumptions and Site's prevailing rates are valid and explainable. Model will use Inventory days assumption to compute the inventory balance at each year end, which will inturn impact working capital and cash flows. </t>
        </r>
      </text>
    </comment>
    <comment ref="J82" authorId="0" shapeId="0" xr:uid="{8231A0C6-242A-4151-95EB-463134F45E32}">
      <text>
        <r>
          <rPr>
            <b/>
            <sz val="10"/>
            <color indexed="81"/>
            <rFont val="Tahoma"/>
            <family val="2"/>
          </rPr>
          <t xml:space="preserve">Enter the expected Inventory DIO days for WIP.
</t>
        </r>
        <r>
          <rPr>
            <u/>
            <sz val="10"/>
            <color indexed="81"/>
            <rFont val="Tahoma"/>
            <family val="2"/>
          </rPr>
          <t xml:space="preserve">Factors impacting WIP DIO: </t>
        </r>
        <r>
          <rPr>
            <b/>
            <sz val="10"/>
            <color indexed="81"/>
            <rFont val="Tahoma"/>
            <family val="2"/>
          </rPr>
          <t xml:space="preserve">
A) Manufacturing lead time; </t>
        </r>
        <r>
          <rPr>
            <sz val="10"/>
            <color indexed="81"/>
            <rFont val="Tahoma"/>
            <family val="2"/>
          </rPr>
          <t xml:space="preserve">Longer manufacturing lead time may results in higher WIP inventory levels
</t>
        </r>
        <r>
          <rPr>
            <b/>
            <sz val="10"/>
            <color indexed="81"/>
            <rFont val="Tahoma"/>
            <family val="2"/>
          </rPr>
          <t>B) Production Batch Size vs Customer MOQ.</t>
        </r>
        <r>
          <rPr>
            <sz val="10"/>
            <color indexed="81"/>
            <rFont val="Tahoma"/>
            <family val="2"/>
          </rPr>
          <t xml:space="preserve"> If production batch size is greater than Customer MOQ, there may be surplus production and higher WIP
</t>
        </r>
        <r>
          <rPr>
            <b/>
            <sz val="10"/>
            <color indexed="81"/>
            <rFont val="Tahoma"/>
            <family val="2"/>
          </rPr>
          <t xml:space="preserve">C) Surplus labour capacity </t>
        </r>
        <r>
          <rPr>
            <sz val="10"/>
            <color indexed="81"/>
            <rFont val="Tahoma"/>
            <family val="2"/>
          </rPr>
          <t xml:space="preserve">at plant resulting in level loading. Level loading (producing beyond customer demand in order to utilize or absorp labour) may result in higher WIP
</t>
        </r>
        <r>
          <rPr>
            <b/>
            <sz val="10"/>
            <color indexed="81"/>
            <rFont val="Tahoma"/>
            <family val="2"/>
          </rPr>
          <t>D) Product complexity and number of child parts.</t>
        </r>
        <r>
          <rPr>
            <sz val="10"/>
            <color indexed="81"/>
            <rFont val="Tahoma"/>
            <family val="2"/>
          </rPr>
          <t xml:space="preserve"> Higher complexity/child parts may result in holding of semi-finished component awaiting final assembly 
</t>
        </r>
        <r>
          <rPr>
            <u/>
            <sz val="10"/>
            <color indexed="81"/>
            <rFont val="Tahoma"/>
            <family val="2"/>
          </rPr>
          <t>Calculation of WIP Inventory $</t>
        </r>
        <r>
          <rPr>
            <sz val="10"/>
            <color indexed="81"/>
            <rFont val="Tahoma"/>
            <family val="2"/>
          </rPr>
          <t xml:space="preserve">
WIP Inventory $ = Total Mfg cost* for the year x Inventory Days / 365 (other than year 1 where the actual number of revenue days is used, e.g. 180 days instead of 365 if sales was for 6 mnths revenue only)
*Model assumes full-absorption costing whereby Mfg cost comprises materials, packaging, sub-con, DL, IDL, FS (excluding one-off items) and Indirect COS. For WIP, overheads absorption is assumed at 50% of standard as it is assumed to be only 50% completed (FG: 100%)
Note: Do a sense check against Site's current DIO. Ensure any major variances between project assumptions and Site's prevailing rates are valid and explainable. 
</t>
        </r>
      </text>
    </comment>
    <comment ref="J83" authorId="0" shapeId="0" xr:uid="{770FFDA3-0BB4-4CE3-9FF6-5062CB4E99BB}">
      <text>
        <r>
          <rPr>
            <b/>
            <sz val="10"/>
            <color indexed="81"/>
            <rFont val="Tahoma"/>
            <family val="2"/>
          </rPr>
          <t>Enter expected Inventory DIO days for Finished Goods held at Site based on Interplex's requirements</t>
        </r>
        <r>
          <rPr>
            <sz val="10"/>
            <color indexed="81"/>
            <rFont val="Tahoma"/>
            <family val="2"/>
          </rPr>
          <t xml:space="preserve"> in order to </t>
        </r>
        <r>
          <rPr>
            <u/>
            <sz val="10"/>
            <color indexed="81"/>
            <rFont val="Tahoma"/>
            <family val="2"/>
          </rPr>
          <t>meet our contractual obligation to customer</t>
        </r>
        <r>
          <rPr>
            <sz val="10"/>
            <color indexed="81"/>
            <rFont val="Tahoma"/>
            <family val="2"/>
          </rPr>
          <t xml:space="preserve"> for timely and sufficient supply. Excluding an in-transit inventory to customer location (per Incoterms), VMI or Hub arrangements.
</t>
        </r>
        <r>
          <rPr>
            <b/>
            <sz val="10"/>
            <color indexed="81"/>
            <rFont val="Tahoma"/>
            <family val="2"/>
          </rPr>
          <t xml:space="preserve">
</t>
        </r>
        <r>
          <rPr>
            <u/>
            <sz val="10"/>
            <color indexed="81"/>
            <rFont val="Tahoma"/>
            <family val="2"/>
          </rPr>
          <t xml:space="preserve">Factors impacting FG DIO at Site: </t>
        </r>
        <r>
          <rPr>
            <b/>
            <sz val="10"/>
            <color indexed="81"/>
            <rFont val="Tahoma"/>
            <family val="2"/>
          </rPr>
          <t xml:space="preserve">
</t>
        </r>
        <r>
          <rPr>
            <sz val="10"/>
            <color indexed="81"/>
            <rFont val="Tahoma"/>
            <family val="2"/>
          </rPr>
          <t xml:space="preserve">1) </t>
        </r>
        <r>
          <rPr>
            <b/>
            <sz val="10"/>
            <color indexed="81"/>
            <rFont val="Tahoma"/>
            <family val="2"/>
          </rPr>
          <t>Routine safety stock</t>
        </r>
        <r>
          <rPr>
            <sz val="10"/>
            <color indexed="81"/>
            <rFont val="Tahoma"/>
            <family val="2"/>
          </rPr>
          <t xml:space="preserve">. Stock maintained by Site to mitigate production delays or due to production level loading.
2) </t>
        </r>
        <r>
          <rPr>
            <b/>
            <sz val="10"/>
            <color indexed="81"/>
            <rFont val="Tahoma"/>
            <family val="2"/>
          </rPr>
          <t>Build to Customer's Forecast contract terms</t>
        </r>
        <r>
          <rPr>
            <sz val="10"/>
            <color indexed="81"/>
            <rFont val="Tahoma"/>
            <family val="2"/>
          </rPr>
          <t xml:space="preserve">. Site may have to maintain safety stock awaiting customer collection, or surplus stock if customer actual demand fall short of forecast.
3) </t>
        </r>
        <r>
          <rPr>
            <b/>
            <sz val="10"/>
            <color indexed="81"/>
            <rFont val="Tahoma"/>
            <family val="2"/>
          </rPr>
          <t>Production batch size is greater than Customer MOQ</t>
        </r>
        <r>
          <rPr>
            <sz val="10"/>
            <color indexed="81"/>
            <rFont val="Tahoma"/>
            <family val="2"/>
          </rPr>
          <t xml:space="preserve">. Surplus stock because production quantities exceeds customer minimum order quantity
4) </t>
        </r>
        <r>
          <rPr>
            <b/>
            <sz val="10"/>
            <color indexed="81"/>
            <rFont val="Tahoma"/>
            <family val="2"/>
          </rPr>
          <t>Customer lead time less than production lead time</t>
        </r>
        <r>
          <rPr>
            <sz val="10"/>
            <color indexed="81"/>
            <rFont val="Tahoma"/>
            <family val="2"/>
          </rPr>
          <t xml:space="preserve">. Higher safety stock to meet customer demand timely, because its too late to only start production after receipt of PO. e.g. if customer lead time is 2 day from PO, but mfg lead time is 6 days, then safety stock up to 3x (depending on size of customer order)
Note: Do a sense check against Site's current DIO. Ensure any major variances between project assumptions and Site's prevailing rates are valid and explainable. 
</t>
        </r>
        <r>
          <rPr>
            <u/>
            <sz val="10"/>
            <color indexed="81"/>
            <rFont val="Tahoma"/>
            <family val="2"/>
          </rPr>
          <t>Calculation of FG Inventory</t>
        </r>
        <r>
          <rPr>
            <sz val="10"/>
            <color indexed="81"/>
            <rFont val="Tahoma"/>
            <family val="2"/>
          </rPr>
          <t xml:space="preserve">
FG Inv $ = Total Mfg cost* for the year x Inventory Days / 365 (other than year 1 where the actual number of revenue days is used, e.g. 180 days instead of 365 if sales was for 6 mnths revenue only)
*Model assumes full-absorption costing whereby Mfg cost comprises materials, packaging, sub-con, DL, IDL, FS (excluding one-off items) and Indirect COS. For FG, overheads absorption is assumed at 100% of standard because parts are 100% completed (WIP: 50%)
</t>
        </r>
      </text>
    </comment>
    <comment ref="J84" authorId="0" shapeId="0" xr:uid="{667454BD-1622-4837-AE3A-670A5ABAA9B6}">
      <text>
        <r>
          <rPr>
            <sz val="10"/>
            <color indexed="81"/>
            <rFont val="Tahoma"/>
            <family val="2"/>
          </rPr>
          <t xml:space="preserve">Enter expected DIO days for </t>
        </r>
        <r>
          <rPr>
            <b/>
            <sz val="10"/>
            <color indexed="81"/>
            <rFont val="Tahoma"/>
            <family val="2"/>
          </rPr>
          <t xml:space="preserve">Finished Goods in transit, at logistics hub, at customer premises under Hub or VMI (to be sold upon consumption). </t>
        </r>
        <r>
          <rPr>
            <sz val="10"/>
            <color indexed="81"/>
            <rFont val="Tahoma"/>
            <family val="2"/>
          </rPr>
          <t>This stock-in-transit &amp; stock-at-hub are on top of the stock held for Site's requirements.</t>
        </r>
        <r>
          <rPr>
            <b/>
            <sz val="10"/>
            <color indexed="81"/>
            <rFont val="Tahoma"/>
            <family val="2"/>
          </rPr>
          <t xml:space="preserve">
</t>
        </r>
        <r>
          <rPr>
            <u/>
            <sz val="10"/>
            <color indexed="81"/>
            <rFont val="Tahoma"/>
            <family val="2"/>
          </rPr>
          <t xml:space="preserve">Factors impacting Inventory days: 
</t>
        </r>
        <r>
          <rPr>
            <b/>
            <sz val="10"/>
            <color indexed="81"/>
            <rFont val="Tahoma"/>
            <family val="2"/>
          </rPr>
          <t>1)</t>
        </r>
        <r>
          <rPr>
            <sz val="10"/>
            <color indexed="81"/>
            <rFont val="Tahoma"/>
            <family val="2"/>
          </rPr>
          <t xml:space="preserve"> </t>
        </r>
        <r>
          <rPr>
            <b/>
            <sz val="10"/>
            <color indexed="81"/>
            <rFont val="Tahoma"/>
            <family val="2"/>
          </rPr>
          <t>INCOTERMS</t>
        </r>
        <r>
          <rPr>
            <sz val="10"/>
            <color indexed="81"/>
            <rFont val="Tahoma"/>
            <family val="2"/>
          </rPr>
          <t xml:space="preserve">, impacts In-Transit Inventory. Any Incoterms (excl. exworks) where delivery is at customer's or transporter's location (e.g. FOB, DAP, DDU, DDP, etc.) will increase stock-in-transit due to waiting on transporter, customs clerance, freight &amp; handling time, local transport, etc. (inventory remains on Interplex's books until arrival at final destination).
2) </t>
        </r>
        <r>
          <rPr>
            <b/>
            <sz val="10"/>
            <color indexed="81"/>
            <rFont val="Tahoma"/>
            <family val="2"/>
          </rPr>
          <t>Safety stock required by Customer's</t>
        </r>
        <r>
          <rPr>
            <sz val="10"/>
            <color indexed="81"/>
            <rFont val="Tahoma"/>
            <family val="2"/>
          </rPr>
          <t>. This is customer's requested safety stock. Interplex may be under contractual obligation to maintain a certain level of safety stock ensure certainty of supply to customer.    
3</t>
        </r>
        <r>
          <rPr>
            <b/>
            <sz val="10"/>
            <color indexed="81"/>
            <rFont val="Tahoma"/>
            <family val="2"/>
          </rPr>
          <t>)</t>
        </r>
        <r>
          <rPr>
            <sz val="10"/>
            <color indexed="81"/>
            <rFont val="Tahoma"/>
            <family val="2"/>
          </rPr>
          <t xml:space="preserve"> </t>
        </r>
        <r>
          <rPr>
            <b/>
            <sz val="10"/>
            <color indexed="81"/>
            <rFont val="Tahoma"/>
            <family val="2"/>
          </rPr>
          <t>VMI/Hub (consignment of FG awaiting consumption)</t>
        </r>
        <r>
          <rPr>
            <sz val="10"/>
            <color indexed="81"/>
            <rFont val="Tahoma"/>
            <family val="2"/>
          </rPr>
          <t xml:space="preserve">. Will increase inventory because inventory remains on Interplex books until consumed by customer. Check how much inventory Interplex must maintain in Hub based on contractual terms or VMI/ Hub term with customer. This is often expressed in # of days of stock.
</t>
        </r>
        <r>
          <rPr>
            <u/>
            <sz val="10"/>
            <color indexed="81"/>
            <rFont val="Tahoma"/>
            <family val="2"/>
          </rPr>
          <t>Calculation of FG $</t>
        </r>
        <r>
          <rPr>
            <sz val="10"/>
            <color indexed="81"/>
            <rFont val="Tahoma"/>
            <family val="2"/>
          </rPr>
          <t xml:space="preserve">
FG $ = Total Mfg cost* for the year x Inventory Days / 365 (other than year 1 where the actual number of revenue days is used, e.g. 180 days instead of 365 if sales was for 6 mnths revenue only)
*Model assumes full-absorption costing whereby Mfg cost comprises materials, packaging, sub-con, DL, IDL, FS (excluding one-off items) and Indirect COS. For FG, overheads absorption is assumed at 100% of standard because parts are 100% completed (WIP: 50%)
Note: Do a sense check against Site's current DIO. Ensure any major variances between project assumptions and Site's prevailing rates are valid and explainable. Model will use Inventory days assumption to compute the inventory balance at each year end, which will inturn impact working capital and cash flows. 
</t>
        </r>
      </text>
    </comment>
    <comment ref="J85" authorId="1" shapeId="0" xr:uid="{42D35096-612E-4111-BB4B-D02D357A7682}">
      <text>
        <r>
          <rPr>
            <sz val="9"/>
            <color indexed="81"/>
            <rFont val="Tahoma"/>
            <family val="2"/>
          </rPr>
          <t xml:space="preserve">Input any known items. Otherwise, leave blank
</t>
        </r>
      </text>
    </comment>
    <comment ref="J86" authorId="1" shapeId="0" xr:uid="{13CA8F54-F24E-4DB8-943C-CE1DF5C0148F}">
      <text>
        <r>
          <rPr>
            <sz val="12"/>
            <color indexed="81"/>
            <rFont val="Tahoma"/>
            <family val="2"/>
          </rPr>
          <t>A method for calculating Tooling Recovrable has been provided in Column AE:AL. Refer to the calculation table. 
You may also over-write the input cell if you wish to do your own independent calculation (without using the methodology provided) 
Note: Tooling recoverable is used to calculate Peak Funding Gap</t>
        </r>
      </text>
    </comment>
    <comment ref="J87" authorId="0" shapeId="0" xr:uid="{93D59209-6470-499D-8053-530575F3B867}">
      <text>
        <r>
          <rPr>
            <b/>
            <sz val="11"/>
            <color indexed="81"/>
            <rFont val="Tahoma"/>
            <family val="2"/>
          </rPr>
          <t xml:space="preserve">Enter % of payment received in each year as quoted to customer in the RFQ. </t>
        </r>
        <r>
          <rPr>
            <sz val="11"/>
            <color indexed="81"/>
            <rFont val="Tahoma"/>
            <family val="2"/>
          </rPr>
          <t xml:space="preserve">% of payment received must total up to 100% latest by year 5.
Note: The Interplex baseline terms for customer to pay for tooling/automation are:
# Nomination/PO - 30%-50%;
# FOT/ISIR submission - 30%-50%;
# PPAP submission - 0-40%;
# PPAP Approval (up to max 30 days) 0-10%. 
</t>
        </r>
      </text>
    </comment>
    <comment ref="J88" authorId="0" shapeId="0" xr:uid="{BE81B212-0D4A-4B3E-99D2-E93DDEA6FBF4}">
      <text>
        <r>
          <rPr>
            <b/>
            <sz val="11"/>
            <color indexed="81"/>
            <rFont val="Tahoma"/>
            <family val="2"/>
          </rPr>
          <t xml:space="preserve">Enter the expected DPO days for the Project. 
</t>
        </r>
        <r>
          <rPr>
            <sz val="11"/>
            <color indexed="81"/>
            <rFont val="Tahoma"/>
            <family val="2"/>
          </rPr>
          <t xml:space="preserve">This is normally equal to the vendor payment terms from Direct Materials vendors. Model will compute trade payable balance:
Trade payables = (COGS + Production Cost x 30%*) x Acct Payable Days / 365 (other than year 1 where the actual number of revenue days is used)
*Only 30% of Production Cost is used as a large proportion is paid only without any credit terms e.g. IDL wages or salaries, rentals, etc.
</t>
        </r>
      </text>
    </comment>
    <comment ref="J89" authorId="1" shapeId="0" xr:uid="{3AC6A675-9F2C-4DCF-A41C-02D09B776E46}">
      <text>
        <r>
          <rPr>
            <sz val="9"/>
            <color indexed="81"/>
            <rFont val="Tahoma"/>
            <family val="2"/>
          </rPr>
          <t xml:space="preserve">Input any known items. Otherwise, leave blank
</t>
        </r>
      </text>
    </comment>
    <comment ref="J94" authorId="0" shapeId="0" xr:uid="{A473445A-74D8-48A6-8226-5A7C195EB171}">
      <text>
        <r>
          <rPr>
            <b/>
            <sz val="11"/>
            <color indexed="81"/>
            <rFont val="Tahoma"/>
            <family val="2"/>
          </rPr>
          <t xml:space="preserve">Enter the weighted average depreciation life of the asset items making up the Capex list.
</t>
        </r>
        <r>
          <rPr>
            <sz val="11"/>
            <color indexed="81"/>
            <rFont val="Tahoma"/>
            <family val="2"/>
          </rPr>
          <t xml:space="preserve">
Project depreciation begins in the firsy year of revenue on straightline basis over average useful life of capex with zero residual value, and continues until fully depreciated.
Depreciation for 1st year of capex acquisition is assumed to be 50% of annual depreciation on simplified assumption that capex was put in service in mid-year.</t>
        </r>
      </text>
    </comment>
    <comment ref="N94" authorId="1" shapeId="0" xr:uid="{48494B6C-0E55-4149-A92B-D43B473E2A02}">
      <text>
        <r>
          <rPr>
            <b/>
            <sz val="12"/>
            <color indexed="81"/>
            <rFont val="Tahoma"/>
            <family val="2"/>
          </rPr>
          <t>Note for SFP254 standalone version</t>
        </r>
        <r>
          <rPr>
            <sz val="12"/>
            <color indexed="81"/>
            <rFont val="Tahoma"/>
            <family val="2"/>
          </rPr>
          <t xml:space="preserve">: Input the weighted average depreciation life (yrs) considering all capex items. If capex consist of several asset categories with different depreciation life (e.g. Machines 10 yrs and Automation 3 yrs), you should manually calculate the depreciation expense per annum, and divide by the capex value (GBV) to derive the weighted average depreciation life (for input into this cell). In the </t>
        </r>
        <r>
          <rPr>
            <b/>
            <sz val="12"/>
            <color indexed="81"/>
            <rFont val="Tahoma"/>
            <family val="2"/>
          </rPr>
          <t>Consol worksheet,</t>
        </r>
        <r>
          <rPr>
            <sz val="12"/>
            <color indexed="81"/>
            <rFont val="Tahoma"/>
            <family val="2"/>
          </rPr>
          <t xml:space="preserve"> you must enter the weighted average depreciation life manually.
</t>
        </r>
        <r>
          <rPr>
            <b/>
            <sz val="12"/>
            <color indexed="81"/>
            <rFont val="Tahoma"/>
            <family val="2"/>
          </rPr>
          <t>Note for CQSC Integrated version</t>
        </r>
        <r>
          <rPr>
            <sz val="12"/>
            <color indexed="81"/>
            <rFont val="Tahoma"/>
            <family val="2"/>
          </rPr>
          <t xml:space="preserve">: If the autofill data is not correct, please overwrite this cell with the correct weighted average depreciation life. Use the methodology outlined above to do your calculation
</t>
        </r>
      </text>
    </comment>
    <comment ref="J95" authorId="0" shapeId="0" xr:uid="{EAC03C6F-F976-4C55-9D3D-DFBCFDD6CC57}">
      <text>
        <r>
          <rPr>
            <b/>
            <sz val="11"/>
            <color indexed="81"/>
            <rFont val="Tahoma"/>
            <family val="2"/>
          </rPr>
          <t xml:space="preserve">Enter the corporate income tax rate applicable to the site or to the project (if special tax rate apply to the project). Reduce rates due to tax incentive rate should NOT be used unless that incentive has ALREADY been approved by the relevant Tax Authority
</t>
        </r>
        <r>
          <rPr>
            <sz val="11"/>
            <color indexed="81"/>
            <rFont val="Tahoma"/>
            <family val="2"/>
          </rPr>
          <t xml:space="preserve">
Note: this model does not account for deferred tax asset arising from PNL losses (due to complications on cash flow statement). Therefore the PNL does not show a tax credit in event of operating losses.</t>
        </r>
      </text>
    </comment>
    <comment ref="N95" authorId="1" shapeId="0" xr:uid="{91FFFB66-E577-46B0-87D9-359C352EB892}">
      <text>
        <r>
          <rPr>
            <sz val="12"/>
            <color indexed="81"/>
            <rFont val="Tahoma"/>
            <family val="2"/>
          </rPr>
          <t xml:space="preserve">If the autofill data is not correct, please overwrite this cell with the correct data or assumption.
</t>
        </r>
      </text>
    </comment>
    <comment ref="I97" authorId="0" shapeId="0" xr:uid="{962E5FAA-F10A-4661-A33E-C4CA22223AB4}">
      <text>
        <r>
          <rPr>
            <b/>
            <sz val="11"/>
            <color indexed="81"/>
            <rFont val="Tahoma"/>
            <family val="2"/>
          </rPr>
          <t xml:space="preserve">Owner of Assumption: 
</t>
        </r>
        <r>
          <rPr>
            <sz val="11"/>
            <color indexed="81"/>
            <rFont val="Tahoma"/>
            <family val="2"/>
          </rPr>
          <t>Site Controller</t>
        </r>
      </text>
    </comment>
    <comment ref="J97" authorId="0" shapeId="0" xr:uid="{15D20F9B-17FC-4AF1-8C7F-6A71861D8B3C}">
      <text>
        <r>
          <rPr>
            <sz val="9"/>
            <color indexed="81"/>
            <rFont val="Tahoma"/>
            <family val="2"/>
          </rPr>
          <t>Funding assumptions will generally be finalized by Corporate HQ. For the purposes of CER preparation, you should assume that funding requirement is met by 50% to 100% equity and have sufficient free cash flow at site to meet the funding requirements (check your latest cash at bank balance).</t>
        </r>
      </text>
    </comment>
    <comment ref="T97" authorId="0" shapeId="0" xr:uid="{5F7E497A-F9C0-48FC-AB05-D6C954BF2046}">
      <text>
        <r>
          <rPr>
            <b/>
            <sz val="11"/>
            <color indexed="81"/>
            <rFont val="Tahoma"/>
            <family val="2"/>
          </rPr>
          <t xml:space="preserve">CPCF multiple </t>
        </r>
        <r>
          <rPr>
            <sz val="11"/>
            <color indexed="81"/>
            <rFont val="Tahoma"/>
            <family val="2"/>
          </rPr>
          <t xml:space="preserve">measures the multiple of cash returns from the investment, and is useful for ranking of different investment options. A project with higher multiple is in general more attractive than a project with a lower multiple because the higher multiple project returns more cash per $ invested. However, it is important to consider how far in future the cash is generated. A longer period increases risk and reduces the present value of that cash flow 
CPCF multiple is calculated as Cumulative Project Cash Flow divided by Total Funding requirement.
</t>
        </r>
      </text>
    </comment>
    <comment ref="J98" authorId="0" shapeId="0" xr:uid="{D90C4D55-1E6C-4D8C-B266-AD6B59E9012B}">
      <text>
        <r>
          <rPr>
            <sz val="9"/>
            <color indexed="81"/>
            <rFont val="Tahoma"/>
            <family val="2"/>
          </rPr>
          <t xml:space="preserve">For NPV calculation
</t>
        </r>
      </text>
    </comment>
    <comment ref="L98" authorId="0" shapeId="0" xr:uid="{FC86E4ED-830D-4571-8816-20798F81A50B}">
      <text>
        <r>
          <rPr>
            <b/>
            <sz val="9"/>
            <color indexed="81"/>
            <rFont val="Tahoma"/>
            <family val="2"/>
          </rPr>
          <t>Do not change - set by Corporate HQ at 15%</t>
        </r>
      </text>
    </comment>
    <comment ref="J99" authorId="0" shapeId="0" xr:uid="{4404D22A-C23F-40C9-A3E5-55DFCB0318D2}">
      <text>
        <r>
          <rPr>
            <b/>
            <sz val="11"/>
            <color indexed="81"/>
            <rFont val="Tahoma"/>
            <family val="2"/>
          </rPr>
          <t xml:space="preserve">Determines whether inter-co asset transfer is factored into ROI / NPV calculation. 
If No, (default setting) </t>
        </r>
        <r>
          <rPr>
            <sz val="11"/>
            <color indexed="81"/>
            <rFont val="Tahoma"/>
            <family val="2"/>
          </rPr>
          <t xml:space="preserve">the value of asset transfer is NOT considered an incremental investment to the Interplex group, and therefore will be EXCLUDED from ROI/NPV calculation. "No" is appropriate if the asset being transferred is under-utilized at its current Site, and there is minimal opportunity cost or loss of business as result of the transfer.
If </t>
        </r>
        <r>
          <rPr>
            <b/>
            <sz val="11"/>
            <color indexed="81"/>
            <rFont val="Tahoma"/>
            <family val="2"/>
          </rPr>
          <t>Yes</t>
        </r>
        <r>
          <rPr>
            <sz val="11"/>
            <color indexed="81"/>
            <rFont val="Tahoma"/>
            <family val="2"/>
          </rPr>
          <t>, the value of asset transfer IS considered an incremental investment, and therefore will be INCLUDED in ROI/NPV calculation. "No" is appropriate if the asset being transferred is currently utilized as there is an opportunity cost or loss of business at its current site as result of the transfer. "Yes" can also be used if we would like to compute ROI / NPV at Project/Site level, rather than at Interplex Group level.</t>
        </r>
      </text>
    </comment>
    <comment ref="J100" authorId="0" shapeId="0" xr:uid="{BE66023E-6BF0-4619-85C1-72B29BAF6678}">
      <text>
        <r>
          <rPr>
            <b/>
            <sz val="9"/>
            <color indexed="81"/>
            <rFont val="Tahoma"/>
            <family val="2"/>
          </rPr>
          <t>If external borrowings are used, enter the applicable interest rate. Otherwise use 7% p.a.</t>
        </r>
        <r>
          <rPr>
            <sz val="9"/>
            <color indexed="81"/>
            <rFont val="Tahoma"/>
            <family val="2"/>
          </rPr>
          <t xml:space="preserve">
</t>
        </r>
      </text>
    </comment>
    <comment ref="J101" authorId="0" shapeId="0" xr:uid="{FEEABD19-18A5-4918-BBAE-AEFF538B08A0}">
      <text>
        <r>
          <rPr>
            <b/>
            <sz val="11"/>
            <color indexed="81"/>
            <rFont val="Tahoma"/>
            <family val="2"/>
          </rPr>
          <t xml:space="preserve">Insert (+ figure) $ of external borrowings. In general, a minimum of 50% of capex value should be assumed to be funded by external borrowings except if Site has sufficient surplus cash in its bank account to finance the capex requirements. If this is left blank, the model assumes funding via equity or surplus cash.
All external borrowings must be repaid during the life of the project. Insert debt repayment assumption (-ve figure) such that the entire loan amount is repaid and project cash balance remains positive every year-end. 
</t>
        </r>
        <r>
          <rPr>
            <sz val="11"/>
            <color indexed="81"/>
            <rFont val="Tahoma"/>
            <family val="2"/>
          </rPr>
          <t xml:space="preserve">Use of debt will have the following effect on the model:
1. Interest Expense will be calculated on the debt value and recorded in the PNL
2. Balance sheet will record the outstanding amount of debt
3. Debt must be repaid. Any debt drawdown must be offset by a repayment such that the row total must add up to zero.
</t>
        </r>
      </text>
    </comment>
    <comment ref="N101" authorId="0" shapeId="0" xr:uid="{89598ECC-537A-49B5-82A7-4A9B96F6B6AB}">
      <text>
        <r>
          <rPr>
            <sz val="11"/>
            <color indexed="81"/>
            <rFont val="Tahoma"/>
            <family val="2"/>
          </rPr>
          <t>Insert debt funding amount such that Project Cash Balance at Year-end is positive (2 rows down). Make an assumption on debt repayment based on Project cash balance surplus. If Site has no capacity to assume debt, then enter funding in the Equity section below.
If not sure about debt, then assume all funding requirement is by way of equity. Insert funding requirement in cell below.</t>
        </r>
      </text>
    </comment>
    <comment ref="J102" authorId="0" shapeId="0" xr:uid="{7E2BB398-6336-4985-B94E-90170E80D14E}">
      <text>
        <r>
          <rPr>
            <b/>
            <sz val="11"/>
            <color indexed="81"/>
            <rFont val="Tahoma"/>
            <family val="2"/>
          </rPr>
          <t>After determining external debt funding amount, the model will automatically assume the balance of funding requirements will be made via equity. Funding is needed to pay for capex and working capital requirements of the project.
The use of equity will have the following effect:
1. Equity value will be recorded in shareholder equity on the balance sheet
2. No interest cost is calculated</t>
        </r>
      </text>
    </comment>
    <comment ref="N102" authorId="0" shapeId="0" xr:uid="{F6E1DD3B-B42F-4F13-8442-5A7BB3CFF97B}">
      <text>
        <r>
          <rPr>
            <sz val="11"/>
            <color indexed="81"/>
            <rFont val="Tahoma"/>
            <family val="2"/>
          </rPr>
          <t>After determining debt funding, insert equity funding amount such that Project Cash Balance at Year-end is positive (1 rows down). Equity funding for project could originate from site surplus cash flow or new equity injection.</t>
        </r>
      </text>
    </comment>
    <comment ref="J107" authorId="1" shapeId="0" xr:uid="{8DE50D34-0DFB-47A1-8D0E-C9B8304A5ED8}">
      <text>
        <r>
          <rPr>
            <b/>
            <sz val="10"/>
            <color indexed="81"/>
            <rFont val="Tahoma"/>
            <family val="2"/>
          </rPr>
          <t>Unfavorable or Excess WC / (Favourable WC)</t>
        </r>
        <r>
          <rPr>
            <sz val="10"/>
            <color indexed="81"/>
            <rFont val="Tahoma"/>
            <family val="2"/>
          </rPr>
          <t xml:space="preserve">
</t>
        </r>
      </text>
    </comment>
    <comment ref="J109" authorId="1" shapeId="0" xr:uid="{024A97B9-FF5C-4F9B-8CBE-BD88889172C2}">
      <text>
        <r>
          <rPr>
            <sz val="10"/>
            <color indexed="81"/>
            <rFont val="Tahoma"/>
            <family val="2"/>
          </rPr>
          <t>Standard working capital allowance is calculated assuming 50% Raw Materials and 50% FG
i.e. Standard WC allocance = DIO of 15 days for RM and 15 days for WIP&amp;FG</t>
        </r>
      </text>
    </comment>
    <comment ref="I113" authorId="0" shapeId="0" xr:uid="{FF755919-90A1-4F5C-A366-1D77B031EF30}">
      <text>
        <r>
          <rPr>
            <b/>
            <sz val="11"/>
            <color indexed="81"/>
            <rFont val="Tahoma"/>
            <family val="2"/>
          </rPr>
          <t xml:space="preserve">Owner of Section
</t>
        </r>
        <r>
          <rPr>
            <sz val="11"/>
            <color indexed="81"/>
            <rFont val="Tahoma"/>
            <family val="2"/>
          </rPr>
          <t xml:space="preserve">Site/Region Controller </t>
        </r>
      </text>
    </comment>
    <comment ref="J137" authorId="0" shapeId="0" xr:uid="{778F1738-A21A-4F18-9164-F3A1A963FDE8}">
      <text>
        <r>
          <rPr>
            <sz val="11"/>
            <color indexed="81"/>
            <rFont val="Tahoma"/>
            <family val="2"/>
          </rPr>
          <t>Maybe used for any unsual items such as govt grants, subsidies, etc.</t>
        </r>
      </text>
    </comment>
    <comment ref="N139" authorId="1" shapeId="0" xr:uid="{5D8FF255-F901-4DEF-95E2-DE3478BB1EBE}">
      <text>
        <r>
          <rPr>
            <b/>
            <sz val="12"/>
            <color indexed="81"/>
            <rFont val="Tahoma"/>
            <family val="2"/>
          </rPr>
          <t>Calendar Year of Tooling Sale</t>
        </r>
        <r>
          <rPr>
            <sz val="12"/>
            <color indexed="81"/>
            <rFont val="Tahoma"/>
            <family val="2"/>
          </rPr>
          <t xml:space="preserve"> should according to year customer PPAP approval is expected (Note: Should be same or before SOP year for 1st tool set)
</t>
        </r>
      </text>
    </comment>
    <comment ref="P139" authorId="1" shapeId="0" xr:uid="{1BD1E6FD-6E96-4E14-A382-AD169793DE23}">
      <text>
        <r>
          <rPr>
            <b/>
            <sz val="12"/>
            <color indexed="81"/>
            <rFont val="Tahoma"/>
            <family val="2"/>
          </rPr>
          <t>Calendar Year of Tooling Sale</t>
        </r>
        <r>
          <rPr>
            <sz val="12"/>
            <color indexed="81"/>
            <rFont val="Tahoma"/>
            <family val="2"/>
          </rPr>
          <t xml:space="preserve"> should according to year customer PPAP approval is expected (Note: Should be same or before SOP year for 1st tool set)
</t>
        </r>
      </text>
    </comment>
    <comment ref="R139" authorId="1" shapeId="0" xr:uid="{7C721797-06CD-4873-8554-F75A56B27C6F}">
      <text>
        <r>
          <rPr>
            <b/>
            <sz val="12"/>
            <color indexed="81"/>
            <rFont val="Tahoma"/>
            <family val="2"/>
          </rPr>
          <t>Calendar Year of Tooling Sale</t>
        </r>
        <r>
          <rPr>
            <sz val="12"/>
            <color indexed="81"/>
            <rFont val="Tahoma"/>
            <family val="2"/>
          </rPr>
          <t xml:space="preserve"> should according to year customer PPAP approval is expected (Note: Should be same or before SOP year for 1st tool set)
</t>
        </r>
      </text>
    </comment>
    <comment ref="T139" authorId="1" shapeId="0" xr:uid="{E3C6D776-6D68-4935-A813-F186128739EF}">
      <text>
        <r>
          <rPr>
            <b/>
            <sz val="12"/>
            <color indexed="81"/>
            <rFont val="Tahoma"/>
            <family val="2"/>
          </rPr>
          <t>Calendar Year of Tooling Sale</t>
        </r>
        <r>
          <rPr>
            <sz val="12"/>
            <color indexed="81"/>
            <rFont val="Tahoma"/>
            <family val="2"/>
          </rPr>
          <t xml:space="preserve"> should according to year customer PPAP approval is expected (Note: Should be same or before SOP year for 1st tool set)
</t>
        </r>
      </text>
    </comment>
    <comment ref="V139" authorId="1" shapeId="0" xr:uid="{58B11C2E-0B2F-494C-8C75-10DEB595A8C5}">
      <text>
        <r>
          <rPr>
            <b/>
            <sz val="12"/>
            <color indexed="81"/>
            <rFont val="Tahoma"/>
            <family val="2"/>
          </rPr>
          <t>Calendar Year of Tooling Sale</t>
        </r>
        <r>
          <rPr>
            <sz val="12"/>
            <color indexed="81"/>
            <rFont val="Tahoma"/>
            <family val="2"/>
          </rPr>
          <t xml:space="preserve"> should according to year customer PPAP approval is expected (Note: Should be same or before SOP year for 1st tool set)
</t>
        </r>
      </text>
    </comment>
    <comment ref="X139" authorId="1" shapeId="0" xr:uid="{E0E0A28F-8435-4452-8AB0-9828AF635722}">
      <text>
        <r>
          <rPr>
            <b/>
            <sz val="12"/>
            <color indexed="81"/>
            <rFont val="Tahoma"/>
            <family val="2"/>
          </rPr>
          <t>Calendar Year of Tooling Sale</t>
        </r>
        <r>
          <rPr>
            <sz val="12"/>
            <color indexed="81"/>
            <rFont val="Tahoma"/>
            <family val="2"/>
          </rPr>
          <t xml:space="preserve"> should according to year customer PPAP approval is expected (Note: Should be same or before SOP year for 1st tool set)
</t>
        </r>
      </text>
    </comment>
    <comment ref="J140" authorId="1" shapeId="0" xr:uid="{005BC19F-E685-49BA-8F1B-2621C0258ED2}">
      <text>
        <r>
          <rPr>
            <b/>
            <sz val="11"/>
            <color indexed="81"/>
            <rFont val="Tahoma"/>
            <family val="2"/>
          </rPr>
          <t>Enter the Cost of Tooling or Automation as quoted by vendor. If vendor is TIC or other Inter-Co, refer note below.</t>
        </r>
        <r>
          <rPr>
            <sz val="11"/>
            <color indexed="81"/>
            <rFont val="Tahoma"/>
            <family val="2"/>
          </rPr>
          <t xml:space="preserve">
Note: If the tool/automation is manufactured by TIC or other Inter-Co, please request for and enter TIC internal cost (excluding profit margin). If despite making the request, this information is not available, assume the COS is 90% of TIC quoted price.
</t>
        </r>
      </text>
    </comment>
    <comment ref="N140" authorId="1" shapeId="0" xr:uid="{F6046AAA-7BFA-4184-9269-04E9AAD4CA34}">
      <text>
        <r>
          <rPr>
            <b/>
            <sz val="12"/>
            <color indexed="81"/>
            <rFont val="Tahoma"/>
            <family val="2"/>
          </rPr>
          <t xml:space="preserve">Fill-in the Tooling COS manually </t>
        </r>
        <r>
          <rPr>
            <sz val="12"/>
            <color indexed="81"/>
            <rFont val="Tahoma"/>
            <family val="2"/>
          </rPr>
          <t xml:space="preserve">according to the tooling cost in Tooling CBD. The default formula assumes COS = Sales Price. Please update maually if there is a profit margin.
</t>
        </r>
      </text>
    </comment>
    <comment ref="P140" authorId="1" shapeId="0" xr:uid="{C58CE35D-FEBC-4292-8341-489AF359357F}">
      <text>
        <r>
          <rPr>
            <b/>
            <sz val="12"/>
            <color indexed="81"/>
            <rFont val="Tahoma"/>
            <family val="2"/>
          </rPr>
          <t xml:space="preserve">Fill-in the Tooling COS manually </t>
        </r>
        <r>
          <rPr>
            <sz val="12"/>
            <color indexed="81"/>
            <rFont val="Tahoma"/>
            <family val="2"/>
          </rPr>
          <t xml:space="preserve">according to the tooling cost in Tooling CBD. The default formula assumes COS = Sales Price. Please update maually if there is a profit margin.
</t>
        </r>
      </text>
    </comment>
    <comment ref="R140" authorId="1" shapeId="0" xr:uid="{5EDFBA97-F46C-41C9-9784-F9C3761E6202}">
      <text>
        <r>
          <rPr>
            <b/>
            <sz val="12"/>
            <color indexed="81"/>
            <rFont val="Tahoma"/>
            <family val="2"/>
          </rPr>
          <t xml:space="preserve">Fill-in the Tooling COS manually </t>
        </r>
        <r>
          <rPr>
            <sz val="12"/>
            <color indexed="81"/>
            <rFont val="Tahoma"/>
            <family val="2"/>
          </rPr>
          <t xml:space="preserve">according to the tooling cost in Tooling CBD. The default formula assumes COS = Sales Price. Please update maually if there is a profit margin.
</t>
        </r>
      </text>
    </comment>
    <comment ref="T140" authorId="1" shapeId="0" xr:uid="{ECBE2C82-3837-48B3-85C9-73477B2674BE}">
      <text>
        <r>
          <rPr>
            <b/>
            <sz val="12"/>
            <color indexed="81"/>
            <rFont val="Tahoma"/>
            <family val="2"/>
          </rPr>
          <t xml:space="preserve">Fill-in the Tooling COS manually </t>
        </r>
        <r>
          <rPr>
            <sz val="12"/>
            <color indexed="81"/>
            <rFont val="Tahoma"/>
            <family val="2"/>
          </rPr>
          <t xml:space="preserve">according to the tooling cost in Tooling CBD. The default formula assumes COS = Sales Price. Please update maually if there is a profit margin.
</t>
        </r>
      </text>
    </comment>
    <comment ref="V140" authorId="1" shapeId="0" xr:uid="{0678B52D-722C-4E5B-A955-AF94AADF85BF}">
      <text>
        <r>
          <rPr>
            <b/>
            <sz val="12"/>
            <color indexed="81"/>
            <rFont val="Tahoma"/>
            <family val="2"/>
          </rPr>
          <t xml:space="preserve">Fill-in the Tooling COS manually </t>
        </r>
        <r>
          <rPr>
            <sz val="12"/>
            <color indexed="81"/>
            <rFont val="Tahoma"/>
            <family val="2"/>
          </rPr>
          <t xml:space="preserve">according to the tooling cost in Tooling CBD. The default formula assumes COS = Sales Price. Please update maually if there is a profit margin.
</t>
        </r>
      </text>
    </comment>
    <comment ref="X140" authorId="1" shapeId="0" xr:uid="{0B4936CF-7AF1-4981-8F2E-3503414F45D1}">
      <text>
        <r>
          <rPr>
            <b/>
            <sz val="12"/>
            <color indexed="81"/>
            <rFont val="Tahoma"/>
            <family val="2"/>
          </rPr>
          <t xml:space="preserve">Fill-in the Tooling COS manually </t>
        </r>
        <r>
          <rPr>
            <sz val="12"/>
            <color indexed="81"/>
            <rFont val="Tahoma"/>
            <family val="2"/>
          </rPr>
          <t xml:space="preserve">according to the tooling cost in Tooling CBD. The default formula assumes COS = Sales Price. Please update maually if there is a profit margin.
</t>
        </r>
      </text>
    </comment>
    <comment ref="J146" authorId="1" shapeId="0" xr:uid="{43430C4E-FA8D-4B13-8F62-FE69A1C9FB57}">
      <text>
        <r>
          <rPr>
            <sz val="11"/>
            <color indexed="81"/>
            <rFont val="Tahoma"/>
            <family val="2"/>
          </rPr>
          <t xml:space="preserve">This section is created for any manual adjustments that Finance controller consider appropriate to presented a more accurate PNL of the project. 
This section should be used by qualified member of Finance function ONLY.
Adjustments here will create deviations between the CBD PNL versus Pre-CER PNL. And cash flow affected accordingly. e.g. adjustments for fixed vs variable overheads, tooling amortizationf, fixed vs variable SG&amp;A, etc.
</t>
        </r>
      </text>
    </comment>
    <comment ref="J148" authorId="1" shapeId="0" xr:uid="{6BA6C526-D50E-4BE3-A27D-2A756704F287}">
      <text>
        <r>
          <rPr>
            <b/>
            <sz val="11"/>
            <color indexed="81"/>
            <rFont val="Tahoma"/>
            <family val="2"/>
          </rPr>
          <t xml:space="preserve">If there are Inter-Co purchase components in the CBD and transfer cost includes profit margin made by the seller, then enter the estimated inter profit amount (as + positive number) for each year. The iner-co profit will be added back to GP &amp; EBITDA.
Reason: </t>
        </r>
        <r>
          <rPr>
            <sz val="11"/>
            <color indexed="81"/>
            <rFont val="Tahoma"/>
            <family val="2"/>
          </rPr>
          <t>For the purposes of CER simulation, the cost of such components should be based on Standard Cost at the Inter-Co site. You will need to obtain this the inter-co profit data from the Site GM or Controller.
This will ensure the CER financial analysis provides the Group perspective (eliminating any significant inter-company profits)</t>
        </r>
      </text>
    </comment>
    <comment ref="J149" authorId="1" shapeId="0" xr:uid="{43867D18-497E-4721-9629-8E8E41D2385D}">
      <text>
        <r>
          <rPr>
            <b/>
            <sz val="11"/>
            <color indexed="81"/>
            <rFont val="Tahoma"/>
            <family val="2"/>
          </rPr>
          <t xml:space="preserve">If, 
</t>
        </r>
        <r>
          <rPr>
            <sz val="11"/>
            <color indexed="81"/>
            <rFont val="Tahoma"/>
            <family val="2"/>
          </rPr>
          <t xml:space="preserve">1) the IDL rate in CBD is based on full absorption cost, and
2) this RFQ is not an anchor program, but is instead for short term / capacity loading and overheads absorption, </t>
        </r>
        <r>
          <rPr>
            <b/>
            <sz val="11"/>
            <color indexed="81"/>
            <rFont val="Tahoma"/>
            <family val="2"/>
          </rPr>
          <t xml:space="preserve">then enter the estimated adjustment (as + positive number) to remove the fixed cost component of IDL rate. 
</t>
        </r>
        <r>
          <rPr>
            <sz val="11"/>
            <color indexed="81"/>
            <rFont val="Tahoma"/>
            <family val="2"/>
          </rPr>
          <t xml:space="preserve">
The remaining cost in PNL represents variable (or incremental) cost only. If this RFQ has no incremental cost and provided both criteria above are met, then the PNL cost should be fully eliminated.</t>
        </r>
      </text>
    </comment>
    <comment ref="J150" authorId="1" shapeId="0" xr:uid="{C025627D-BFD5-402B-BD8F-809544F06485}">
      <text>
        <r>
          <rPr>
            <b/>
            <sz val="11"/>
            <color indexed="81"/>
            <rFont val="Tahoma"/>
            <family val="2"/>
          </rPr>
          <t xml:space="preserve">If, 
</t>
        </r>
        <r>
          <rPr>
            <sz val="11"/>
            <color indexed="81"/>
            <rFont val="Tahoma"/>
            <family val="2"/>
          </rPr>
          <t xml:space="preserve">1) the Factory Support overheads rate in CBD is based on full absorption cost, and
2) this RFQ is not an anchor program, but is instead for short term / capacity loading and overheads absorption, </t>
        </r>
        <r>
          <rPr>
            <b/>
            <sz val="11"/>
            <color indexed="81"/>
            <rFont val="Tahoma"/>
            <family val="2"/>
          </rPr>
          <t xml:space="preserve">then enter the estimated adjustment (as + positive number) to remove the fixed cost component of FS rate. 
</t>
        </r>
        <r>
          <rPr>
            <sz val="11"/>
            <color indexed="81"/>
            <rFont val="Tahoma"/>
            <family val="2"/>
          </rPr>
          <t xml:space="preserve">
The remaining cost in PNL represents variable (or incremental) cost only. If this RFQ has no incremental cost and provided both criteria above are met, then the PNL cost should be fully eliminated</t>
        </r>
      </text>
    </comment>
    <comment ref="J151" authorId="1" shapeId="0" xr:uid="{6CF457E3-9784-4990-AC75-A4D1DA642A38}">
      <text>
        <r>
          <rPr>
            <b/>
            <sz val="10"/>
            <color indexed="81"/>
            <rFont val="Tahoma"/>
            <family val="2"/>
          </rPr>
          <t>Input amortization of Interplex co-invested tooling or automation. For use of the amortization reflected in the CBD is incorrect.</t>
        </r>
        <r>
          <rPr>
            <sz val="10"/>
            <color indexed="81"/>
            <rFont val="Tahoma"/>
            <family val="2"/>
          </rPr>
          <t xml:space="preserve">
Note: Tooling/Automation co-invest must be 100% amortized by end of project. Otherwise, model will return an error message. Amortization period (period of recovery from customer) should not exceed 3 years, or maximum of 5 years for very large strategic projects.
To check if you have fully amortized the co-investment, refer to Section 1C or Section 4A (Balance Sheet). These section will show the Unamortized Balance, if any.
</t>
        </r>
      </text>
    </comment>
    <comment ref="J152" authorId="0" shapeId="0" xr:uid="{9D2738AC-3115-4892-949B-E575F3BE7E98}">
      <text>
        <r>
          <rPr>
            <sz val="11"/>
            <color indexed="81"/>
            <rFont val="Tahoma"/>
            <family val="2"/>
          </rPr>
          <t xml:space="preserve">Available for use for </t>
        </r>
        <r>
          <rPr>
            <b/>
            <sz val="11"/>
            <color indexed="81"/>
            <rFont val="Tahoma"/>
            <family val="2"/>
          </rPr>
          <t>exceptional or one-off costs</t>
        </r>
        <r>
          <rPr>
            <sz val="11"/>
            <color indexed="81"/>
            <rFont val="Tahoma"/>
            <family val="2"/>
          </rPr>
          <t xml:space="preserve">. Enter in the year that expense is expected to occur. e.g.
1. Pre-production cost (IDL/DL recruitment/training, site preparation, etc.) 
2. Business links, rebates
3. Write off of surplus / obsolete inventory due to vendor MOQ
</t>
        </r>
      </text>
    </comment>
    <comment ref="J156" authorId="1" shapeId="0" xr:uid="{FC77774A-71AA-4B7A-B0DA-58A0B7EF6FF8}">
      <text>
        <r>
          <rPr>
            <b/>
            <sz val="11"/>
            <color indexed="81"/>
            <rFont val="Tahoma"/>
            <family val="2"/>
          </rPr>
          <t xml:space="preserve">If, 
</t>
        </r>
        <r>
          <rPr>
            <sz val="11"/>
            <color indexed="81"/>
            <rFont val="Tahoma"/>
            <family val="2"/>
          </rPr>
          <t xml:space="preserve">1) the S&amp;M and R&amp;D rate in CBD is based on full absorption cost, and
2) this RFQ is not an anchor program, but is instead for short term / capacity loading and overheads absorption, </t>
        </r>
        <r>
          <rPr>
            <b/>
            <sz val="11"/>
            <color indexed="81"/>
            <rFont val="Tahoma"/>
            <family val="2"/>
          </rPr>
          <t xml:space="preserve">then enter the estimated adjustment (as + positive number) to remove the fixed cost component of the overheads rate. 
</t>
        </r>
        <r>
          <rPr>
            <sz val="11"/>
            <color indexed="81"/>
            <rFont val="Tahoma"/>
            <family val="2"/>
          </rPr>
          <t xml:space="preserve">
The remaining cost in PNL represents variable (or incremental) cost only. If this RFQ has no incremental cost and provided both criteria above are met, then the PNL cost should be fully eliminated.</t>
        </r>
      </text>
    </comment>
    <comment ref="J157" authorId="1" shapeId="0" xr:uid="{5F9F0E2C-E46B-40E0-91FD-318ABDF57A37}">
      <text>
        <r>
          <rPr>
            <b/>
            <sz val="11"/>
            <color indexed="81"/>
            <rFont val="Tahoma"/>
            <family val="2"/>
          </rPr>
          <t xml:space="preserve">If, 
</t>
        </r>
        <r>
          <rPr>
            <sz val="11"/>
            <color indexed="81"/>
            <rFont val="Tahoma"/>
            <family val="2"/>
          </rPr>
          <t xml:space="preserve">1) the IDL rate in CBD is based on full absorption cost, and
2) this RFQ is not an anchor program, but is instead for short term / capacity loading and overheads absorption, </t>
        </r>
        <r>
          <rPr>
            <b/>
            <sz val="11"/>
            <color indexed="81"/>
            <rFont val="Tahoma"/>
            <family val="2"/>
          </rPr>
          <t xml:space="preserve">then enter the estimated adjustment (as + positive number) to remove the fixed cost component of IDL rate. 
</t>
        </r>
        <r>
          <rPr>
            <sz val="11"/>
            <color indexed="81"/>
            <rFont val="Tahoma"/>
            <family val="2"/>
          </rPr>
          <t xml:space="preserve">
The remaining cost in PNL represents variable (or incremental) cost only. If this RFQ has no incremental cost and provided both criteria above are met, then the PNL cost should be fully eliminated.</t>
        </r>
      </text>
    </comment>
    <comment ref="J170" authorId="0" shapeId="0" xr:uid="{53F0B153-F9EA-4F91-AB77-2A58C96C3AC3}">
      <text>
        <r>
          <rPr>
            <sz val="11"/>
            <color indexed="81"/>
            <rFont val="Tahoma"/>
            <family val="2"/>
          </rPr>
          <t>Note: this model does not account for deferred tax asset arising from PNL losses (due to complications on cash flow statement). Therefore the PNL does not show a tax credit in event of losses.</t>
        </r>
      </text>
    </comment>
    <comment ref="J211" authorId="0" shapeId="0" xr:uid="{6A7D299D-EBE5-4AF8-BA3B-1FCCF2DDFB04}">
      <text>
        <r>
          <rPr>
            <sz val="11"/>
            <color indexed="81"/>
            <rFont val="Tahoma"/>
            <family val="2"/>
          </rPr>
          <t xml:space="preserve">Trade payables = (COGS + Production Cost x 30%*) x Acct Payable Days / 365
*Only 30% of Production Cost is used as a large proportion is paid only without any credit terms e.g. IDL wages or salaries, rentals, etc.
</t>
        </r>
      </text>
    </comment>
    <comment ref="N294" authorId="0" shapeId="0" xr:uid="{F391F3D3-9B5F-41E2-ADDF-3129AD2278BC}">
      <text>
        <r>
          <rPr>
            <sz val="11"/>
            <color indexed="81"/>
            <rFont val="Tahoma"/>
            <family val="2"/>
          </rPr>
          <t xml:space="preserve">Depreciation in 1st year of revenue is calculated assuming depreciation begins in SOP month. e.g. if SOP month is Mar (SOP month=3), then 10 months of depreciation on the capex incurred is imputed for that year. Annual straightline depreciation methodology is used.
Cell is unlocked in the unlikely event an amendment of 1st year depreciation is required.
</t>
        </r>
      </text>
    </comment>
    <comment ref="O294" authorId="0" shapeId="0" xr:uid="{871A1E68-FC7E-433A-ACB4-EBE60DE1EFB0}">
      <text>
        <r>
          <rPr>
            <sz val="11"/>
            <color indexed="81"/>
            <rFont val="Tahoma"/>
            <family val="2"/>
          </rPr>
          <t xml:space="preserve">Depreciation in 1st year of revenue is calculated assuming depreciation begins in SOP month. e.g. if SOP month is Mar (SOP month=3), then 10 months of depreciation on the capex incurred is imputed for that year. Annual straightline depreciation methodology is used.
Cell is unlocked in the unlikely event an amendment of 1st year depreciation is required.
</t>
        </r>
      </text>
    </comment>
    <comment ref="P294" authorId="0" shapeId="0" xr:uid="{EF67B831-D75B-4696-9FB6-BD2CA1E0BE54}">
      <text>
        <r>
          <rPr>
            <sz val="11"/>
            <color indexed="81"/>
            <rFont val="Tahoma"/>
            <family val="2"/>
          </rPr>
          <t xml:space="preserve">Depreciation in 1st year of revenue is calculated assuming depreciation begins in SOP month. e.g. if SOP month is Mar (SOP month=3), then 10 months of depreciation on the capex incurred is imputed for that year. Annual straightline depreciation methodology is used.
Cell is unlocked in the unlikely event an amendment of 1st year depreciation is required.
</t>
        </r>
      </text>
    </comment>
    <comment ref="J326" authorId="0" shapeId="0" xr:uid="{EBCB24EC-5463-47AF-B070-2C5A04B77F1D}">
      <text>
        <r>
          <rPr>
            <sz val="11"/>
            <color indexed="81"/>
            <rFont val="Tahoma"/>
            <family val="2"/>
          </rPr>
          <t>Payback period of capex is calculated as the time taken for cash generated from the project to recover the cost of capex (starting from the year capex is first incurred).</t>
        </r>
        <r>
          <rPr>
            <b/>
            <sz val="11"/>
            <color indexed="81"/>
            <rFont val="Tahoma"/>
            <family val="2"/>
          </rPr>
          <t xml:space="preserve"> 
Note: 
</t>
        </r>
        <r>
          <rPr>
            <sz val="11"/>
            <color indexed="81"/>
            <rFont val="Tahoma"/>
            <family val="2"/>
          </rPr>
          <t xml:space="preserve">For simplicity, the 1st year of capex is considered 0.5 years (i.e. assumes capex incurred at mid-year)
The cash flow is nominal i.e. undiscounted. </t>
        </r>
      </text>
    </comment>
    <comment ref="J329" authorId="0" shapeId="0" xr:uid="{B5D4E7A7-87B8-4F99-859B-7302D3B9499D}">
      <text>
        <r>
          <rPr>
            <sz val="11"/>
            <color indexed="81"/>
            <rFont val="Tahoma"/>
            <family val="2"/>
          </rPr>
          <t>Payback period of capex is calculated as the time taken for cash generated from the project to recover the cost of capex (starting from the year capex is first incurred).</t>
        </r>
        <r>
          <rPr>
            <b/>
            <sz val="11"/>
            <color indexed="81"/>
            <rFont val="Tahoma"/>
            <family val="2"/>
          </rPr>
          <t xml:space="preserve"> 
Note: 
</t>
        </r>
        <r>
          <rPr>
            <sz val="11"/>
            <color indexed="81"/>
            <rFont val="Tahoma"/>
            <family val="2"/>
          </rPr>
          <t xml:space="preserve">For simplicity, the 1st year of capex is considered 0.5 years (i.e. assumes capex incurred at mid-year)
The cash flow is nominal i.e. undiscounted.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<sst xmlns="http://schemas.openxmlformats.org/spreadsheetml/2006/main" count="2393" uniqueCount="523">
  <si>
    <t>Pre-CER / CER Financial Evaluation</t>
  </si>
  <si>
    <t>[Prepared by]</t>
  </si>
  <si>
    <r>
      <rPr>
        <b/>
        <sz val="8"/>
        <rFont val="等线"/>
        <family val="2"/>
        <scheme val="minor"/>
      </rPr>
      <t xml:space="preserve">Cells for Input
</t>
    </r>
    <r>
      <rPr>
        <sz val="8"/>
        <rFont val="等线"/>
        <family val="2"/>
        <scheme val="minor"/>
      </rPr>
      <t>(data or formula )</t>
    </r>
  </si>
  <si>
    <r>
      <rPr>
        <b/>
        <sz val="8"/>
        <rFont val="等线"/>
        <family val="2"/>
        <scheme val="minor"/>
      </rPr>
      <t>Display Only</t>
    </r>
    <r>
      <rPr>
        <sz val="8"/>
        <rFont val="等线"/>
        <family val="2"/>
        <scheme val="minor"/>
      </rPr>
      <t xml:space="preserve">
(Do NOT enter)</t>
    </r>
  </si>
  <si>
    <t>Overall Check</t>
  </si>
  <si>
    <t>SOP Cal Year:</t>
  </si>
  <si>
    <t>SOP Cal Mth:</t>
  </si>
  <si>
    <t>Project Summary &amp; Investment Evaluation</t>
  </si>
  <si>
    <t>TOTAL</t>
  </si>
  <si>
    <t>A</t>
  </si>
  <si>
    <t>Project PNL &amp; Funding</t>
  </si>
  <si>
    <t>Project Total</t>
  </si>
  <si>
    <t>Revenue - Parts</t>
  </si>
  <si>
    <t>COPA%</t>
  </si>
  <si>
    <t>Gross Profit</t>
  </si>
  <si>
    <t>GP %</t>
  </si>
  <si>
    <t>EBITDA (Parts + Tooling)</t>
  </si>
  <si>
    <t>Project Cash Flow (Operations, WC &amp; Investments)</t>
  </si>
  <si>
    <t>Other Key Metrics:</t>
  </si>
  <si>
    <t>Internal Cost Improvemt/(Deteriortn):Matrl + Process</t>
  </si>
  <si>
    <t>Inputed in PNL/ROI</t>
  </si>
  <si>
    <t>Excess Working Capital Charge, if any</t>
  </si>
  <si>
    <t>B</t>
  </si>
  <si>
    <t>Project Returns</t>
  </si>
  <si>
    <t>Cumulative Project Cash Flow (CPCF)</t>
  </si>
  <si>
    <t>ROI (Payback Period) Years</t>
  </si>
  <si>
    <t>Net Present Value (NPV)</t>
  </si>
  <si>
    <t>C</t>
  </si>
  <si>
    <t>Working Capital (Annual Average)</t>
  </si>
  <si>
    <t>WC % Revenue</t>
  </si>
  <si>
    <t>Accounts Receivable</t>
  </si>
  <si>
    <t>Accounts Payable</t>
  </si>
  <si>
    <t>Customer Toolings Recoverable</t>
  </si>
  <si>
    <t>Other Assets/Payables (net, $)</t>
  </si>
  <si>
    <t>Unamortized Balance Tool/Auto Co-Invest</t>
  </si>
  <si>
    <t>1A</t>
  </si>
  <si>
    <t>Project Financing Requirements</t>
  </si>
  <si>
    <t>Cash Flow Projection $</t>
  </si>
  <si>
    <t>CF from Operations</t>
  </si>
  <si>
    <t>CF from Investing (Capex &amp; Inter-Co asset)</t>
  </si>
  <si>
    <t xml:space="preserve">Annual Overall Net CF </t>
  </si>
  <si>
    <t xml:space="preserve">Cumulative Overall Net CF </t>
  </si>
  <si>
    <t>Project Cash Balance at Year-End</t>
  </si>
  <si>
    <t>Invested Capital $</t>
  </si>
  <si>
    <t>Project Working Capital</t>
  </si>
  <si>
    <t xml:space="preserve">Ave: </t>
  </si>
  <si>
    <t>Project Fixed Asset NBV</t>
  </si>
  <si>
    <t>Project Invested Capital</t>
  </si>
  <si>
    <t>Funding Requirements $</t>
  </si>
  <si>
    <t>Funded by External Debt</t>
  </si>
  <si>
    <t xml:space="preserve">Drawdown: </t>
  </si>
  <si>
    <t>Funded by FCF/new Equity</t>
  </si>
  <si>
    <t>Injection:</t>
  </si>
  <si>
    <t>Total Funding Requirement (at start of Project)</t>
  </si>
  <si>
    <t>Project Capex &amp; Working Capital</t>
  </si>
  <si>
    <t>(Sign of input)</t>
  </si>
  <si>
    <t>(+)</t>
  </si>
  <si>
    <t>Capex Payment</t>
  </si>
  <si>
    <t>B1</t>
  </si>
  <si>
    <t>Capex (from CBD Investment worksheet)</t>
  </si>
  <si>
    <t>B2</t>
  </si>
  <si>
    <t>Capex (manual input)</t>
  </si>
  <si>
    <t>L</t>
  </si>
  <si>
    <t>Inter-Co Asset Transfer ($)</t>
  </si>
  <si>
    <t>Working Capital Assumptions</t>
  </si>
  <si>
    <t>Project Ave</t>
  </si>
  <si>
    <t>D</t>
  </si>
  <si>
    <t>E</t>
  </si>
  <si>
    <t>Customer Payment Terms (DSO) Days</t>
  </si>
  <si>
    <t>F</t>
  </si>
  <si>
    <t>H</t>
  </si>
  <si>
    <t>Other Receivables, if any (% parts revenue)</t>
  </si>
  <si>
    <t>I</t>
  </si>
  <si>
    <t>(+%)</t>
  </si>
  <si>
    <t>J</t>
  </si>
  <si>
    <t>Accounts Payable (DPO) Days</t>
  </si>
  <si>
    <t>K</t>
  </si>
  <si>
    <t>Others Payables, if any (% parts revenue)</t>
  </si>
  <si>
    <t>(%)</t>
  </si>
  <si>
    <t>2A</t>
  </si>
  <si>
    <t>Tax &amp; Financing Assumptions</t>
  </si>
  <si>
    <t>Fiscal &amp; Tax Assumptions</t>
  </si>
  <si>
    <r>
      <t xml:space="preserve">Depreciation (average useful life, </t>
    </r>
    <r>
      <rPr>
        <b/>
        <sz val="12"/>
        <color theme="1"/>
        <rFont val="Arial Narrow"/>
        <family val="2"/>
      </rPr>
      <t>yrs</t>
    </r>
    <r>
      <rPr>
        <sz val="12"/>
        <color theme="1"/>
        <rFont val="Arial Narrow"/>
        <family val="2"/>
      </rPr>
      <t>)</t>
    </r>
  </si>
  <si>
    <t>years</t>
  </si>
  <si>
    <t>Tax Rate (% of Earnings Before Tax)</t>
  </si>
  <si>
    <t>Investment &amp; Financing Assumptions</t>
  </si>
  <si>
    <t>Proj Ave WC%</t>
  </si>
  <si>
    <t>Proj CPCF Multiple</t>
  </si>
  <si>
    <t>Discount Rate (WACC)</t>
  </si>
  <si>
    <t>Inter-co Asset Transfer - impute into ROI / NPV?</t>
  </si>
  <si>
    <t>No</t>
  </si>
  <si>
    <t>Interest p.a. (% of Debt Open Bal)</t>
  </si>
  <si>
    <t>Debt Issuance (Repayment)</t>
  </si>
  <si>
    <t>(+/-)</t>
  </si>
  <si>
    <t>Equity Issued (Repaid)</t>
  </si>
  <si>
    <r>
      <t>Project Cash Balance at Year-End</t>
    </r>
    <r>
      <rPr>
        <b/>
        <sz val="12"/>
        <color rgb="FFFF0000"/>
        <rFont val="Arial Narrow"/>
        <family val="2"/>
      </rPr>
      <t xml:space="preserve"> (annual must be +ve)</t>
    </r>
  </si>
  <si>
    <t>2B</t>
  </si>
  <si>
    <t>Excess Working Capital Consumption</t>
  </si>
  <si>
    <t>Working Cap: Assumption vs Std RFQ Terms</t>
  </si>
  <si>
    <t>Std RFQ Terms:</t>
  </si>
  <si>
    <t>Inpute WC Charge in CF &amp; ROI? Y/N</t>
  </si>
  <si>
    <t>AR: Extended Credit Terms to Customer</t>
  </si>
  <si>
    <t>Inv: Inventory Safety Stock/Hub/VMI for Customer</t>
  </si>
  <si>
    <t>AP: Vendor DPO Terms (Extended)/Shortened</t>
  </si>
  <si>
    <t>Unfavorable or Excess Working Cap Req'mt</t>
  </si>
  <si>
    <t>All Data linked from CBD, other than Tooling PNL</t>
  </si>
  <si>
    <t>%Rev</t>
  </si>
  <si>
    <t>COS (-)</t>
  </si>
  <si>
    <t>Scrap Recovery (+ve)</t>
  </si>
  <si>
    <t>Subcon (-)</t>
  </si>
  <si>
    <t>Packaging (-)</t>
  </si>
  <si>
    <t>Internal Cost Improvement-Material (+)</t>
  </si>
  <si>
    <t>COPA</t>
  </si>
  <si>
    <t>COPA% Parts Rev</t>
  </si>
  <si>
    <t>Direct Labour (-)</t>
  </si>
  <si>
    <t>Indirect COS (-)</t>
  </si>
  <si>
    <t>Indirect Labour (-)</t>
  </si>
  <si>
    <t>Factory Support Cost (-)</t>
  </si>
  <si>
    <t>Business Link or Rebates (-)</t>
  </si>
  <si>
    <t>Amortiztn-Tool/Auto Co-Invest (non-cash item)</t>
  </si>
  <si>
    <t>Internal Cost Improvement-Process (+)</t>
  </si>
  <si>
    <t>Gross Profit per CBD</t>
  </si>
  <si>
    <t>S&amp;M + R&amp;D</t>
  </si>
  <si>
    <t>G&amp;A</t>
  </si>
  <si>
    <t>Other Income/(Expense)</t>
  </si>
  <si>
    <r>
      <t>EBITDA per CBM</t>
    </r>
    <r>
      <rPr>
        <sz val="12"/>
        <color theme="1"/>
        <rFont val="Arial Narrow"/>
        <family val="2"/>
      </rPr>
      <t xml:space="preserve"> (excl Tooling)</t>
    </r>
  </si>
  <si>
    <t>Tooling Sales to Customer (+)</t>
  </si>
  <si>
    <t>Tooling Margin</t>
  </si>
  <si>
    <t>EBITDA per CBD incl Tooling</t>
  </si>
  <si>
    <t>EBITDA% Parts + Tooling Rev</t>
  </si>
  <si>
    <t>3A</t>
  </si>
  <si>
    <t>Finance PNL Adjustments (manual adjustments made by Controller)</t>
  </si>
  <si>
    <t>Adjustments above GP</t>
  </si>
  <si>
    <t>Adjustmt for Fixed Cost - IDL (+)</t>
  </si>
  <si>
    <t>Adjustmt for Fixed Cost - Factory Support (+)</t>
  </si>
  <si>
    <r>
      <t xml:space="preserve">Amortiztn-Tool/Auto Co-Invest </t>
    </r>
    <r>
      <rPr>
        <sz val="11"/>
        <color rgb="FFFF0000"/>
        <rFont val="Arial Narrow"/>
        <family val="2"/>
      </rPr>
      <t>(non-cash ONLY</t>
    </r>
    <r>
      <rPr>
        <sz val="11"/>
        <color theme="1"/>
        <rFont val="Arial Narrow"/>
        <family val="2"/>
      </rPr>
      <t>)-Manual Adjmt</t>
    </r>
  </si>
  <si>
    <t>Other exceptional cost if any, please specify.</t>
  </si>
  <si>
    <t>Gross Profit per Pre-CER</t>
  </si>
  <si>
    <t>GP% Parts Rev</t>
  </si>
  <si>
    <t>Adjustments below GP</t>
  </si>
  <si>
    <t>Adjustmt for Fixed Cost - S&amp;M, R&amp;D (+)</t>
  </si>
  <si>
    <t>Adjustmt for Fixed Cost - G&amp;A (+)</t>
  </si>
  <si>
    <t>EBITDA per Pre-CER (excl Tooling)</t>
  </si>
  <si>
    <t>Non-Operating Income/(Expense), if any</t>
  </si>
  <si>
    <t>EBITDA per Pre-CER incl Tooling</t>
  </si>
  <si>
    <t>Interest Charge for Excessive Working Capital</t>
  </si>
  <si>
    <t>Borrowings Interest (expense) / income</t>
  </si>
  <si>
    <t>Earnings Before Tax</t>
  </si>
  <si>
    <t>Taxes</t>
  </si>
  <si>
    <t>Earnings after Interest &amp; Tax</t>
  </si>
  <si>
    <t>Project vs Site Actual PNL Comparison</t>
  </si>
  <si>
    <t>Site Actual for Reference</t>
  </si>
  <si>
    <t>Project</t>
  </si>
  <si>
    <t>COS, after inter-co profit elims (-)</t>
  </si>
  <si>
    <t>COPA (+)</t>
  </si>
  <si>
    <t>Non-Standard IndCOS (-)</t>
  </si>
  <si>
    <t>Amortiztn-Tool/Auto Co-Invest (non-cash)</t>
  </si>
  <si>
    <t>EBITDA excl Tooling</t>
  </si>
  <si>
    <t>4A</t>
  </si>
  <si>
    <t>Project Balance Sheet</t>
  </si>
  <si>
    <t>Assets</t>
  </si>
  <si>
    <t>Cash</t>
  </si>
  <si>
    <t>Other Receivables</t>
  </si>
  <si>
    <t>Customer Tooling Recoverable</t>
  </si>
  <si>
    <t>Unamortized Balance of Tool/Auto Co-Investment</t>
  </si>
  <si>
    <t>Property &amp; Equipment</t>
  </si>
  <si>
    <t>Total Assets</t>
  </si>
  <si>
    <t>Liabilities</t>
  </si>
  <si>
    <t>Trade Payable</t>
  </si>
  <si>
    <t>Others Payables</t>
  </si>
  <si>
    <t>Debt</t>
  </si>
  <si>
    <t>Total Liabilities</t>
  </si>
  <si>
    <t>Shareholder's Equity</t>
  </si>
  <si>
    <t>Equity Capital</t>
  </si>
  <si>
    <t>Retained Earnings</t>
  </si>
  <si>
    <t>Total Liabilities &amp; Shareholder's Equity</t>
  </si>
  <si>
    <t>Check</t>
  </si>
  <si>
    <t>Check - retained earnings BS to PNL</t>
  </si>
  <si>
    <t>Project Cash Flow Statement</t>
  </si>
  <si>
    <t>Operating Cash Flow</t>
  </si>
  <si>
    <t>Plus: Depreciation &amp; Amortization</t>
  </si>
  <si>
    <t>Plus Changes in Working Capital</t>
  </si>
  <si>
    <t>Cash from Operations</t>
  </si>
  <si>
    <t>Investing Cash Flow</t>
  </si>
  <si>
    <t>Fixed Asets Transfer from Inter-Co (NBV)</t>
  </si>
  <si>
    <t>Cash from Investing</t>
  </si>
  <si>
    <t>Financing Cash Flow</t>
  </si>
  <si>
    <t>Inter-Co - NON-Trade Receipts / Payments</t>
  </si>
  <si>
    <t>Issuance (repayment) of Equity</t>
  </si>
  <si>
    <t>Issuance (repayment) of Debt</t>
  </si>
  <si>
    <t>Cash from Financing</t>
  </si>
  <si>
    <t>Net Increase (decrease) in Cash</t>
  </si>
  <si>
    <t>Opening Cash Balance</t>
  </si>
  <si>
    <t>Closing Cash Balance</t>
  </si>
  <si>
    <t>5A</t>
  </si>
  <si>
    <t>Direct CF Format &amp; Peak Funding Req'mt</t>
  </si>
  <si>
    <t>Operating Cash Flow_Using Direct Method</t>
  </si>
  <si>
    <t>Operating Inflows:</t>
  </si>
  <si>
    <t>Total Revenue (Parts + Tools)</t>
  </si>
  <si>
    <t>Change in AR</t>
  </si>
  <si>
    <t>Total customer collections</t>
  </si>
  <si>
    <t>Operating Outflows</t>
  </si>
  <si>
    <t>Total Cost per PNL (to profit after tax)</t>
  </si>
  <si>
    <t>Change in WC (other than AR)</t>
  </si>
  <si>
    <t>Total payments</t>
  </si>
  <si>
    <t>Check vs Indirect Method</t>
  </si>
  <si>
    <t>Difference</t>
  </si>
  <si>
    <t>Peak Funding Requirement (while waiting for customer collection during DSO period)</t>
  </si>
  <si>
    <t>Payments before CY AR collection (during DSO period)</t>
  </si>
  <si>
    <t>Operating Expense</t>
  </si>
  <si>
    <t>Capex + Tool/Auto Co-Invest + Inter-Co Asset Transfer</t>
  </si>
  <si>
    <t>Total Payments during DSO Period</t>
  </si>
  <si>
    <t>AR C/Fwd fr PY (Collection)</t>
  </si>
  <si>
    <t>Cash C/Fwd fr PY</t>
  </si>
  <si>
    <t>Cash Available during DSO Period</t>
  </si>
  <si>
    <t>Peak funding requirement per Interim calculation</t>
  </si>
  <si>
    <t>Peak funding requirement per Annual calculation</t>
  </si>
  <si>
    <t>Peak Funding Requirement (Maximum Negative value between Interim vs Annual)</t>
  </si>
  <si>
    <t>6A</t>
  </si>
  <si>
    <t>Project Supporting Schedules</t>
  </si>
  <si>
    <t>Working Capital Schedule</t>
  </si>
  <si>
    <t>Tooling Recoverable</t>
  </si>
  <si>
    <t>Other Payables</t>
  </si>
  <si>
    <t>Net Working Capital (NWC)</t>
  </si>
  <si>
    <t>Change in NWC</t>
  </si>
  <si>
    <t>Depreciation Schedule</t>
  </si>
  <si>
    <t>PPE Gross Opening</t>
  </si>
  <si>
    <t>Plus Capex + Inter-Co Asset Transfer</t>
  </si>
  <si>
    <t>PPE Gross Closing</t>
  </si>
  <si>
    <t>Less Depreciation</t>
  </si>
  <si>
    <t>PPE NBV Closing</t>
  </si>
  <si>
    <t>Amortizatn in PNL (From CBD + Manual Input in sectn 3A)</t>
  </si>
  <si>
    <t>Unamortized Balance - Tool/Auto Co-Invest</t>
  </si>
  <si>
    <t>Debt &amp; Interest Schedule</t>
  </si>
  <si>
    <t>Debt Opening</t>
  </si>
  <si>
    <t>Issuance (repayment)</t>
  </si>
  <si>
    <t>Debt Closing</t>
  </si>
  <si>
    <t>Interest Expense</t>
  </si>
  <si>
    <t>Check - WC Schedule</t>
  </si>
  <si>
    <t>7A</t>
  </si>
  <si>
    <t>Project Return on Invested Capital</t>
  </si>
  <si>
    <t>ROIC Analysis</t>
  </si>
  <si>
    <t xml:space="preserve">Book Value of Debt </t>
  </si>
  <si>
    <t xml:space="preserve">Book Value of Equity </t>
  </si>
  <si>
    <t>Existing Fixed Assets in Production (NBV)</t>
  </si>
  <si>
    <t xml:space="preserve">Goodwill </t>
  </si>
  <si>
    <t xml:space="preserve">Cash </t>
  </si>
  <si>
    <t xml:space="preserve">Book Value of Invested Capital </t>
  </si>
  <si>
    <t>Proj Ave:</t>
  </si>
  <si>
    <t>No of Yrs Revenue:</t>
  </si>
  <si>
    <t>Profit after tax before interest - Project</t>
  </si>
  <si>
    <t>7B</t>
  </si>
  <si>
    <t>Project NPV, IRR and Payback</t>
  </si>
  <si>
    <t># of years cash flows are discounted</t>
  </si>
  <si>
    <t>Discount Factor</t>
  </si>
  <si>
    <t>Annual Undiscounted CF - Operating</t>
  </si>
  <si>
    <t>Annual Undiscounted CF - Investing</t>
  </si>
  <si>
    <t>Total Undiscounted CF (Op + Inv) - Annual</t>
  </si>
  <si>
    <t>Total Undiscounted CF (Op + Inv) - Cumulative</t>
  </si>
  <si>
    <t>Nominal Payback (from 1st yr of capex)</t>
  </si>
  <si>
    <t>Net Present Value (NPV) - Annual</t>
  </si>
  <si>
    <t>Project NPV - Cumulative</t>
  </si>
  <si>
    <t>NPV Payback (from 1st yr of capex)</t>
  </si>
  <si>
    <t>Discounted Value</t>
  </si>
  <si>
    <t>Net Present Value</t>
  </si>
  <si>
    <t>SOP Month</t>
  </si>
  <si>
    <t># Yrs ROI in Yr1</t>
  </si>
  <si>
    <t>IRR Rate</t>
  </si>
  <si>
    <t>9-12 mths revenue in yr1, therefore investment assume made earlier in the year/or prior yr</t>
  </si>
  <si>
    <t>Payback Period</t>
  </si>
  <si>
    <t>3-9 mths revenue in yr1, therefore assume around mid-year</t>
  </si>
  <si>
    <t>0-3 mths revenue in yr1, therefore investment assume made later in the year</t>
  </si>
  <si>
    <t>Month of SOP</t>
  </si>
  <si>
    <t>Years of Rev</t>
  </si>
  <si>
    <t>Peak Rev p.a.</t>
  </si>
  <si>
    <t>SOP MMYY</t>
  </si>
  <si>
    <t>Peak Funding Gap</t>
  </si>
  <si>
    <t>ROI Years</t>
  </si>
  <si>
    <t>Average WC</t>
  </si>
  <si>
    <t xml:space="preserve">Project: - </t>
  </si>
  <si>
    <t>Currency:</t>
  </si>
  <si>
    <t>Calendar Year</t>
  </si>
  <si>
    <t xml:space="preserve"> (standalone template)</t>
  </si>
  <si>
    <t>Project Income Statement</t>
  </si>
  <si>
    <t>R&amp;D (option to show separately)</t>
  </si>
  <si>
    <t>CONSOLIDATION TEMPLATE</t>
  </si>
  <si>
    <t>Volume (pcs)</t>
  </si>
  <si>
    <t>(For reference)</t>
  </si>
  <si>
    <t xml:space="preserve">Weighted Average Part Price (Ex-work) </t>
  </si>
  <si>
    <t>Inventory Days (DIO) Days:</t>
  </si>
  <si>
    <t>F1</t>
  </si>
  <si>
    <t>Raw Mat / PI / Packg (MOQ, Leadtime, Safety Stock)</t>
  </si>
  <si>
    <t>F2</t>
  </si>
  <si>
    <t>F3</t>
  </si>
  <si>
    <t>F4</t>
  </si>
  <si>
    <t>Inventory - RM/ PI/ Packg</t>
  </si>
  <si>
    <t>Inventory- WIP</t>
  </si>
  <si>
    <t>FGs - In-transit or Customer's req'mts (safety stock,VMI/HUB)</t>
  </si>
  <si>
    <t>Inventory FGs - Intransit &amp; Stock for Customer's req'mt</t>
  </si>
  <si>
    <t xml:space="preserve">Total Inventory </t>
  </si>
  <si>
    <t>ave    (For reference)</t>
  </si>
  <si>
    <t>Ave   (For reference)</t>
  </si>
  <si>
    <t>Introduction: SFP254 Pre-CER &amp; CER ROI Financial Evaluation</t>
  </si>
  <si>
    <t xml:space="preserve">b) Other inputs are entered directly in SFP254 template (PNL adjustments, inventory requirements, acct receivables, taxation, etc.). The integrated template provides a preliminary estimate of ROI &amp; Funding Gap for feasibility assessment or budgetary quote. </t>
  </si>
  <si>
    <r>
      <t xml:space="preserve">Please ensure </t>
    </r>
    <r>
      <rPr>
        <b/>
        <sz val="10"/>
        <rFont val="Arial"/>
        <family val="2"/>
      </rPr>
      <t>SOP Year and Month</t>
    </r>
    <r>
      <rPr>
        <sz val="10"/>
        <rFont val="Arial"/>
        <family val="2"/>
      </rPr>
      <t xml:space="preserve"> are entered (input field YYYY and MM located at the top header of the template) for all program. For Multi-Program projects, the SOP year and date must also be entered in the Consolidation Worksheet, and must be consistent for all programs within the project </t>
    </r>
  </si>
  <si>
    <t>G</t>
  </si>
  <si>
    <r>
      <rPr>
        <b/>
        <sz val="11"/>
        <color rgb="FF000000"/>
        <rFont val="Calibri"/>
        <family val="2"/>
      </rPr>
      <t>Site Finance Review</t>
    </r>
    <r>
      <rPr>
        <sz val="11"/>
        <color rgb="FF000000"/>
        <rFont val="Calibri"/>
        <family val="2"/>
      </rPr>
      <t xml:space="preserve">. SFP254 requires </t>
    </r>
    <r>
      <rPr>
        <b/>
        <sz val="11"/>
        <color rgb="FF000000"/>
        <rFont val="Calibri"/>
        <family val="2"/>
      </rPr>
      <t>Finance review and validation</t>
    </r>
    <r>
      <rPr>
        <sz val="11"/>
        <color rgb="FF000000"/>
        <rFont val="Calibri"/>
        <family val="2"/>
      </rPr>
      <t xml:space="preserve"> for binding quotes that requires capex commitment or amortization (refer to RFQ ALM) and prior to Leve; 3 review. </t>
    </r>
  </si>
  <si>
    <r>
      <t>1) SFP254 Multi-program template</t>
    </r>
    <r>
      <rPr>
        <sz val="11"/>
        <color rgb="FF000000"/>
        <rFont val="Calibri"/>
        <family val="2"/>
      </rPr>
      <t>, where you can consolidate multiple programs or Parts into a single financial evaluation.</t>
    </r>
  </si>
  <si>
    <r>
      <rPr>
        <b/>
        <sz val="10"/>
        <rFont val="Arial"/>
        <family val="2"/>
      </rPr>
      <t>Treatment of Tooling and Automation Lines</t>
    </r>
    <r>
      <rPr>
        <sz val="10"/>
        <rFont val="Arial"/>
        <family val="2"/>
      </rPr>
      <t xml:space="preserve">
The financial presentation of tooling and automation lines is subject to financial reporting standards/rules i.e. whether it is Tooling COS, Amortization Expense or Capex. Any deviations requires prior written exemption from CFO. The reporting standards are based on the ownership, contractual terms with customer, and operational application of the asset. See below for details.</t>
    </r>
  </si>
  <si>
    <r>
      <t xml:space="preserve">SFP254 Financial model is an adaptation of existing SFP251 Financial Model, after removing various functionalities in SFP251 that are rarely used. The calculation of ROI and Funding requirement (gap) is basically unchanged. </t>
    </r>
    <r>
      <rPr>
        <b/>
        <u/>
        <sz val="11"/>
        <color rgb="FF000000"/>
        <rFont val="Calibri"/>
        <family val="2"/>
      </rPr>
      <t>SFP254 will replace SFP251.</t>
    </r>
    <r>
      <rPr>
        <sz val="11"/>
        <color rgb="FF000000"/>
        <rFont val="Calibri"/>
        <family val="2"/>
      </rPr>
      <t xml:space="preserve">  The template is available in 3 file types:</t>
    </r>
  </si>
  <si>
    <r>
      <t>1) SFP254 Standalone template</t>
    </r>
    <r>
      <rPr>
        <sz val="11"/>
        <color rgb="FF000000"/>
        <rFont val="Calibri"/>
        <family val="2"/>
      </rPr>
      <t>, where all data input is made in the SFP254 template.</t>
    </r>
  </si>
  <si>
    <t xml:space="preserve">2) SFP254-CQSC Integrated template, where </t>
  </si>
  <si>
    <t>a) Revenue, cost, capex and tooling information are linked from the CQSC (standard template from Global Costing Team) and</t>
  </si>
  <si>
    <t xml:space="preserve">Multi-Program projects. You can consolidate the financial evaluation of multiple programs/Parts into a single statement using the SFP254_Multiprogram template. Simply insert a copy of the completed SFP254 for individual programs from the CQSC file and/or standalone template into the Consolidation template file. Insert the program level SFP254 in between worksheet "Bgn&gt;&gt;" and "&lt;&lt;End". The Consol worksheet will then pick-up data from all SFP254 worksheets in the range, and display the consolidated results, including the consolidated GP% and ROI  </t>
  </si>
  <si>
    <t>Calculation of # Yrs ROI in Yr1 (Using a scale based on the SOP month in the SOP year)</t>
  </si>
  <si>
    <t>(Consolidation Template)</t>
  </si>
  <si>
    <t>Financial Treatment</t>
  </si>
  <si>
    <t>Automation Line</t>
  </si>
  <si>
    <t>Tooling COS</t>
  </si>
  <si>
    <t>Capex, subject to CER approval</t>
  </si>
  <si>
    <t>Tooling, Molds, Jigs, Fixures</t>
  </si>
  <si>
    <t>Amortization Expense (Indirect COS)</t>
  </si>
  <si>
    <t>Application &amp; Contract Terms</t>
  </si>
  <si>
    <r>
      <rPr>
        <b/>
        <sz val="10"/>
        <color rgb="FF000000"/>
        <rFont val="Trebuchet MS"/>
        <family val="2"/>
      </rPr>
      <t>Program Specific</t>
    </r>
    <r>
      <rPr>
        <sz val="10"/>
        <color rgb="FF000000"/>
        <rFont val="Trebuchet MS"/>
        <family val="2"/>
      </rPr>
      <t>, and/or dedicated to specific customers</t>
    </r>
  </si>
  <si>
    <r>
      <rPr>
        <b/>
        <sz val="10"/>
        <rFont val="Trebuchet MS"/>
        <family val="2"/>
      </rPr>
      <t>Program Specific</t>
    </r>
    <r>
      <rPr>
        <sz val="10"/>
        <rFont val="Trebuchet MS"/>
        <family val="2"/>
      </rPr>
      <t xml:space="preserve">, and/or dedicated to specific customers.
Amortized in Parts price, pre-agreed Automation price &amp; amortization basis, customer </t>
    </r>
    <r>
      <rPr>
        <b/>
        <sz val="10"/>
        <rFont val="Trebuchet MS"/>
        <family val="2"/>
      </rPr>
      <t>Liability</t>
    </r>
    <r>
      <rPr>
        <sz val="10"/>
        <rFont val="Trebuchet MS"/>
        <family val="2"/>
      </rPr>
      <t xml:space="preserve"> for unamortized balance</t>
    </r>
  </si>
  <si>
    <r>
      <t xml:space="preserve">Amortized in Parts price, pre-agree Tool price &amp; amortization basis, customer </t>
    </r>
    <r>
      <rPr>
        <b/>
        <sz val="10"/>
        <rFont val="Trebuchet MS"/>
        <family val="2"/>
      </rPr>
      <t>Liability</t>
    </r>
    <r>
      <rPr>
        <sz val="10"/>
        <rFont val="Trebuchet MS"/>
        <family val="2"/>
      </rPr>
      <t xml:space="preserve"> for unamortized balance</t>
    </r>
  </si>
  <si>
    <r>
      <rPr>
        <b/>
        <sz val="10"/>
        <color rgb="FF000000"/>
        <rFont val="Trebuchet MS"/>
        <family val="2"/>
      </rPr>
      <t>All</t>
    </r>
    <r>
      <rPr>
        <sz val="10"/>
        <color rgb="FF000000"/>
        <rFont val="Trebuchet MS"/>
        <family val="2"/>
      </rPr>
      <t xml:space="preserve"> toolings, molds, jigs, fixures</t>
    </r>
    <r>
      <rPr>
        <b/>
        <sz val="10"/>
        <color rgb="FF000000"/>
        <rFont val="Trebuchet MS"/>
        <family val="2"/>
      </rPr>
      <t xml:space="preserve"> in general</t>
    </r>
  </si>
  <si>
    <t>Tooling COS. 
Exemption require Level 3 approval</t>
  </si>
  <si>
    <t>Amortization Expense (Indirect COS).
Exemption require Level 3 approval</t>
  </si>
  <si>
    <t>Year</t>
  </si>
  <si>
    <t>%</t>
  </si>
  <si>
    <t>$</t>
  </si>
  <si>
    <t>Tool Cost</t>
  </si>
  <si>
    <t>Completion &amp; Testing</t>
  </si>
  <si>
    <t>First of Tool</t>
  </si>
  <si>
    <t>PPAP Submission</t>
  </si>
  <si>
    <t>PPAP Approval</t>
  </si>
  <si>
    <t>SOP</t>
  </si>
  <si>
    <t>After SOP</t>
  </si>
  <si>
    <t>Total Phase 1</t>
  </si>
  <si>
    <t>Phase 2 (if applicable)</t>
  </si>
  <si>
    <t>After PPAP Approval</t>
  </si>
  <si>
    <t>Total Phase 2</t>
  </si>
  <si>
    <t>Note: Total must sum to 100% in both columns (Tool Cost &amp; Cost Recovery)</t>
  </si>
  <si>
    <t>I1</t>
  </si>
  <si>
    <t>Select Method:</t>
  </si>
  <si>
    <t>I2</t>
  </si>
  <si>
    <t>Milestone Calculation</t>
  </si>
  <si>
    <t>Tooling Max interim CF gap (Paymt vs milestone collection) on top of gap reflected in year-end Tool Recoverable bal.</t>
  </si>
  <si>
    <t>C1</t>
  </si>
  <si>
    <t>C2</t>
  </si>
  <si>
    <t>Investments (Capex + Tool/Auto Co-Investment), excluding Tool/Auto Deficit</t>
  </si>
  <si>
    <t>Inter-Co COGS - Profit Elimination, if any (+ credit)</t>
  </si>
  <si>
    <t>Cash Flow Projection for Tooling</t>
  </si>
  <si>
    <t>Enter Dates for each stage of Fabrication, and % of customer payment at each stage</t>
  </si>
  <si>
    <t>Cost Paid at each stage of Fabrication 
(Do not change)</t>
  </si>
  <si>
    <t>Dates of Fabrication Stages</t>
  </si>
  <si>
    <t>Phase 1: Stages of Fabrication</t>
  </si>
  <si>
    <t>Vendor Nomination</t>
  </si>
  <si>
    <t>Tooling Vendor PO / Materials PO</t>
  </si>
  <si>
    <t>CF for each Event</t>
  </si>
  <si>
    <t>CF in each Year</t>
  </si>
  <si>
    <t>Year the Event occurs in</t>
  </si>
  <si>
    <t>Net Cash Flow
 of Event</t>
  </si>
  <si>
    <t>Cumulative Net Cash Flow</t>
  </si>
  <si>
    <t>Enter Tool Cost (-) and Sale Price (+)</t>
  </si>
  <si>
    <t xml:space="preserve">Enter Customer Payment  % at each stage. Model will calculate $ Cost Recovery </t>
  </si>
  <si>
    <t>Cumulative up to each Year-End</t>
  </si>
  <si>
    <t>Incremental CF Gap during each Year 
(Cal of Peak Funding Gap)</t>
  </si>
  <si>
    <t>Tool Sale Price</t>
  </si>
  <si>
    <t>Tooling Recoverable -  Manual calculation (refer table in column AE:AL)</t>
  </si>
  <si>
    <t>Calculation of # Yrs ROI in Yr0 i.e. year investment is made prior to SOP Year (Using a scale based on the SOP month in the SOP year)</t>
  </si>
  <si>
    <t># Yrs ROI in Yr0</t>
  </si>
  <si>
    <t># Yrs of ROI in Yr0</t>
  </si>
  <si>
    <t>Project Investment - Capex</t>
  </si>
  <si>
    <t>Project Investment - Tool Deficit/Invest + Amortization (if any)</t>
  </si>
  <si>
    <r>
      <t xml:space="preserve">Tooling Deficit/Invest </t>
    </r>
    <r>
      <rPr>
        <sz val="10"/>
        <color theme="1"/>
        <rFont val="Arial Narrow"/>
        <family val="2"/>
      </rPr>
      <t>(Loss on Sale + Tool Investment, if any)</t>
    </r>
  </si>
  <si>
    <t>(+) means Deficit</t>
  </si>
  <si>
    <r>
      <t xml:space="preserve">Investment for Amortization Tool </t>
    </r>
    <r>
      <rPr>
        <sz val="10"/>
        <color theme="1"/>
        <rFont val="Arial Narrow"/>
        <family val="2"/>
      </rPr>
      <t>(amortization contracts only)</t>
    </r>
  </si>
  <si>
    <t>EBITper Pre-CER incl Tooling</t>
  </si>
  <si>
    <t>EBIT% Parts + Tooling Rev</t>
  </si>
  <si>
    <t>Wgt.Ave Depr.Life</t>
  </si>
  <si>
    <t>Capex</t>
  </si>
  <si>
    <t>Tool Deficit/Invest</t>
  </si>
  <si>
    <r>
      <t xml:space="preserve">Total Investment </t>
    </r>
    <r>
      <rPr>
        <sz val="10"/>
        <color theme="1"/>
        <rFont val="Arial Narrow"/>
        <family val="2"/>
      </rPr>
      <t>(Capex+Tooling Deficit/Invest+Amortization Tool)</t>
    </r>
  </si>
  <si>
    <t>Tooling Recoverable YE balance (Debit balances only)</t>
  </si>
  <si>
    <t>Part Price(Ex-work)</t>
  </si>
  <si>
    <r>
      <rPr>
        <b/>
        <sz val="10"/>
        <rFont val="Arial"/>
        <family val="2"/>
      </rPr>
      <t>Tooling COS</t>
    </r>
    <r>
      <rPr>
        <sz val="10"/>
        <rFont val="Arial"/>
        <family val="2"/>
      </rPr>
      <t xml:space="preserve"> (PNL). Tooling COS in the PNL is the default treatment of all Tooling cost and program specific automation line. The tooling or automation line is generally specific to program, and often owned by customer (purchased via PO). Due to the difficulties in repurposing program specific tools/automation to other programs, such expenditure are regarded as Tooling COS. For program specific automation line, classification as capex require CFO exemption approval.
Tooling COS (used to record tooling and automation line cost) must be </t>
    </r>
    <r>
      <rPr>
        <u/>
        <sz val="10"/>
        <rFont val="Arial"/>
        <family val="2"/>
      </rPr>
      <t>booked in PNL at PPAP</t>
    </r>
    <r>
      <rPr>
        <sz val="10"/>
        <rFont val="Arial"/>
        <family val="2"/>
      </rPr>
      <t xml:space="preserve"> together with any sales revenue fully paid by customer up to PPAP (usually as stated in PO). If Tooling is Loss making (cost is greater than customer price), then </t>
    </r>
    <r>
      <rPr>
        <u/>
        <sz val="10"/>
        <rFont val="Arial"/>
        <family val="2"/>
      </rPr>
      <t>Loss is recognized immediately</t>
    </r>
    <r>
      <rPr>
        <sz val="10"/>
        <rFont val="Arial"/>
        <family val="2"/>
      </rPr>
      <t xml:space="preserve"> upon acceptance of customer PO.</t>
    </r>
  </si>
  <si>
    <t>Asset Categories</t>
  </si>
  <si>
    <t>Standardized Depreciation Life</t>
  </si>
  <si>
    <t>Capex Items (examples)</t>
  </si>
  <si>
    <t>Select…</t>
  </si>
  <si>
    <t>Production Machines</t>
  </si>
  <si>
    <t>All production machines including Stamping, Molding, Plating, Cold Forging, Machining, etc. EXCLUDE accessories and ancillary equipment</t>
  </si>
  <si>
    <t>Production Ancillary Equipment</t>
  </si>
  <si>
    <t xml:space="preserve">Production machine accessories and ancillary equipment including feeders, </t>
  </si>
  <si>
    <t>Production Machine Overhauls / Major Maint.</t>
  </si>
  <si>
    <t xml:space="preserve">Overhauls of existing production machines, subject to criteria defined in SOP – Production Machines Maintenance &amp; Overhauls dd 15042022 </t>
  </si>
  <si>
    <t>Factory Equipment (Non-Production Machines)</t>
  </si>
  <si>
    <t>All factory machines and equipment other than Production Machines e.g. Overhead Cranes, Forklifts, Compressor, electricals, Aircon, material handling, storage, etc.</t>
  </si>
  <si>
    <t>Assembly &amp; Packaging Equipment</t>
  </si>
  <si>
    <t>Assembly lines and packaging related</t>
  </si>
  <si>
    <t>Automation Equipment</t>
  </si>
  <si>
    <t>Robots, Cobots, AI, cameras, camera tracks, Vision Systems, CCD Inspection, Coil scan vision, product inspection automation, etc.</t>
  </si>
  <si>
    <t>Leasehold Land</t>
  </si>
  <si>
    <t>Leasehold land and building</t>
  </si>
  <si>
    <t>Building Improvement / Renovations</t>
  </si>
  <si>
    <t>All improvements &amp; renovations made to existing building / facilities (both freehold and leasehold)</t>
  </si>
  <si>
    <t>R&amp;D Equipment &amp; Measuring Devises</t>
  </si>
  <si>
    <t>Lab/research eqpt, facilities, Gauges, callipers, 3Dlaser scan, 2D scan, VMM/ CMM, in-process comparators, Anodizing Layer hardness Checker, Magnification Scope, IMM measuring equipment, Smartscope for OHC &amp; CA operations, Speed measuring projector,  Surface Roughness Measuring eqpt, Keyence's inspection units.</t>
  </si>
  <si>
    <t>Computer Hware &amp; Software</t>
  </si>
  <si>
    <t>All computer hardwares and softwares</t>
  </si>
  <si>
    <t>Vehicles</t>
  </si>
  <si>
    <t>All vehicles</t>
  </si>
  <si>
    <t>Asset Transfer between Sites</t>
  </si>
  <si>
    <t>All production machines asset transfers between Sites</t>
  </si>
  <si>
    <t>Tooling COS from customer tooling sale or amortization (-)</t>
  </si>
  <si>
    <t>Translation of Section 1 from Site Currency to USD</t>
  </si>
  <si>
    <t>Replica of Section 1. Project Summary in USD (in case Site Currency is not USD). Input exchange rate of USD to Site Currency in the Exchange Rate field (on the right)</t>
  </si>
  <si>
    <t>Presentation Currency</t>
  </si>
  <si>
    <t>USD</t>
  </si>
  <si>
    <t>Site Currency:</t>
  </si>
  <si>
    <t>Insert Exchange Rate from Site Currency to USD, if currency is different</t>
  </si>
  <si>
    <t>EBITDA% of total revenue (Parts + Tooling)</t>
  </si>
  <si>
    <t>EBIT% of total revenue (Parts + Tooling)</t>
  </si>
  <si>
    <t>Cumulative CF Ops+Investmt (Proj only)</t>
  </si>
  <si>
    <t>Charts for Presentation in USD (Optional)</t>
  </si>
  <si>
    <t>Working Capital (Year-end balance)</t>
  </si>
  <si>
    <t>Cash Flows (USD)</t>
  </si>
  <si>
    <t>PNL (USD)</t>
  </si>
  <si>
    <t>Working Capital (USD)</t>
  </si>
  <si>
    <t>REVENUE - Parts only</t>
  </si>
  <si>
    <t>Cumulative CF Ops+Investmt (Nominal)</t>
  </si>
  <si>
    <t>Project PNL (USD)</t>
  </si>
  <si>
    <t>Project Cash Flows (USD)</t>
  </si>
  <si>
    <t>Project Working Capital (USD)</t>
  </si>
  <si>
    <t>Cumulative CF Ops+Investmt (Present Value)</t>
  </si>
  <si>
    <t>Net Working Capital (Year-end balance)</t>
  </si>
  <si>
    <t>Charts for Presentation in USD</t>
  </si>
  <si>
    <t>Summary Scorecard for Prsentation</t>
  </si>
  <si>
    <t>Operating Cash Flow (PNL, Tool &amp; WC)</t>
  </si>
  <si>
    <t>Investing Cash Flow (Capex)</t>
  </si>
  <si>
    <t xml:space="preserve">Inventory </t>
  </si>
  <si>
    <t>Note: USD Presentatn in Sectn 9, Charts in Sectn 10</t>
  </si>
  <si>
    <r>
      <t xml:space="preserve">Number of Days in 1st Yr of revenue. </t>
    </r>
    <r>
      <rPr>
        <sz val="8"/>
        <color theme="1"/>
        <rFont val="Arial Narrow"/>
        <family val="2"/>
      </rPr>
      <t>(Note: Always input 1 day in preceding year)</t>
    </r>
  </si>
  <si>
    <t>Revenue (Parts)</t>
  </si>
  <si>
    <t>EBITDA (Parts+Tool)</t>
  </si>
  <si>
    <t>Parts COPA%</t>
  </si>
  <si>
    <t>Parts GP%</t>
  </si>
  <si>
    <t>EBITDA% Rev(Parts+Tool)</t>
  </si>
  <si>
    <t>EBIT% Rev(Parts+Tool)</t>
  </si>
  <si>
    <t>Inter-Company purchases. If your project includes purchases between different ENNOVI/Interplex Sites (parts, components or tooling/automation), please use the standard cost when preparing the SFP254 model (not the inter-co selling price). The standard cost can be obtained from the site. This will ensure inter-co mark-ups are not compounded into the final total cost of the program.</t>
  </si>
  <si>
    <t>Generic application, technically and commercially practical to change over to other programs. Asset ownership by ENNOVI/Interplex</t>
  </si>
  <si>
    <t xml:space="preserve">Amortization Expense, apportioned based on years or volume. This expense is recognized in Indirect COS in the Parts PNL. Customer Tool/Automation contractual terms must satisfy these criteria. 
1. Customer has agreed to Tool/Automation Selling Price and Amortization basis in writing (e.g. in PO or Purchase Contract)
2. Amortization (including relevant mark-up) has been factored into Part Price
3. Customer have contractual Liability for payment of any unamortized balance  
4. ENNOVI/Interplex retain custody and control of the physical asset until fully amortized (paid by customer). Refer Baseline Quotation Template 2.0 Amortization.
If criteria not met, cost of customer's tooling must be recorded in Tooling COS PNL upon PPAP or PO acceptance (if loss making project). Deviation requires CFO's prior written exemption. Quotations with amortization terms required Level 3 RFQ approval (if Cost &gt; $500K per RFQ ALM). Amortization period should not exceed 3 years from SOP or max 5 years (for v.large &amp; strategic programs). Cost must be fully amortized or otherwise, paid-up by customer. </t>
  </si>
  <si>
    <t>Capex. To qualify as Capex, the expenditures (production machines, generic automation*, etc.) must satisfy these criteria:
1. ENNOVI/Interplex has legal ownership, custody and control of the asset
2. Asset must be a physically identifiable item, used to generate income with useful life of min 2 years (e.g. machine/ automation, building, infrastructure, etc.) 
3. Asset has high generic design content and application i.e. suitable for use or change over to other programs in site's core business
4. ENNOVI/Interplex has the right to use the asset for any customers or programs, if practicable
Any deviation requires CFO prior written exemption. An approved CER must be obtained for all capex.
*For program specific automation line, classification as capex require CFO exemption approval (default treatment is Tooling COS).</t>
  </si>
  <si>
    <t>ENNOVI/Interplex proprietary tooling (presss-fit)</t>
  </si>
  <si>
    <t>ENNOVI/Interplex owned tooling for proprietary or standard catalog products only (avail to all customers, non-program specific)</t>
  </si>
  <si>
    <t>ENNOVI/Interplex Production Site:</t>
  </si>
  <si>
    <t>Inventory FGs - Stock for ENNOVI/Interplex's req'mt</t>
  </si>
  <si>
    <t>FGs - Stock held at Site due to ENNOVI/Interplex requirements</t>
  </si>
  <si>
    <t>Tooling COS from ENNOVI/Interplex's Investment (-)</t>
  </si>
  <si>
    <t>ENNOVI/Interplex Co-Investment in Tool/Auto</t>
  </si>
  <si>
    <t>Expenditure Paid by ENNOVI/Interplex</t>
  </si>
  <si>
    <r>
      <t>SFP#254 v1.5</t>
    </r>
    <r>
      <rPr>
        <b/>
        <sz val="14"/>
        <color theme="1"/>
        <rFont val="等线"/>
        <family val="2"/>
        <scheme val="minor"/>
      </rPr>
      <t>_16-04-2024</t>
    </r>
  </si>
  <si>
    <t>OK,Fully Amortized</t>
  </si>
  <si>
    <t>Inventory FGs - Stock for Interplex's req'mt</t>
  </si>
  <si>
    <t>IRR: 13.8%</t>
  </si>
  <si>
    <t>WACC@15%</t>
  </si>
  <si>
    <t>CPCF Multiple: 0.4x</t>
  </si>
  <si>
    <t>Not imputed in ROI</t>
  </si>
  <si>
    <t>Annual Funding Gap</t>
  </si>
  <si>
    <t>Useful Life@10yrs</t>
  </si>
  <si>
    <t>NA</t>
    <phoneticPr fontId="157" type="noConversion"/>
  </si>
  <si>
    <t>EXCEPTIONAL CONDITIONS</t>
  </si>
  <si>
    <t>Safety</t>
  </si>
  <si>
    <t>Customer forecast</t>
  </si>
  <si>
    <t>VOLUME VALIDATION</t>
  </si>
  <si>
    <t>ROI</t>
  </si>
  <si>
    <t>% of Total</t>
  </si>
  <si>
    <r>
      <t>§</t>
    </r>
    <r>
      <rPr>
        <sz val="12"/>
        <color rgb="FF000000"/>
        <rFont val="Calibri"/>
        <family val="2"/>
      </rPr>
      <t>ENNOVI CAPEX</t>
    </r>
  </si>
  <si>
    <r>
      <t>§</t>
    </r>
    <r>
      <rPr>
        <sz val="12"/>
        <color rgb="FF000000"/>
        <rFont val="Calibri"/>
        <family val="2"/>
      </rPr>
      <t>CUSTOMER PAID</t>
    </r>
  </si>
  <si>
    <t>% of LTR</t>
  </si>
  <si>
    <t>TOTAL INVESTMENT</t>
  </si>
  <si>
    <t>NPV</t>
  </si>
  <si>
    <t>Years of Rev: 5 yrs</t>
  </si>
  <si>
    <t>EBITDA %</t>
  </si>
  <si>
    <t>EBITDA $</t>
  </si>
  <si>
    <t>GP%</t>
  </si>
  <si>
    <t>GP MARGIN $</t>
  </si>
  <si>
    <t>InUSD</t>
    <phoneticPr fontId="157" type="noConversion"/>
  </si>
  <si>
    <t>LTR ($M)</t>
  </si>
  <si>
    <t>Exchange rate:</t>
    <phoneticPr fontId="157" type="noConversion"/>
  </si>
  <si>
    <t>3.2 yrs</t>
  </si>
  <si>
    <t>VOLUME VALIDATION</t>
    <phoneticPr fontId="157" type="noConversion"/>
  </si>
  <si>
    <t>Combine</t>
    <phoneticPr fontId="157" type="noConversion"/>
  </si>
  <si>
    <t>Total</t>
    <phoneticPr fontId="157" type="noConversion"/>
  </si>
  <si>
    <t>3 yrs</t>
  </si>
  <si>
    <t>4.3 yrs</t>
  </si>
  <si>
    <t>1092161-10</t>
  </si>
  <si>
    <t>3.9 yrs</t>
  </si>
  <si>
    <t>No Full Recovery</t>
  </si>
  <si>
    <t>1089319-10</t>
  </si>
  <si>
    <t>EBITDA%</t>
  </si>
  <si>
    <t>GP%</t>
    <phoneticPr fontId="157" type="noConversion"/>
  </si>
  <si>
    <t>CAPEX</t>
    <phoneticPr fontId="157" type="noConversion"/>
  </si>
  <si>
    <t>TL</t>
    <phoneticPr fontId="157" type="noConversion"/>
  </si>
  <si>
    <t xml:space="preserve">Total LTR </t>
  </si>
  <si>
    <t>Proposal Price USD</t>
    <phoneticPr fontId="157" type="noConversion"/>
  </si>
  <si>
    <t>Currency</t>
  </si>
  <si>
    <t>Part Description</t>
  </si>
  <si>
    <t>CM</t>
    <phoneticPr fontId="157" type="noConversion"/>
  </si>
  <si>
    <t>Normal</t>
    <phoneticPr fontId="157" type="noConversion"/>
  </si>
  <si>
    <t>Site Currency CNY</t>
  </si>
  <si>
    <t>NPI</t>
  </si>
  <si>
    <t xml:space="preserve">EBITDA </t>
  </si>
  <si>
    <t>Overall GP%</t>
  </si>
  <si>
    <t>Overall GP</t>
  </si>
  <si>
    <t xml:space="preserve">Ennovi Investment </t>
  </si>
  <si>
    <t xml:space="preserve">Customer Investment </t>
  </si>
  <si>
    <t>Last Yr Selling Price per piece</t>
  </si>
  <si>
    <t>Mfg. Cost per piece</t>
  </si>
  <si>
    <t>InUSD</t>
  </si>
  <si>
    <t>M</t>
    <phoneticPr fontId="15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</si>
</sst>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3" formatCode="_ * #,##0.00_ ;_ * \-#,##0.00_ ;_ * &quot;-&quot;??_ ;_ @_ "/>
    <numFmt numFmtId="24" formatCode="\$#,##0_);[Red]\(\$#,##0\)"/>
    <numFmt numFmtId="26" formatCode="\$#,##0.00_);[Red]\(\$#,##0.00\)"/>
    <numFmt numFmtId="176" formatCode="_-&quot;$&quot;* #,##0.00_-;\-&quot;$&quot;* #,##0.00_-;_-&quot;$&quot;* &quot;-&quot;??_-;_-@_-"/>
    <numFmt numFmtId="177" formatCode="_-* #,##0.00_-;\-* #,##0.00_-;_-* &quot;-&quot;??_-;_-@_-"/>
    <numFmt numFmtId="178" formatCode="_(&quot;$&quot;* #,##0_);[Red]_(* \(&quot;$&quot;#,##0\);_(* &quot;-&quot;??_);_(@_)"/>
    <numFmt numFmtId="179" formatCode="_-* #,##0_-;\(#,##0\)_-;_-* &quot;-&quot;_-;_-@_-"/>
    <numFmt numFmtId="180" formatCode="0.0%;[Red]\-0.0%;\-"/>
    <numFmt numFmtId="181" formatCode="0.0%"/>
    <numFmt numFmtId="182" formatCode="_-* #,##0.00_-;\(#,##0.00\)_-;_-* &quot;-&quot;_-;_-@_-"/>
    <numFmt numFmtId="183" formatCode="_-&quot;$&quot;* #,##0_-;\-&quot;$&quot;* #,##0_-;_-&quot;$&quot;* &quot;-&quot;??_-;_-@_-"/>
    <numFmt numFmtId="184" formatCode="_-* #,##0.0_-;\-* #,##0.0_-;_-* &quot;-&quot;??_-;_-@_-"/>
    <numFmt numFmtId="185" formatCode="_-* #,##0_-;\-* #,##0_-;_-* &quot;-&quot;??_-;_-@_-"/>
    <numFmt numFmtId="186" formatCode="0.0"/>
    <numFmt numFmtId="187" formatCode="0.0000_ ;\-0.0000\ "/>
    <numFmt numFmtId="188" formatCode="0.000"/>
    <numFmt numFmtId="189" formatCode="_-* &quot;$&quot;#,##0,\ _-;[Red]* \(&quot;$&quot;#,##0,\)_-;_-* &quot;-&quot;??_-;_-@_-"/>
    <numFmt numFmtId="190" formatCode="_(* #,##0.00_);_(* \(#,##0.00\);_(* &quot;-&quot;??_);_(@_)"/>
    <numFmt numFmtId="191" formatCode="_(* #,##0_);_(* \(#,##0\);_(* &quot;-&quot;??_);_(@_)"/>
    <numFmt numFmtId="192" formatCode="0.00_);[Red]\(0.00\)"/>
    <numFmt numFmtId="193" formatCode="#,##0_ ;[Red]\-#,##0\ "/>
    <numFmt numFmtId="194" formatCode="0.0000"/>
    <numFmt numFmtId="195" formatCode="#,##0.00_ ;[Red]\-#,##0.00\ "/>
    <numFmt numFmtId="196" formatCode="_-* #,##0.0_-;\(#,##0.0\)_-;_-* &quot;-&quot;_-;_-@_-"/>
    <numFmt numFmtId="197" formatCode="#,##0.0000_ ;[Red]\-#,##0.0000\ "/>
    <numFmt numFmtId="198" formatCode="\$\ 0.00&quot;M&quot;"/>
  </numFmts>
  <fonts count="165" x14ac:knownFonts="1">
    <font>
      <sz val="10"/>
      <name val="Arial"/>
      <family val="2"/>
    </font>
    <font>
      <sz val="11"/>
      <color theme="1"/>
      <name val="等线"/>
      <family val="2"/>
      <charset val="134"/>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b/>
      <sz val="11"/>
      <color theme="1"/>
      <name val="等线"/>
      <family val="2"/>
      <scheme val="minor"/>
    </font>
    <font>
      <sz val="11"/>
      <color theme="0"/>
      <name val="等线"/>
      <family val="2"/>
      <scheme val="minor"/>
    </font>
    <font>
      <sz val="11"/>
      <color theme="1"/>
      <name val="Arial Narrow"/>
      <family val="2"/>
    </font>
    <font>
      <b/>
      <sz val="14"/>
      <color theme="1"/>
      <name val="等线"/>
      <family val="2"/>
      <scheme val="minor"/>
    </font>
    <font>
      <b/>
      <sz val="18"/>
      <color theme="1"/>
      <name val="等线"/>
      <family val="2"/>
      <scheme val="minor"/>
    </font>
    <font>
      <b/>
      <sz val="11"/>
      <name val="Arial Narrow"/>
      <family val="2"/>
    </font>
    <font>
      <b/>
      <sz val="10"/>
      <name val="Arial Narrow"/>
      <family val="2"/>
    </font>
    <font>
      <sz val="9"/>
      <color theme="1"/>
      <name val="等线"/>
      <family val="2"/>
      <scheme val="minor"/>
    </font>
    <font>
      <i/>
      <sz val="11"/>
      <color theme="1"/>
      <name val="等线"/>
      <family val="2"/>
      <scheme val="minor"/>
    </font>
    <font>
      <i/>
      <sz val="11"/>
      <color theme="1"/>
      <name val="Arial Narrow"/>
      <family val="2"/>
    </font>
    <font>
      <sz val="8"/>
      <name val="等线"/>
      <family val="2"/>
      <scheme val="minor"/>
    </font>
    <font>
      <b/>
      <sz val="8"/>
      <name val="等线"/>
      <family val="2"/>
      <scheme val="minor"/>
    </font>
    <font>
      <sz val="11"/>
      <color theme="0" tint="-0.499984740745262"/>
      <name val="等线"/>
      <family val="2"/>
      <scheme val="minor"/>
    </font>
    <font>
      <sz val="10"/>
      <color theme="1" tint="0.499984740745262"/>
      <name val="等线"/>
      <family val="2"/>
      <scheme val="minor"/>
    </font>
    <font>
      <sz val="10"/>
      <color theme="0" tint="-0.34998626667073579"/>
      <name val="等线"/>
      <family val="2"/>
      <scheme val="minor"/>
    </font>
    <font>
      <sz val="12"/>
      <color theme="1"/>
      <name val="Arial Narrow"/>
      <family val="2"/>
    </font>
    <font>
      <b/>
      <sz val="12"/>
      <color rgb="FFFFFF00"/>
      <name val="Arial Narrow"/>
      <family val="2"/>
    </font>
    <font>
      <b/>
      <sz val="12"/>
      <color theme="0"/>
      <name val="Arial Narrow"/>
      <family val="2"/>
    </font>
    <font>
      <b/>
      <sz val="14"/>
      <name val="Arial Narrow"/>
      <family val="2"/>
    </font>
    <font>
      <b/>
      <sz val="14"/>
      <color theme="0"/>
      <name val="Arial Narrow"/>
      <family val="2"/>
    </font>
    <font>
      <b/>
      <sz val="16"/>
      <color theme="0"/>
      <name val="Arial Narrow"/>
      <family val="2"/>
    </font>
    <font>
      <b/>
      <sz val="9"/>
      <color theme="0"/>
      <name val="Arial Narrow"/>
      <family val="2"/>
    </font>
    <font>
      <b/>
      <u val="singleAccounting"/>
      <sz val="12"/>
      <color theme="1"/>
      <name val="Arial Narrow"/>
      <family val="2"/>
    </font>
    <font>
      <b/>
      <sz val="11"/>
      <color rgb="FF2103FB"/>
      <name val="Arial Narrow"/>
      <family val="2"/>
    </font>
    <font>
      <i/>
      <sz val="12"/>
      <color theme="1"/>
      <name val="Arial Narrow"/>
      <family val="2"/>
    </font>
    <font>
      <b/>
      <sz val="12"/>
      <color indexed="8"/>
      <name val="Arial Narrow"/>
      <family val="2"/>
    </font>
    <font>
      <sz val="11"/>
      <color theme="1" tint="0.34998626667073579"/>
      <name val="Arial Narrow"/>
      <family val="2"/>
    </font>
    <font>
      <b/>
      <sz val="12"/>
      <name val="Arial Narrow"/>
      <family val="2"/>
    </font>
    <font>
      <sz val="10"/>
      <color theme="1"/>
      <name val="Arial Narrow"/>
      <family val="2"/>
    </font>
    <font>
      <sz val="12"/>
      <color indexed="8"/>
      <name val="Arial Narrow"/>
      <family val="2"/>
    </font>
    <font>
      <sz val="10"/>
      <name val="Arial Narrow"/>
      <family val="2"/>
    </font>
    <font>
      <sz val="10"/>
      <color theme="1"/>
      <name val="等线"/>
      <family val="2"/>
      <scheme val="minor"/>
    </font>
    <font>
      <sz val="12"/>
      <name val="Arial Narrow"/>
      <family val="2"/>
    </font>
    <font>
      <b/>
      <sz val="12"/>
      <color theme="1"/>
      <name val="Arial Narrow"/>
      <family val="2"/>
    </font>
    <font>
      <u val="singleAccounting"/>
      <sz val="12"/>
      <color indexed="8"/>
      <name val="Arial Narrow"/>
      <family val="2"/>
    </font>
    <font>
      <b/>
      <sz val="12"/>
      <color rgb="FF008000"/>
      <name val="Arial Narrow"/>
      <family val="2"/>
    </font>
    <font>
      <sz val="12"/>
      <color theme="1"/>
      <name val="等线"/>
      <family val="2"/>
      <scheme val="minor"/>
    </font>
    <font>
      <b/>
      <sz val="12"/>
      <color rgb="FFC00000"/>
      <name val="Arial Narrow"/>
      <family val="2"/>
    </font>
    <font>
      <sz val="12"/>
      <name val="宋体"/>
      <family val="3"/>
      <charset val="134"/>
    </font>
    <font>
      <sz val="11"/>
      <color rgb="FF0000FF"/>
      <name val="Arial Narrow"/>
      <family val="2"/>
    </font>
    <font>
      <sz val="11"/>
      <name val="等线"/>
      <family val="2"/>
      <scheme val="minor"/>
    </font>
    <font>
      <sz val="12"/>
      <color theme="1" tint="0.34998626667073579"/>
      <name val="Arial Narrow"/>
      <family val="2"/>
    </font>
    <font>
      <sz val="9"/>
      <color theme="1"/>
      <name val="Arial Narrow"/>
      <family val="2"/>
    </font>
    <font>
      <b/>
      <sz val="10"/>
      <color theme="1"/>
      <name val="Arial Narrow"/>
      <family val="2"/>
    </font>
    <font>
      <sz val="12"/>
      <color rgb="FF2103FB"/>
      <name val="Arial Narrow"/>
      <family val="2"/>
    </font>
    <font>
      <sz val="12"/>
      <color theme="0" tint="-4.9989318521683403E-2"/>
      <name val="Arial Narrow"/>
      <family val="2"/>
    </font>
    <font>
      <sz val="12"/>
      <color theme="0" tint="-0.249977111117893"/>
      <name val="Arial Narrow"/>
      <family val="2"/>
    </font>
    <font>
      <sz val="10"/>
      <name val="Arial"/>
      <family val="2"/>
    </font>
    <font>
      <sz val="9"/>
      <name val="Arial Narrow"/>
      <family val="2"/>
    </font>
    <font>
      <b/>
      <sz val="12"/>
      <color rgb="FFFF0000"/>
      <name val="Arial Narrow"/>
      <family val="2"/>
    </font>
    <font>
      <sz val="9"/>
      <color theme="1" tint="0.499984740745262"/>
      <name val="Arial Narrow"/>
      <family val="2"/>
    </font>
    <font>
      <sz val="11"/>
      <color theme="1" tint="0.499984740745262"/>
      <name val="等线"/>
      <family val="2"/>
      <scheme val="minor"/>
    </font>
    <font>
      <sz val="11"/>
      <color theme="0" tint="-4.9989318521683403E-2"/>
      <name val="等线"/>
      <family val="2"/>
      <scheme val="minor"/>
    </font>
    <font>
      <i/>
      <sz val="10"/>
      <color theme="1"/>
      <name val="等线"/>
      <family val="2"/>
      <scheme val="minor"/>
    </font>
    <font>
      <i/>
      <sz val="10"/>
      <color theme="0" tint="-4.9989318521683403E-2"/>
      <name val="等线"/>
      <family val="2"/>
      <scheme val="minor"/>
    </font>
    <font>
      <i/>
      <sz val="10"/>
      <color theme="1"/>
      <name val="Arial Narrow"/>
      <family val="2"/>
    </font>
    <font>
      <i/>
      <sz val="10"/>
      <name val="Arial Narrow"/>
      <family val="2"/>
    </font>
    <font>
      <sz val="11"/>
      <color theme="0" tint="-0.34998626667073579"/>
      <name val="等线"/>
      <family val="2"/>
      <scheme val="minor"/>
    </font>
    <font>
      <sz val="11"/>
      <name val="Arial Narrow"/>
      <family val="2"/>
    </font>
    <font>
      <u/>
      <sz val="11"/>
      <color theme="1"/>
      <name val="等线"/>
      <family val="2"/>
      <scheme val="minor"/>
    </font>
    <font>
      <sz val="11"/>
      <color rgb="FFFF0000"/>
      <name val="Arial Narrow"/>
      <family val="2"/>
    </font>
    <font>
      <b/>
      <sz val="12"/>
      <color rgb="FF2103FB"/>
      <name val="Arial Narrow"/>
      <family val="2"/>
    </font>
    <font>
      <i/>
      <sz val="12"/>
      <color theme="1" tint="0.499984740745262"/>
      <name val="Arial Narrow"/>
      <family val="2"/>
    </font>
    <font>
      <b/>
      <u val="singleAccounting"/>
      <sz val="12"/>
      <color rgb="FF2103FB"/>
      <name val="Arial Narrow"/>
      <family val="2"/>
    </font>
    <font>
      <i/>
      <sz val="12"/>
      <color theme="0" tint="-0.34998626667073579"/>
      <name val="Arial Narrow"/>
      <family val="2"/>
    </font>
    <font>
      <i/>
      <sz val="10"/>
      <color theme="0" tint="-0.34998626667073579"/>
      <name val="Arial Narrow"/>
      <family val="2"/>
    </font>
    <font>
      <sz val="12"/>
      <color theme="1" tint="0.499984740745262"/>
      <name val="Arial Narrow"/>
      <family val="2"/>
    </font>
    <font>
      <b/>
      <sz val="10"/>
      <color theme="1"/>
      <name val="Open Sans"/>
      <family val="2"/>
    </font>
    <font>
      <b/>
      <sz val="10"/>
      <name val="Open Sans"/>
      <family val="2"/>
    </font>
    <font>
      <sz val="10"/>
      <color theme="1"/>
      <name val="Open Sans"/>
      <family val="2"/>
    </font>
    <font>
      <sz val="10"/>
      <name val="Open Sans"/>
      <family val="2"/>
    </font>
    <font>
      <sz val="10"/>
      <color rgb="FF2103FB"/>
      <name val="Open Sans"/>
      <family val="2"/>
    </font>
    <font>
      <u/>
      <sz val="11"/>
      <color theme="10"/>
      <name val="等线"/>
      <family val="2"/>
      <scheme val="minor"/>
    </font>
    <font>
      <u/>
      <sz val="12"/>
      <color rgb="FF0070C0"/>
      <name val="等线"/>
      <family val="2"/>
      <scheme val="minor"/>
    </font>
    <font>
      <sz val="11"/>
      <color theme="1"/>
      <name val="Open Sans"/>
      <family val="2"/>
    </font>
    <font>
      <b/>
      <sz val="10"/>
      <color theme="0"/>
      <name val="Open Sans"/>
      <family val="2"/>
    </font>
    <font>
      <b/>
      <sz val="10"/>
      <color theme="0"/>
      <name val="Arial Narrow"/>
      <family val="2"/>
    </font>
    <font>
      <b/>
      <u/>
      <sz val="11"/>
      <color theme="1"/>
      <name val="等线"/>
      <family val="2"/>
      <scheme val="minor"/>
    </font>
    <font>
      <sz val="12"/>
      <color indexed="81"/>
      <name val="Tahoma"/>
      <family val="2"/>
    </font>
    <font>
      <b/>
      <sz val="12"/>
      <color indexed="81"/>
      <name val="Tahoma"/>
      <family val="2"/>
    </font>
    <font>
      <sz val="11"/>
      <color indexed="81"/>
      <name val="Tahoma"/>
      <family val="2"/>
    </font>
    <font>
      <b/>
      <sz val="11"/>
      <color indexed="81"/>
      <name val="Tahoma"/>
      <family val="2"/>
    </font>
    <font>
      <b/>
      <sz val="9"/>
      <color indexed="81"/>
      <name val="Tahoma"/>
      <family val="2"/>
    </font>
    <font>
      <sz val="9"/>
      <color indexed="81"/>
      <name val="Tahoma"/>
      <family val="2"/>
    </font>
    <font>
      <sz val="10"/>
      <color indexed="81"/>
      <name val="Tahoma"/>
      <family val="2"/>
    </font>
    <font>
      <b/>
      <sz val="10"/>
      <color indexed="81"/>
      <name val="Tahoma"/>
      <family val="2"/>
    </font>
    <font>
      <b/>
      <u/>
      <sz val="11"/>
      <color indexed="81"/>
      <name val="Tahoma"/>
      <family val="2"/>
    </font>
    <font>
      <b/>
      <sz val="9"/>
      <name val="Arial Narrow"/>
      <family val="2"/>
    </font>
    <font>
      <b/>
      <sz val="14"/>
      <color theme="0"/>
      <name val="等线"/>
      <family val="2"/>
      <scheme val="minor"/>
    </font>
    <font>
      <sz val="14"/>
      <color theme="0"/>
      <name val="等线"/>
      <family val="2"/>
      <scheme val="minor"/>
    </font>
    <font>
      <sz val="10"/>
      <color theme="0"/>
      <name val="等线"/>
      <family val="2"/>
      <scheme val="minor"/>
    </font>
    <font>
      <sz val="10"/>
      <color rgb="FFFF0000"/>
      <name val="等线"/>
      <family val="2"/>
      <scheme val="minor"/>
    </font>
    <font>
      <u/>
      <sz val="10"/>
      <color indexed="81"/>
      <name val="Tahoma"/>
      <family val="2"/>
    </font>
    <font>
      <u/>
      <sz val="11"/>
      <color indexed="81"/>
      <name val="Tahoma"/>
      <family val="2"/>
    </font>
    <font>
      <sz val="11"/>
      <name val="Arial"/>
      <family val="2"/>
    </font>
    <font>
      <b/>
      <sz val="10"/>
      <name val="Arial"/>
      <family val="2"/>
    </font>
    <font>
      <u/>
      <sz val="10"/>
      <name val="Arial"/>
      <family val="2"/>
    </font>
    <font>
      <b/>
      <u/>
      <sz val="11"/>
      <color rgb="FF000000"/>
      <name val="Calibri"/>
      <family val="2"/>
    </font>
    <font>
      <sz val="11"/>
      <color rgb="FF000000"/>
      <name val="Calibri"/>
      <family val="2"/>
    </font>
    <font>
      <b/>
      <sz val="11"/>
      <color rgb="FF000000"/>
      <name val="Calibri"/>
      <family val="2"/>
    </font>
    <font>
      <sz val="10"/>
      <color rgb="FF000000"/>
      <name val="Trebuchet MS"/>
      <family val="2"/>
    </font>
    <font>
      <b/>
      <sz val="10"/>
      <color rgb="FFFFFFFF"/>
      <name val="Trebuchet MS"/>
      <family val="2"/>
    </font>
    <font>
      <b/>
      <sz val="11"/>
      <color rgb="FFFFFFFF"/>
      <name val="Trebuchet MS"/>
      <family val="2"/>
    </font>
    <font>
      <sz val="10"/>
      <name val="Trebuchet MS"/>
      <family val="2"/>
    </font>
    <font>
      <b/>
      <sz val="10"/>
      <color rgb="FF000000"/>
      <name val="Trebuchet MS"/>
      <family val="2"/>
    </font>
    <font>
      <b/>
      <sz val="10"/>
      <name val="Trebuchet MS"/>
      <family val="2"/>
    </font>
    <font>
      <b/>
      <sz val="11"/>
      <color theme="0"/>
      <name val="等线"/>
      <family val="2"/>
      <scheme val="minor"/>
    </font>
    <font>
      <sz val="10"/>
      <name val="Times New Roman"/>
      <family val="1"/>
    </font>
    <font>
      <sz val="11"/>
      <name val="Trebuchet MS"/>
      <family val="2"/>
    </font>
    <font>
      <b/>
      <sz val="11"/>
      <name val="等线"/>
      <family val="2"/>
      <scheme val="minor"/>
    </font>
    <font>
      <b/>
      <u/>
      <sz val="11"/>
      <color theme="1"/>
      <name val="Calibri"/>
      <family val="2"/>
    </font>
    <font>
      <b/>
      <sz val="9"/>
      <name val="Arial"/>
      <family val="2"/>
    </font>
    <font>
      <sz val="11"/>
      <color theme="1"/>
      <name val="Calibri"/>
      <family val="2"/>
    </font>
    <font>
      <b/>
      <sz val="11"/>
      <color theme="0"/>
      <name val="Calibri"/>
      <family val="2"/>
    </font>
    <font>
      <sz val="11"/>
      <color theme="0"/>
      <name val="Trebuchet MS"/>
      <family val="2"/>
    </font>
    <font>
      <sz val="12"/>
      <color rgb="FF0000FF"/>
      <name val="Arial Narrow"/>
      <family val="2"/>
    </font>
    <font>
      <b/>
      <u/>
      <sz val="11"/>
      <name val="等线"/>
      <family val="2"/>
      <scheme val="minor"/>
    </font>
    <font>
      <sz val="9"/>
      <name val="Trebuchet MS"/>
      <family val="2"/>
    </font>
    <font>
      <b/>
      <sz val="10"/>
      <color theme="1"/>
      <name val="等线"/>
      <family val="2"/>
      <scheme val="minor"/>
    </font>
    <font>
      <b/>
      <u/>
      <sz val="12"/>
      <color theme="1"/>
      <name val="Calibri"/>
      <family val="2"/>
    </font>
    <font>
      <b/>
      <sz val="14"/>
      <name val="Trebuchet MS"/>
      <family val="2"/>
    </font>
    <font>
      <b/>
      <sz val="10"/>
      <color theme="0"/>
      <name val="等线"/>
      <family val="2"/>
      <scheme val="minor"/>
    </font>
    <font>
      <b/>
      <sz val="8"/>
      <name val="Arial"/>
      <family val="2"/>
    </font>
    <font>
      <sz val="10"/>
      <color theme="1" tint="0.34998626667073579"/>
      <name val="Arial"/>
      <family val="2"/>
    </font>
    <font>
      <sz val="11"/>
      <color theme="1" tint="0.249977111117893"/>
      <name val="等线"/>
      <family val="2"/>
      <scheme val="minor"/>
    </font>
    <font>
      <b/>
      <sz val="11"/>
      <color theme="1"/>
      <name val="Arial Narrow"/>
      <family val="2"/>
    </font>
    <font>
      <i/>
      <sz val="12"/>
      <name val="Arial Narrow"/>
      <family val="2"/>
    </font>
    <font>
      <i/>
      <sz val="11"/>
      <name val="Arial Narrow"/>
      <family val="2"/>
    </font>
    <font>
      <b/>
      <sz val="12"/>
      <color theme="1" tint="0.34998626667073579"/>
      <name val="Arial Narrow"/>
      <family val="2"/>
    </font>
    <font>
      <b/>
      <sz val="10"/>
      <color theme="0"/>
      <name val="Arial"/>
      <family val="2"/>
    </font>
    <font>
      <sz val="8"/>
      <name val="Arial"/>
      <family val="2"/>
    </font>
    <font>
      <sz val="10"/>
      <color rgb="FF0000FF"/>
      <name val="等线"/>
      <family val="2"/>
      <scheme val="minor"/>
    </font>
    <font>
      <b/>
      <sz val="12"/>
      <name val="Arial"/>
      <family val="2"/>
    </font>
    <font>
      <sz val="11"/>
      <color rgb="FF0000FF"/>
      <name val="等线"/>
      <family val="2"/>
      <scheme val="minor"/>
    </font>
    <font>
      <b/>
      <sz val="16"/>
      <color rgb="FFFFFF00"/>
      <name val="Arial Narrow"/>
      <family val="2"/>
    </font>
    <font>
      <b/>
      <sz val="12"/>
      <color rgb="FF0000FF"/>
      <name val="Arial Narrow"/>
      <family val="2"/>
    </font>
    <font>
      <b/>
      <sz val="9"/>
      <color rgb="FF0000FF"/>
      <name val="等线"/>
      <family val="2"/>
      <scheme val="minor"/>
    </font>
    <font>
      <b/>
      <sz val="11"/>
      <name val="Arial"/>
      <family val="2"/>
    </font>
    <font>
      <sz val="11"/>
      <color indexed="8"/>
      <name val="Arial Narrow"/>
      <family val="2"/>
    </font>
    <font>
      <b/>
      <u val="singleAccounting"/>
      <sz val="11"/>
      <color theme="1"/>
      <name val="等线"/>
      <family val="2"/>
      <scheme val="minor"/>
    </font>
    <font>
      <b/>
      <u val="singleAccounting"/>
      <sz val="10"/>
      <name val="Arial"/>
      <family val="2"/>
    </font>
    <font>
      <b/>
      <u val="singleAccounting"/>
      <sz val="11"/>
      <name val="Arial"/>
      <family val="2"/>
    </font>
    <font>
      <sz val="8"/>
      <color theme="1"/>
      <name val="Arial Narrow"/>
      <family val="2"/>
    </font>
    <font>
      <sz val="9"/>
      <name val="宋体"/>
      <family val="3"/>
      <charset val="134"/>
    </font>
    <font>
      <b/>
      <sz val="11"/>
      <color theme="1"/>
      <name val="等线"/>
      <family val="2"/>
      <charset val="134"/>
      <scheme val="minor"/>
    </font>
    <font>
      <sz val="12"/>
      <color rgb="FF000000"/>
      <name val="Calibri"/>
      <family val="2"/>
    </font>
    <font>
      <sz val="9"/>
      <name val="等线"/>
      <family val="2"/>
      <charset val="134"/>
      <scheme val="minor"/>
    </font>
    <font>
      <sz val="12"/>
      <name val="Wingdings"/>
      <charset val="2"/>
    </font>
    <font>
      <sz val="11"/>
      <color theme="6" tint="-0.249977111117893"/>
      <name val="等线"/>
      <family val="2"/>
      <charset val="134"/>
      <scheme val="minor"/>
    </font>
    <font>
      <b/>
      <sz val="11"/>
      <color theme="1"/>
      <name val="等线"/>
      <family val="3"/>
      <charset val="134"/>
      <scheme val="minor"/>
    </font>
    <font>
      <b/>
      <sz val="12"/>
      <color rgb="FF000000"/>
      <name val="Calibri"/>
      <family val="2"/>
    </font>
    <font>
      <b/>
      <sz val="10"/>
      <color theme="1"/>
      <name val="等线"/>
      <family val="3"/>
      <charset val="134"/>
      <scheme val="minor"/>
    </font>
    <font>
      <sz val="10"/>
      <color theme="1"/>
      <name val="等线"/>
      <family val="2"/>
      <charset val="134"/>
      <scheme val="minor"/>
    </font>
    <font>
      <sz val="12"/>
      <name val="Arial"/>
      <family val="2"/>
    </font>
  </fonts>
  <fills count="31">
    <fill>
      <patternFill patternType="none"/>
    </fill>
    <fill>
      <patternFill patternType="gray125"/>
    </fill>
    <fill>
      <patternFill patternType="solid">
        <fgColor rgb="FFFFFFCC"/>
        <bgColor indexed="64"/>
      </patternFill>
    </fill>
    <fill>
      <patternFill patternType="solid">
        <fgColor rgb="FFECF4FA"/>
        <bgColor indexed="64"/>
      </patternFill>
    </fill>
    <fill>
      <patternFill patternType="solid">
        <fgColor rgb="FF132E57"/>
        <bgColor indexed="64"/>
      </patternFill>
    </fill>
    <fill>
      <patternFill patternType="solid">
        <fgColor theme="8" tint="-0.499984740745262"/>
        <bgColor indexed="64"/>
      </patternFill>
    </fill>
    <fill>
      <patternFill patternType="solid">
        <fgColor theme="8" tint="-0.249977111117893"/>
        <bgColor indexed="64"/>
      </patternFill>
    </fill>
    <fill>
      <patternFill patternType="solid">
        <fgColor theme="0" tint="-0.499984740745262"/>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1" tint="0.499984740745262"/>
        <bgColor indexed="64"/>
      </patternFill>
    </fill>
    <fill>
      <patternFill patternType="solid">
        <fgColor rgb="FF002060"/>
        <bgColor indexed="64"/>
      </patternFill>
    </fill>
    <fill>
      <patternFill patternType="solid">
        <fgColor theme="0" tint="-4.9989318521683403E-2"/>
        <bgColor indexed="64"/>
      </patternFill>
    </fill>
    <fill>
      <patternFill patternType="solid">
        <fgColor rgb="FF66FFFF"/>
        <bgColor indexed="64"/>
      </patternFill>
    </fill>
    <fill>
      <patternFill patternType="solid">
        <fgColor theme="0"/>
        <bgColor indexed="64"/>
      </patternFill>
    </fill>
    <fill>
      <patternFill patternType="solid">
        <fgColor theme="1"/>
        <bgColor indexed="64"/>
      </patternFill>
    </fill>
    <fill>
      <patternFill patternType="solid">
        <fgColor rgb="FF376092"/>
        <bgColor indexed="64"/>
      </patternFill>
    </fill>
    <fill>
      <patternFill patternType="solid">
        <fgColor rgb="FF000000"/>
        <bgColor indexed="64"/>
      </patternFill>
    </fill>
    <fill>
      <patternFill patternType="solid">
        <fgColor rgb="FFFDEADA"/>
        <bgColor indexed="64"/>
      </patternFill>
    </fill>
    <fill>
      <patternFill patternType="solid">
        <fgColor rgb="FFDBEEF4"/>
        <bgColor indexed="64"/>
      </patternFill>
    </fill>
    <fill>
      <patternFill patternType="solid">
        <fgColor theme="9" tint="0.79998168889431442"/>
        <bgColor indexed="64"/>
      </patternFill>
    </fill>
    <fill>
      <patternFill patternType="solid">
        <fgColor theme="1" tint="0.249977111117893"/>
        <bgColor indexed="64"/>
      </patternFill>
    </fill>
    <fill>
      <patternFill patternType="solid">
        <fgColor theme="1" tint="0.34998626667073579"/>
        <bgColor indexed="64"/>
      </patternFill>
    </fill>
    <fill>
      <patternFill patternType="solid">
        <fgColor theme="4" tint="-0.249977111117893"/>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EFFF65"/>
        <bgColor indexed="64"/>
      </patternFill>
    </fill>
    <fill>
      <patternFill patternType="solid">
        <fgColor rgb="FFFAFFCC"/>
        <bgColor indexed="64"/>
      </patternFill>
    </fill>
    <fill>
      <patternFill patternType="solid">
        <fgColor rgb="FFFFFF00"/>
        <bgColor indexed="64"/>
      </patternFill>
    </fill>
    <fill>
      <patternFill patternType="solid">
        <fgColor theme="6" tint="0.59999389629810485"/>
        <bgColor indexed="64"/>
      </patternFill>
    </fill>
  </fills>
  <borders count="27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theme="0" tint="-0.24994659260841701"/>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style="thin">
        <color theme="0" tint="-0.24994659260841701"/>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right/>
      <top/>
      <bottom style="double">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right/>
      <top style="thin">
        <color auto="1"/>
      </top>
      <bottom style="double">
        <color auto="1"/>
      </bottom>
      <diagonal/>
    </border>
    <border>
      <left/>
      <right style="medium">
        <color indexed="64"/>
      </right>
      <top style="thin">
        <color auto="1"/>
      </top>
      <bottom style="double">
        <color auto="1"/>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theme="0" tint="-0.24994659260841701"/>
      </bottom>
      <diagonal/>
    </border>
    <border>
      <left style="medium">
        <color indexed="64"/>
      </left>
      <right/>
      <top style="thin">
        <color auto="1"/>
      </top>
      <bottom style="thin">
        <color theme="0" tint="-0.24994659260841701"/>
      </bottom>
      <diagonal/>
    </border>
    <border>
      <left/>
      <right/>
      <top style="thin">
        <color auto="1"/>
      </top>
      <bottom style="thin">
        <color theme="0" tint="-0.24994659260841701"/>
      </bottom>
      <diagonal/>
    </border>
    <border>
      <left/>
      <right style="medium">
        <color indexed="64"/>
      </right>
      <top style="thin">
        <color auto="1"/>
      </top>
      <bottom style="thin">
        <color theme="0" tint="-0.24994659260841701"/>
      </bottom>
      <diagonal/>
    </border>
    <border>
      <left style="medium">
        <color indexed="64"/>
      </left>
      <right style="medium">
        <color indexed="64"/>
      </right>
      <top style="thin">
        <color theme="0" tint="-0.24994659260841701"/>
      </top>
      <bottom style="thin">
        <color indexed="64"/>
      </bottom>
      <diagonal/>
    </border>
    <border>
      <left style="medium">
        <color indexed="64"/>
      </left>
      <right/>
      <top style="thin">
        <color theme="0" tint="-0.24994659260841701"/>
      </top>
      <bottom style="thin">
        <color indexed="64"/>
      </bottom>
      <diagonal/>
    </border>
    <border>
      <left/>
      <right/>
      <top style="thin">
        <color theme="0" tint="-0.24994659260841701"/>
      </top>
      <bottom style="thin">
        <color indexed="64"/>
      </bottom>
      <diagonal/>
    </border>
    <border>
      <left/>
      <right style="medium">
        <color indexed="64"/>
      </right>
      <top style="thin">
        <color theme="0" tint="-0.24994659260841701"/>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theme="0" tint="-0.24994659260841701"/>
      </right>
      <top style="thin">
        <color indexed="64"/>
      </top>
      <bottom style="thin">
        <color indexed="64"/>
      </bottom>
      <diagonal/>
    </border>
    <border>
      <left style="thin">
        <color theme="0" tint="-0.24994659260841701"/>
      </left>
      <right style="thin">
        <color theme="0" tint="-0.24994659260841701"/>
      </right>
      <top style="thin">
        <color indexed="64"/>
      </top>
      <bottom style="thin">
        <color indexed="64"/>
      </bottom>
      <diagonal/>
    </border>
    <border>
      <left style="thin">
        <color theme="0" tint="-0.24994659260841701"/>
      </left>
      <right style="thin">
        <color indexed="64"/>
      </right>
      <top style="thin">
        <color indexed="64"/>
      </top>
      <bottom style="thin">
        <color indexed="64"/>
      </bottom>
      <diagonal/>
    </border>
    <border>
      <left style="thin">
        <color indexed="64"/>
      </left>
      <right style="thin">
        <color indexed="64"/>
      </right>
      <top style="thin">
        <color theme="1" tint="0.499984740745262"/>
      </top>
      <bottom/>
      <diagonal/>
    </border>
    <border>
      <left style="thin">
        <color indexed="64"/>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indexed="64"/>
      </right>
      <top/>
      <bottom style="thin">
        <color theme="0" tint="-0.24994659260841701"/>
      </bottom>
      <diagonal/>
    </border>
    <border>
      <left style="thin">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indexed="64"/>
      </left>
      <right style="thin">
        <color theme="0" tint="-0.24994659260841701"/>
      </right>
      <top style="thin">
        <color theme="0" tint="-0.24994659260841701"/>
      </top>
      <bottom style="thin">
        <color indexed="64"/>
      </bottom>
      <diagonal/>
    </border>
    <border>
      <left style="thin">
        <color theme="0" tint="-0.24994659260841701"/>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theme="0" tint="-0.24994659260841701"/>
      </top>
      <bottom style="thin">
        <color indexed="64"/>
      </bottom>
      <diagonal/>
    </border>
    <border>
      <left style="thin">
        <color indexed="64"/>
      </left>
      <right style="thin">
        <color indexed="64"/>
      </right>
      <top style="thin">
        <color theme="1" tint="0.499984740745262"/>
      </top>
      <bottom style="thin">
        <color indexed="64"/>
      </bottom>
      <diagonal/>
    </border>
    <border>
      <left style="thin">
        <color theme="0" tint="-0.14993743705557422"/>
      </left>
      <right style="thin">
        <color theme="0" tint="-0.14993743705557422"/>
      </right>
      <top style="thin">
        <color indexed="64"/>
      </top>
      <bottom style="thin">
        <color indexed="64"/>
      </bottom>
      <diagonal/>
    </border>
    <border>
      <left style="thin">
        <color theme="0" tint="-0.14993743705557422"/>
      </left>
      <right style="thin">
        <color indexed="64"/>
      </right>
      <top style="thin">
        <color indexed="64"/>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indexed="64"/>
      </left>
      <right style="thin">
        <color theme="0" tint="-0.14996795556505021"/>
      </right>
      <top/>
      <bottom style="thin">
        <color indexed="64"/>
      </bottom>
      <diagonal/>
    </border>
    <border>
      <left style="thin">
        <color theme="0" tint="-0.14996795556505021"/>
      </left>
      <right style="thin">
        <color theme="0" tint="-0.14996795556505021"/>
      </right>
      <top/>
      <bottom style="thin">
        <color auto="1"/>
      </bottom>
      <diagonal/>
    </border>
    <border>
      <left style="thin">
        <color indexed="64"/>
      </left>
      <right style="thin">
        <color theme="0" tint="-0.14996795556505021"/>
      </right>
      <top style="thin">
        <color indexed="64"/>
      </top>
      <bottom style="thin">
        <color theme="0" tint="-0.14996795556505021"/>
      </bottom>
      <diagonal/>
    </border>
    <border>
      <left style="thin">
        <color theme="0" tint="-0.24994659260841701"/>
      </left>
      <right style="thin">
        <color theme="0" tint="-0.24994659260841701"/>
      </right>
      <top style="thin">
        <color indexed="64"/>
      </top>
      <bottom style="thin">
        <color theme="0" tint="-0.14996795556505021"/>
      </bottom>
      <diagonal/>
    </border>
    <border>
      <left style="thin">
        <color theme="0" tint="-0.24994659260841701"/>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1" tint="0.499984740745262"/>
      </bottom>
      <diagonal/>
    </border>
    <border>
      <left style="thin">
        <color indexed="64"/>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indexed="64"/>
      </right>
      <top style="thin">
        <color theme="0" tint="-0.14996795556505021"/>
      </top>
      <bottom style="thin">
        <color theme="0" tint="-0.14996795556505021"/>
      </bottom>
      <diagonal/>
    </border>
    <border>
      <left style="thin">
        <color indexed="64"/>
      </left>
      <right style="thin">
        <color indexed="64"/>
      </right>
      <top style="thin">
        <color theme="1" tint="0.499984740745262"/>
      </top>
      <bottom style="thin">
        <color theme="1" tint="0.499984740745262"/>
      </bottom>
      <diagonal/>
    </border>
    <border>
      <left style="thin">
        <color theme="0" tint="-0.14993743705557422"/>
      </left>
      <right style="thin">
        <color theme="0" tint="-0.24994659260841701"/>
      </right>
      <top style="thin">
        <color theme="0" tint="-0.24994659260841701"/>
      </top>
      <bottom style="thin">
        <color theme="0" tint="-0.24994659260841701"/>
      </bottom>
      <diagonal/>
    </border>
    <border>
      <left style="thin">
        <color theme="0" tint="-0.14996795556505021"/>
      </left>
      <right style="thin">
        <color indexed="64"/>
      </right>
      <top/>
      <bottom style="thin">
        <color indexed="64"/>
      </bottom>
      <diagonal/>
    </border>
    <border>
      <left style="thin">
        <color indexed="64"/>
      </left>
      <right style="thin">
        <color theme="0" tint="-0.14996795556505021"/>
      </right>
      <top style="thin">
        <color theme="0" tint="-0.14996795556505021"/>
      </top>
      <bottom style="thin">
        <color indexed="64"/>
      </bottom>
      <diagonal/>
    </border>
    <border>
      <left style="thin">
        <color theme="0" tint="-0.14996795556505021"/>
      </left>
      <right style="thin">
        <color theme="0" tint="-0.14996795556505021"/>
      </right>
      <top style="thin">
        <color theme="0" tint="-0.14996795556505021"/>
      </top>
      <bottom style="thin">
        <color indexed="64"/>
      </bottom>
      <diagonal/>
    </border>
    <border>
      <left style="thin">
        <color theme="0" tint="-0.14996795556505021"/>
      </left>
      <right style="thin">
        <color indexed="64"/>
      </right>
      <top style="thin">
        <color theme="0" tint="-0.14996795556505021"/>
      </top>
      <bottom style="thin">
        <color indexed="64"/>
      </bottom>
      <diagonal/>
    </border>
    <border>
      <left style="thin">
        <color indexed="64"/>
      </left>
      <right style="thin">
        <color indexed="64"/>
      </right>
      <top style="thin">
        <color indexed="64"/>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indexed="64"/>
      </bottom>
      <diagonal/>
    </border>
    <border>
      <left style="thin">
        <color indexed="64"/>
      </left>
      <right style="thin">
        <color theme="0" tint="-0.14996795556505021"/>
      </right>
      <top style="thin">
        <color indexed="64"/>
      </top>
      <bottom style="thin">
        <color theme="0" tint="-0.24994659260841701"/>
      </bottom>
      <diagonal/>
    </border>
    <border>
      <left style="thin">
        <color theme="0" tint="-0.14996795556505021"/>
      </left>
      <right style="thin">
        <color theme="0" tint="-0.14996795556505021"/>
      </right>
      <top style="thin">
        <color indexed="64"/>
      </top>
      <bottom style="thin">
        <color theme="0" tint="-0.24994659260841701"/>
      </bottom>
      <diagonal/>
    </border>
    <border>
      <left style="thin">
        <color theme="0" tint="-0.14996795556505021"/>
      </left>
      <right style="thin">
        <color indexed="64"/>
      </right>
      <top style="thin">
        <color indexed="64"/>
      </top>
      <bottom style="thin">
        <color theme="0" tint="-0.24994659260841701"/>
      </bottom>
      <diagonal/>
    </border>
    <border>
      <left style="thin">
        <color indexed="64"/>
      </left>
      <right style="thin">
        <color theme="0" tint="-0.14996795556505021"/>
      </right>
      <top style="thin">
        <color theme="0" tint="-0.24994659260841701"/>
      </top>
      <bottom style="thin">
        <color indexed="64"/>
      </bottom>
      <diagonal/>
    </border>
    <border>
      <left style="thin">
        <color theme="0" tint="-0.14996795556505021"/>
      </left>
      <right style="thin">
        <color theme="0" tint="-0.14996795556505021"/>
      </right>
      <top style="thin">
        <color theme="0" tint="-0.24994659260841701"/>
      </top>
      <bottom style="thin">
        <color indexed="64"/>
      </bottom>
      <diagonal/>
    </border>
    <border>
      <left style="thin">
        <color theme="0" tint="-0.14996795556505021"/>
      </left>
      <right style="thin">
        <color indexed="64"/>
      </right>
      <top style="thin">
        <color theme="0" tint="-0.24994659260841701"/>
      </top>
      <bottom style="thin">
        <color indexed="64"/>
      </bottom>
      <diagonal/>
    </border>
    <border>
      <left style="thin">
        <color indexed="64"/>
      </left>
      <right style="thin">
        <color theme="0" tint="-0.14993743705557422"/>
      </right>
      <top/>
      <bottom style="thin">
        <color theme="0" tint="-0.14993743705557422"/>
      </bottom>
      <diagonal/>
    </border>
    <border>
      <left style="thin">
        <color theme="0" tint="-0.14993743705557422"/>
      </left>
      <right style="thin">
        <color theme="0" tint="-0.14993743705557422"/>
      </right>
      <top/>
      <bottom style="thin">
        <color theme="0" tint="-0.14993743705557422"/>
      </bottom>
      <diagonal/>
    </border>
    <border>
      <left style="thin">
        <color theme="0" tint="-0.14993743705557422"/>
      </left>
      <right style="thin">
        <color indexed="64"/>
      </right>
      <top/>
      <bottom style="thin">
        <color theme="0" tint="-0.14993743705557422"/>
      </bottom>
      <diagonal/>
    </border>
    <border>
      <left style="thin">
        <color indexed="64"/>
      </left>
      <right style="thin">
        <color theme="0" tint="-0.14993743705557422"/>
      </right>
      <top style="thin">
        <color theme="0" tint="-0.14993743705557422"/>
      </top>
      <bottom style="thin">
        <color indexed="64"/>
      </bottom>
      <diagonal/>
    </border>
    <border>
      <left style="thin">
        <color theme="0" tint="-0.14993743705557422"/>
      </left>
      <right style="thin">
        <color theme="0" tint="-0.14993743705557422"/>
      </right>
      <top style="thin">
        <color theme="0" tint="-0.14993743705557422"/>
      </top>
      <bottom style="thin">
        <color indexed="64"/>
      </bottom>
      <diagonal/>
    </border>
    <border>
      <left style="thin">
        <color theme="0" tint="-0.14993743705557422"/>
      </left>
      <right style="thin">
        <color indexed="64"/>
      </right>
      <top style="thin">
        <color theme="0" tint="-0.14993743705557422"/>
      </top>
      <bottom style="thin">
        <color indexed="64"/>
      </bottom>
      <diagonal/>
    </border>
    <border>
      <left style="thin">
        <color indexed="64"/>
      </left>
      <right style="thin">
        <color theme="0" tint="-0.24994659260841701"/>
      </right>
      <top style="thin">
        <color indexed="64"/>
      </top>
      <bottom style="thin">
        <color theme="0" tint="-0.24994659260841701"/>
      </bottom>
      <diagonal/>
    </border>
    <border>
      <left style="thin">
        <color theme="0" tint="-0.14993743705557422"/>
      </left>
      <right style="thin">
        <color theme="0" tint="-0.24994659260841701"/>
      </right>
      <top style="thin">
        <color indexed="64"/>
      </top>
      <bottom style="thin">
        <color theme="0" tint="-0.24994659260841701"/>
      </bottom>
      <diagonal/>
    </border>
    <border>
      <left style="thin">
        <color theme="0" tint="-0.14993743705557422"/>
      </left>
      <right style="thin">
        <color indexed="64"/>
      </right>
      <top style="thin">
        <color indexed="64"/>
      </top>
      <bottom style="thin">
        <color theme="0" tint="-0.24994659260841701"/>
      </bottom>
      <diagonal/>
    </border>
    <border>
      <left style="thin">
        <color theme="0" tint="-0.14993743705557422"/>
      </left>
      <right style="thin">
        <color indexed="64"/>
      </right>
      <top style="thin">
        <color theme="0" tint="-0.24994659260841701"/>
      </top>
      <bottom style="thin">
        <color theme="0" tint="-0.24994659260841701"/>
      </bottom>
      <diagonal/>
    </border>
    <border>
      <left style="thin">
        <color indexed="64"/>
      </left>
      <right style="thin">
        <color theme="0" tint="-0.24994659260841701"/>
      </right>
      <top style="thin">
        <color theme="0" tint="-0.24994659260841701"/>
      </top>
      <bottom/>
      <diagonal/>
    </border>
    <border>
      <left style="thin">
        <color theme="0" tint="-0.14993743705557422"/>
      </left>
      <right style="thin">
        <color theme="0" tint="-0.24994659260841701"/>
      </right>
      <top style="thin">
        <color theme="0" tint="-0.24994659260841701"/>
      </top>
      <bottom/>
      <diagonal/>
    </border>
    <border>
      <left style="thin">
        <color theme="0" tint="-0.14993743705557422"/>
      </left>
      <right style="thin">
        <color indexed="64"/>
      </right>
      <top style="thin">
        <color theme="0" tint="-0.24994659260841701"/>
      </top>
      <bottom/>
      <diagonal/>
    </border>
    <border>
      <left style="thin">
        <color theme="0" tint="-0.14993743705557422"/>
      </left>
      <right style="thin">
        <color theme="0" tint="-0.24994659260841701"/>
      </right>
      <top style="thin">
        <color indexed="64"/>
      </top>
      <bottom style="thin">
        <color indexed="64"/>
      </bottom>
      <diagonal/>
    </border>
    <border>
      <left style="thin">
        <color theme="1" tint="0.499984740745262"/>
      </left>
      <right/>
      <top/>
      <bottom/>
      <diagonal/>
    </border>
    <border>
      <left style="thin">
        <color theme="0"/>
      </left>
      <right style="thin">
        <color theme="1" tint="0.499984740745262"/>
      </right>
      <top/>
      <bottom/>
      <diagonal/>
    </border>
    <border>
      <left style="thin">
        <color theme="0" tint="-0.24994659260841701"/>
      </left>
      <right/>
      <top/>
      <bottom/>
      <diagonal/>
    </border>
    <border>
      <left/>
      <right style="thin">
        <color theme="0" tint="-0.24994659260841701"/>
      </right>
      <top/>
      <bottom/>
      <diagonal/>
    </border>
    <border>
      <left style="thin">
        <color theme="1" tint="0.499984740745262"/>
      </left>
      <right/>
      <top style="thin">
        <color theme="0" tint="-0.24994659260841701"/>
      </top>
      <bottom style="thin">
        <color indexed="64"/>
      </bottom>
      <diagonal/>
    </border>
    <border>
      <left/>
      <right style="thin">
        <color theme="1" tint="0.499984740745262"/>
      </right>
      <top style="thin">
        <color theme="0" tint="-0.24994659260841701"/>
      </top>
      <bottom style="thin">
        <color indexed="64"/>
      </bottom>
      <diagonal/>
    </border>
    <border>
      <left style="thin">
        <color theme="0" tint="-0.14993743705557422"/>
      </left>
      <right style="thin">
        <color theme="0" tint="-0.24994659260841701"/>
      </right>
      <top style="thin">
        <color theme="0" tint="-0.24994659260841701"/>
      </top>
      <bottom style="thin">
        <color indexed="64"/>
      </bottom>
      <diagonal/>
    </border>
    <border>
      <left style="thin">
        <color theme="1" tint="0.499984740745262"/>
      </left>
      <right/>
      <top/>
      <bottom style="thin">
        <color theme="0" tint="-0.24994659260841701"/>
      </bottom>
      <diagonal/>
    </border>
    <border>
      <left/>
      <right style="thin">
        <color theme="1" tint="0.499984740745262"/>
      </right>
      <top/>
      <bottom style="thin">
        <color theme="0" tint="-0.24994659260841701"/>
      </bottom>
      <diagonal/>
    </border>
    <border>
      <left style="thin">
        <color theme="0" tint="-0.14993743705557422"/>
      </left>
      <right style="thin">
        <color theme="0" tint="-0.24994659260841701"/>
      </right>
      <top/>
      <bottom style="thin">
        <color theme="0" tint="-0.24994659260841701"/>
      </bottom>
      <diagonal/>
    </border>
    <border>
      <left style="thin">
        <color theme="1" tint="0.499984740745262"/>
      </left>
      <right/>
      <top style="thin">
        <color theme="0" tint="-0.24994659260841701"/>
      </top>
      <bottom style="thin">
        <color theme="0" tint="-0.24994659260841701"/>
      </bottom>
      <diagonal/>
    </border>
    <border>
      <left/>
      <right style="thin">
        <color theme="1" tint="0.499984740745262"/>
      </right>
      <top style="thin">
        <color theme="0" tint="-0.24994659260841701"/>
      </top>
      <bottom style="thin">
        <color theme="0" tint="-0.24994659260841701"/>
      </bottom>
      <diagonal/>
    </border>
    <border>
      <left/>
      <right style="thin">
        <color theme="1" tint="0.499984740745262"/>
      </right>
      <top/>
      <bottom/>
      <diagonal/>
    </border>
    <border>
      <left style="thin">
        <color theme="0" tint="-0.24994659260841701"/>
      </left>
      <right style="thin">
        <color theme="0" tint="-0.24994659260841701"/>
      </right>
      <top style="thin">
        <color indexed="64"/>
      </top>
      <bottom style="thin">
        <color theme="0" tint="-0.24994659260841701"/>
      </bottom>
      <diagonal/>
    </border>
    <border>
      <left/>
      <right/>
      <top/>
      <bottom style="thin">
        <color theme="0" tint="-0.24994659260841701"/>
      </bottom>
      <diagonal/>
    </border>
    <border>
      <left style="thin">
        <color theme="1" tint="0.499984740745262"/>
      </left>
      <right/>
      <top style="thin">
        <color indexed="64"/>
      </top>
      <bottom/>
      <diagonal/>
    </border>
    <border>
      <left/>
      <right style="thin">
        <color theme="1" tint="0.499984740745262"/>
      </right>
      <top style="thin">
        <color indexed="64"/>
      </top>
      <bottom/>
      <diagonal/>
    </border>
    <border>
      <left style="thin">
        <color theme="0" tint="-0.24994659260841701"/>
      </left>
      <right style="thin">
        <color theme="0" tint="-0.24994659260841701"/>
      </right>
      <top style="thin">
        <color indexed="64"/>
      </top>
      <bottom/>
      <diagonal/>
    </border>
    <border>
      <left style="thin">
        <color theme="1" tint="0.499984740745262"/>
      </left>
      <right/>
      <top style="thin">
        <color theme="0" tint="-0.24994659260841701"/>
      </top>
      <bottom/>
      <diagonal/>
    </border>
    <border>
      <left/>
      <right style="thin">
        <color theme="1" tint="0.499984740745262"/>
      </right>
      <top style="thin">
        <color theme="0" tint="-0.24994659260841701"/>
      </top>
      <bottom/>
      <diagonal/>
    </border>
    <border>
      <left style="thin">
        <color theme="1" tint="0.499984740745262"/>
      </left>
      <right/>
      <top style="thin">
        <color indexed="64"/>
      </top>
      <bottom style="thin">
        <color indexed="64"/>
      </bottom>
      <diagonal/>
    </border>
    <border>
      <left/>
      <right style="thin">
        <color theme="1" tint="0.499984740745262"/>
      </right>
      <top style="thin">
        <color indexed="64"/>
      </top>
      <bottom style="thin">
        <color indexed="64"/>
      </bottom>
      <diagonal/>
    </border>
    <border>
      <left style="thin">
        <color theme="0" tint="-0.24994659260841701"/>
      </left>
      <right style="thin">
        <color theme="0" tint="-0.14996795556505021"/>
      </right>
      <top/>
      <bottom style="thin">
        <color theme="0" tint="-0.14996795556505021"/>
      </bottom>
      <diagonal/>
    </border>
    <border>
      <left style="thin">
        <color theme="0" tint="-0.14993743705557422"/>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24994659260841701"/>
      </left>
      <right style="thin">
        <color theme="0" tint="-0.14996795556505021"/>
      </right>
      <top style="thin">
        <color theme="0" tint="-0.14996795556505021"/>
      </top>
      <bottom/>
      <diagonal/>
    </border>
    <border>
      <left/>
      <right/>
      <top style="hair">
        <color auto="1"/>
      </top>
      <bottom style="hair">
        <color auto="1"/>
      </bottom>
      <diagonal/>
    </border>
    <border>
      <left style="thin">
        <color theme="1" tint="0.499984740745262"/>
      </left>
      <right/>
      <top style="hair">
        <color auto="1"/>
      </top>
      <bottom style="hair">
        <color auto="1"/>
      </bottom>
      <diagonal/>
    </border>
    <border>
      <left/>
      <right style="thin">
        <color theme="1" tint="0.499984740745262"/>
      </right>
      <top style="hair">
        <color auto="1"/>
      </top>
      <bottom style="hair">
        <color auto="1"/>
      </bottom>
      <diagonal/>
    </border>
    <border>
      <left style="thin">
        <color theme="0" tint="-0.24994659260841701"/>
      </left>
      <right style="thin">
        <color theme="0" tint="-0.24994659260841701"/>
      </right>
      <top style="hair">
        <color auto="1"/>
      </top>
      <bottom style="hair">
        <color auto="1"/>
      </bottom>
      <diagonal/>
    </border>
    <border>
      <left style="thin">
        <color theme="1" tint="0.499984740745262"/>
      </left>
      <right/>
      <top style="thin">
        <color auto="1"/>
      </top>
      <bottom style="thin">
        <color theme="0" tint="-0.24994659260841701"/>
      </bottom>
      <diagonal/>
    </border>
    <border>
      <left/>
      <right style="thin">
        <color theme="1" tint="0.499984740745262"/>
      </right>
      <top style="thin">
        <color auto="1"/>
      </top>
      <bottom style="thin">
        <color theme="0" tint="-0.24994659260841701"/>
      </bottom>
      <diagonal/>
    </border>
    <border>
      <left style="thin">
        <color theme="1" tint="0.499984740745262"/>
      </left>
      <right/>
      <top/>
      <bottom style="double">
        <color indexed="64"/>
      </bottom>
      <diagonal/>
    </border>
    <border>
      <left/>
      <right style="thin">
        <color theme="1" tint="0.499984740745262"/>
      </right>
      <top/>
      <bottom style="double">
        <color indexed="64"/>
      </bottom>
      <diagonal/>
    </border>
    <border>
      <left style="thin">
        <color theme="0" tint="-0.24994659260841701"/>
      </left>
      <right style="thin">
        <color theme="0" tint="-0.24994659260841701"/>
      </right>
      <top/>
      <bottom style="double">
        <color indexed="64"/>
      </bottom>
      <diagonal/>
    </border>
    <border>
      <left style="thin">
        <color theme="0" tint="-0.14990691854609822"/>
      </left>
      <right style="thin">
        <color theme="0" tint="-0.14996795556505021"/>
      </right>
      <top style="thin">
        <color theme="0" tint="-0.14996795556505021"/>
      </top>
      <bottom style="thin">
        <color theme="0" tint="-0.14996795556505021"/>
      </bottom>
      <diagonal/>
    </border>
    <border>
      <left style="thin">
        <color theme="0" tint="-0.14993743705557422"/>
      </left>
      <right style="thin">
        <color theme="0" tint="-0.14996795556505021"/>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right style="thin">
        <color theme="0" tint="-0.14990691854609822"/>
      </right>
      <top style="thin">
        <color theme="0" tint="-0.14996795556505021"/>
      </top>
      <bottom style="thin">
        <color theme="0" tint="-0.14996795556505021"/>
      </bottom>
      <diagonal/>
    </border>
    <border>
      <left style="thin">
        <color theme="0" tint="-0.24994659260841701"/>
      </left>
      <right/>
      <top style="thin">
        <color theme="0" tint="-0.24994659260841701"/>
      </top>
      <bottom style="thin">
        <color indexed="64"/>
      </bottom>
      <diagonal/>
    </border>
    <border>
      <left style="thin">
        <color theme="0" tint="-0.14990691854609822"/>
      </left>
      <right style="thin">
        <color theme="0" tint="-0.24994659260841701"/>
      </right>
      <top style="thin">
        <color indexed="64"/>
      </top>
      <bottom/>
      <diagonal/>
    </border>
    <border>
      <left style="thin">
        <color theme="0" tint="-0.14993743705557422"/>
      </left>
      <right style="thin">
        <color theme="0" tint="-0.24994659260841701"/>
      </right>
      <top style="thin">
        <color indexed="64"/>
      </top>
      <bottom/>
      <diagonal/>
    </border>
    <border>
      <left style="thin">
        <color theme="0" tint="-0.14993743705557422"/>
      </left>
      <right style="thin">
        <color theme="0" tint="-0.14990691854609822"/>
      </right>
      <top style="thin">
        <color indexed="64"/>
      </top>
      <bottom/>
      <diagonal/>
    </border>
    <border>
      <left style="thin">
        <color theme="0" tint="-0.14990691854609822"/>
      </left>
      <right style="thin">
        <color theme="0" tint="-0.24994659260841701"/>
      </right>
      <top/>
      <bottom style="thin">
        <color theme="0" tint="-0.24994659260841701"/>
      </bottom>
      <diagonal/>
    </border>
    <border>
      <left style="thin">
        <color theme="0" tint="-0.24994659260841701"/>
      </left>
      <right style="thin">
        <color theme="0" tint="-0.14990691854609822"/>
      </right>
      <top/>
      <bottom style="thin">
        <color theme="0" tint="-0.24994659260841701"/>
      </bottom>
      <diagonal/>
    </border>
    <border>
      <left style="thin">
        <color theme="0" tint="-0.14990691854609822"/>
      </left>
      <right/>
      <top/>
      <bottom/>
      <diagonal/>
    </border>
    <border>
      <left/>
      <right style="thin">
        <color theme="0" tint="-0.14990691854609822"/>
      </right>
      <top/>
      <bottom/>
      <diagonal/>
    </border>
    <border>
      <left style="thin">
        <color theme="0" tint="-0.14990691854609822"/>
      </left>
      <right style="thin">
        <color theme="0" tint="-0.24994659260841701"/>
      </right>
      <top style="thin">
        <color indexed="64"/>
      </top>
      <bottom style="thin">
        <color indexed="64"/>
      </bottom>
      <diagonal/>
    </border>
    <border>
      <left style="thin">
        <color theme="0" tint="-0.14993743705557422"/>
      </left>
      <right style="thin">
        <color theme="0" tint="-0.14990691854609822"/>
      </right>
      <top style="thin">
        <color indexed="64"/>
      </top>
      <bottom style="thin">
        <color indexed="64"/>
      </bottom>
      <diagonal/>
    </border>
    <border>
      <left style="thin">
        <color theme="0" tint="-0.14990691854609822"/>
      </left>
      <right style="thin">
        <color theme="0" tint="-0.24994659260841701"/>
      </right>
      <top style="hair">
        <color auto="1"/>
      </top>
      <bottom style="hair">
        <color auto="1"/>
      </bottom>
      <diagonal/>
    </border>
    <border>
      <left style="thin">
        <color theme="0" tint="-0.24994659260841701"/>
      </left>
      <right style="thin">
        <color theme="0" tint="-0.14990691854609822"/>
      </right>
      <top style="hair">
        <color auto="1"/>
      </top>
      <bottom style="hair">
        <color auto="1"/>
      </bottom>
      <diagonal/>
    </border>
    <border>
      <left style="thin">
        <color theme="0" tint="-0.14990691854609822"/>
      </left>
      <right style="thin">
        <color theme="0" tint="-0.14996795556505021"/>
      </right>
      <top/>
      <bottom/>
      <diagonal/>
    </border>
    <border>
      <left style="thin">
        <color theme="0" tint="-0.14996795556505021"/>
      </left>
      <right style="thin">
        <color theme="0" tint="-0.14996795556505021"/>
      </right>
      <top/>
      <bottom/>
      <diagonal/>
    </border>
    <border>
      <left style="thin">
        <color theme="0" tint="-0.14996795556505021"/>
      </left>
      <right style="thin">
        <color theme="0" tint="-0.14990691854609822"/>
      </right>
      <top/>
      <bottom/>
      <diagonal/>
    </border>
    <border>
      <left style="thin">
        <color theme="0" tint="-0.14990691854609822"/>
      </left>
      <right style="thin">
        <color theme="0" tint="-0.24994659260841701"/>
      </right>
      <top style="thin">
        <color indexed="64"/>
      </top>
      <bottom style="thin">
        <color theme="0" tint="-0.24994659260841701"/>
      </bottom>
      <diagonal/>
    </border>
    <border>
      <left style="thin">
        <color theme="0" tint="-0.24994659260841701"/>
      </left>
      <right style="thin">
        <color theme="0" tint="-0.14990691854609822"/>
      </right>
      <top style="thin">
        <color indexed="64"/>
      </top>
      <bottom style="thin">
        <color theme="0" tint="-0.24994659260841701"/>
      </bottom>
      <diagonal/>
    </border>
    <border>
      <left style="thin">
        <color theme="0" tint="-0.14990691854609822"/>
      </left>
      <right style="thin">
        <color theme="0" tint="-0.24994659260841701"/>
      </right>
      <top/>
      <bottom style="double">
        <color indexed="64"/>
      </bottom>
      <diagonal/>
    </border>
    <border>
      <left style="thin">
        <color theme="0" tint="-0.24994659260841701"/>
      </left>
      <right style="thin">
        <color theme="0" tint="-0.14990691854609822"/>
      </right>
      <top/>
      <bottom style="double">
        <color indexed="64"/>
      </bottom>
      <diagonal/>
    </border>
    <border>
      <left style="thin">
        <color theme="1" tint="0.499984740745262"/>
      </left>
      <right/>
      <top style="double">
        <color indexed="64"/>
      </top>
      <bottom style="thin">
        <color theme="0" tint="-0.24994659260841701"/>
      </bottom>
      <diagonal/>
    </border>
    <border>
      <left/>
      <right style="thin">
        <color theme="1" tint="0.499984740745262"/>
      </right>
      <top style="double">
        <color indexed="64"/>
      </top>
      <bottom style="thin">
        <color theme="0" tint="-0.24994659260841701"/>
      </bottom>
      <diagonal/>
    </border>
    <border>
      <left style="thin">
        <color theme="0" tint="-0.14990691854609822"/>
      </left>
      <right style="thin">
        <color theme="0" tint="-0.24994659260841701"/>
      </right>
      <top style="double">
        <color indexed="64"/>
      </top>
      <bottom style="thin">
        <color theme="0" tint="-0.14990691854609822"/>
      </bottom>
      <diagonal/>
    </border>
    <border>
      <left style="thin">
        <color theme="0" tint="-0.24994659260841701"/>
      </left>
      <right style="thin">
        <color theme="0" tint="-0.24994659260841701"/>
      </right>
      <top style="double">
        <color indexed="64"/>
      </top>
      <bottom style="thin">
        <color theme="0" tint="-0.14990691854609822"/>
      </bottom>
      <diagonal/>
    </border>
    <border>
      <left style="thin">
        <color theme="0" tint="-0.14990691854609822"/>
      </left>
      <right style="thin">
        <color theme="0" tint="-0.24994659260841701"/>
      </right>
      <top style="thin">
        <color theme="0" tint="-0.14990691854609822"/>
      </top>
      <bottom style="thin">
        <color theme="0" tint="-0.14990691854609822"/>
      </bottom>
      <diagonal/>
    </border>
    <border>
      <left style="thin">
        <color theme="0" tint="-0.14993743705557422"/>
      </left>
      <right style="thin">
        <color theme="0" tint="-0.24994659260841701"/>
      </right>
      <top style="thin">
        <color theme="0" tint="-0.14990691854609822"/>
      </top>
      <bottom style="thin">
        <color theme="0" tint="-0.14990691854609822"/>
      </bottom>
      <diagonal/>
    </border>
    <border>
      <left style="thin">
        <color theme="0" tint="-0.14993743705557422"/>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24994659260841701"/>
      </right>
      <top style="thin">
        <color theme="0" tint="-0.14990691854609822"/>
      </top>
      <bottom style="thin">
        <color indexed="64"/>
      </bottom>
      <diagonal/>
    </border>
    <border>
      <left style="thin">
        <color theme="0" tint="-0.14993743705557422"/>
      </left>
      <right style="thin">
        <color theme="0" tint="-0.24994659260841701"/>
      </right>
      <top style="thin">
        <color theme="0" tint="-0.14990691854609822"/>
      </top>
      <bottom style="thin">
        <color indexed="64"/>
      </bottom>
      <diagonal/>
    </border>
    <border>
      <left style="thin">
        <color theme="0" tint="-0.14993743705557422"/>
      </left>
      <right style="thin">
        <color theme="0" tint="-0.14990691854609822"/>
      </right>
      <top style="thin">
        <color theme="0" tint="-0.14990691854609822"/>
      </top>
      <bottom style="thin">
        <color indexed="64"/>
      </bottom>
      <diagonal/>
    </border>
    <border>
      <left style="thin">
        <color theme="0" tint="-0.1499069185460982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14990691854609822"/>
      </right>
      <top style="thin">
        <color theme="0" tint="-0.24994659260841701"/>
      </top>
      <bottom style="thin">
        <color theme="0" tint="-0.24994659260841701"/>
      </bottom>
      <diagonal/>
    </border>
    <border>
      <left style="thin">
        <color theme="0" tint="-0.14990691854609822"/>
      </left>
      <right/>
      <top/>
      <bottom style="double">
        <color auto="1"/>
      </bottom>
      <diagonal/>
    </border>
    <border>
      <left/>
      <right style="thin">
        <color theme="0" tint="-0.14990691854609822"/>
      </right>
      <top/>
      <bottom style="double">
        <color auto="1"/>
      </bottom>
      <diagonal/>
    </border>
    <border>
      <left style="thin">
        <color theme="0" tint="-0.24994659260841701"/>
      </left>
      <right style="thin">
        <color theme="0" tint="-0.14996795556505021"/>
      </right>
      <top style="thin">
        <color theme="0" tint="-0.24994659260841701"/>
      </top>
      <bottom style="thin">
        <color indexed="64"/>
      </bottom>
      <diagonal/>
    </border>
    <border>
      <left style="thin">
        <color theme="0" tint="-0.24994659260841701"/>
      </left>
      <right style="thin">
        <color theme="0" tint="-0.14993743705557422"/>
      </right>
      <top style="thin">
        <color indexed="64"/>
      </top>
      <bottom style="thin">
        <color theme="0" tint="-0.14996795556505021"/>
      </bottom>
      <diagonal/>
    </border>
    <border>
      <left style="thin">
        <color theme="0" tint="-0.14993743705557422"/>
      </left>
      <right style="thin">
        <color theme="0" tint="-0.24994659260841701"/>
      </right>
      <top style="thin">
        <color indexed="64"/>
      </top>
      <bottom style="thin">
        <color theme="0" tint="-0.14996795556505021"/>
      </bottom>
      <diagonal/>
    </border>
    <border>
      <left style="thin">
        <color theme="0" tint="-0.24994659260841701"/>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24994659260841701"/>
      </right>
      <top style="thin">
        <color theme="0" tint="-0.14996795556505021"/>
      </top>
      <bottom style="thin">
        <color theme="0" tint="-0.14996795556505021"/>
      </bottom>
      <diagonal/>
    </border>
    <border>
      <left style="thin">
        <color theme="0" tint="-0.24994659260841701"/>
      </left>
      <right style="thin">
        <color theme="0" tint="-0.14993743705557422"/>
      </right>
      <top/>
      <bottom style="thin">
        <color theme="0" tint="-0.24994659260841701"/>
      </bottom>
      <diagonal/>
    </border>
    <border>
      <left style="thin">
        <color theme="0" tint="-0.24994659260841701"/>
      </left>
      <right style="thin">
        <color theme="0" tint="-0.14993743705557422"/>
      </right>
      <top style="thin">
        <color theme="0" tint="-0.14996795556505021"/>
      </top>
      <bottom style="thin">
        <color indexed="64"/>
      </bottom>
      <diagonal/>
    </border>
    <border>
      <left style="thin">
        <color theme="0" tint="-0.14993743705557422"/>
      </left>
      <right style="thin">
        <color theme="0" tint="-0.24994659260841701"/>
      </right>
      <top style="thin">
        <color theme="0" tint="-0.14996795556505021"/>
      </top>
      <bottom style="thin">
        <color indexed="64"/>
      </bottom>
      <diagonal/>
    </border>
    <border>
      <left style="thin">
        <color theme="0" tint="-0.24994659260841701"/>
      </left>
      <right/>
      <top style="thin">
        <color theme="0" tint="-0.14996795556505021"/>
      </top>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indexed="64"/>
      </top>
      <bottom style="thin">
        <color theme="0" tint="-0.14990691854609822"/>
      </bottom>
      <diagonal/>
    </border>
    <border>
      <left style="thin">
        <color theme="0" tint="-0.14993743705557422"/>
      </left>
      <right style="thin">
        <color theme="0" tint="-0.24994659260841701"/>
      </right>
      <top style="thin">
        <color indexed="64"/>
      </top>
      <bottom style="thin">
        <color theme="0" tint="-0.14990691854609822"/>
      </bottom>
      <diagonal/>
    </border>
    <border>
      <left style="thin">
        <color theme="0" tint="-0.24994659260841701"/>
      </left>
      <right style="thin">
        <color theme="0" tint="-0.14993743705557422"/>
      </right>
      <top style="thin">
        <color indexed="64"/>
      </top>
      <bottom/>
      <diagonal/>
    </border>
    <border>
      <left style="thin">
        <color theme="0" tint="-0.24994659260841701"/>
      </left>
      <right style="thin">
        <color theme="0" tint="-0.14993743705557422"/>
      </right>
      <top style="thin">
        <color indexed="64"/>
      </top>
      <bottom style="thin">
        <color indexed="64"/>
      </bottom>
      <diagonal/>
    </border>
    <border>
      <left/>
      <right/>
      <top style="thin">
        <color theme="2" tint="-0.499984740745262"/>
      </top>
      <bottom style="double">
        <color theme="2" tint="-0.499984740745262"/>
      </bottom>
      <diagonal/>
    </border>
    <border>
      <left style="medium">
        <color indexed="64"/>
      </left>
      <right style="medium">
        <color indexed="64"/>
      </right>
      <top style="thin">
        <color theme="2" tint="-0.499984740745262"/>
      </top>
      <bottom style="medium">
        <color indexed="64"/>
      </bottom>
      <diagonal/>
    </border>
    <border>
      <left/>
      <right/>
      <top style="double">
        <color auto="1"/>
      </top>
      <bottom/>
      <diagonal/>
    </border>
    <border>
      <left/>
      <right style="medium">
        <color indexed="64"/>
      </right>
      <top style="double">
        <color auto="1"/>
      </top>
      <bottom/>
      <diagonal/>
    </border>
    <border>
      <left/>
      <right style="medium">
        <color indexed="64"/>
      </right>
      <top style="thin">
        <color theme="2" tint="-0.499984740745262"/>
      </top>
      <bottom style="double">
        <color theme="2" tint="-0.499984740745262"/>
      </bottom>
      <diagonal/>
    </border>
    <border>
      <left style="thin">
        <color indexed="64"/>
      </left>
      <right/>
      <top/>
      <bottom/>
      <diagonal/>
    </border>
    <border>
      <left/>
      <right style="thin">
        <color indexed="64"/>
      </right>
      <top/>
      <bottom/>
      <diagonal/>
    </border>
    <border>
      <left/>
      <right/>
      <top/>
      <bottom style="thick">
        <color auto="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theme="0" tint="-0.24994659260841701"/>
      </left>
      <right style="medium">
        <color indexed="64"/>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14996795556505021"/>
      </bottom>
      <diagonal/>
    </border>
    <border>
      <left style="thin">
        <color indexed="64"/>
      </left>
      <right style="thin">
        <color theme="0" tint="-0.24994659260841701"/>
      </right>
      <top style="thin">
        <color theme="0" tint="-0.24994659260841701"/>
      </top>
      <bottom style="thin">
        <color theme="0" tint="-0.14996795556505021"/>
      </bottom>
      <diagonal/>
    </border>
    <border>
      <left style="thin">
        <color theme="0" tint="-0.24994659260841701"/>
      </left>
      <right style="thin">
        <color indexed="64"/>
      </right>
      <top style="thin">
        <color theme="0" tint="-0.24994659260841701"/>
      </top>
      <bottom style="thin">
        <color theme="0" tint="-0.14996795556505021"/>
      </bottom>
      <diagonal/>
    </border>
    <border>
      <left style="thin">
        <color indexed="64"/>
      </left>
      <right style="thin">
        <color theme="0" tint="-0.24994659260841701"/>
      </right>
      <top style="thin">
        <color indexed="64"/>
      </top>
      <bottom style="thin">
        <color theme="0" tint="-0.14996795556505021"/>
      </bottom>
      <diagonal/>
    </border>
    <border>
      <left style="thin">
        <color indexed="64"/>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thin">
        <color theme="1" tint="0.499984740745262"/>
      </right>
      <top/>
      <bottom style="medium">
        <color rgb="FF000000"/>
      </bottom>
      <diagonal/>
    </border>
    <border>
      <left style="thin">
        <color theme="1" tint="0.499984740745262"/>
      </left>
      <right style="medium">
        <color rgb="FF000000"/>
      </right>
      <top/>
      <bottom style="medium">
        <color rgb="FF000000"/>
      </bottom>
      <diagonal/>
    </border>
    <border>
      <left style="medium">
        <color rgb="FF000000"/>
      </left>
      <right style="thin">
        <color theme="1" tint="0.499984740745262"/>
      </right>
      <top style="medium">
        <color rgb="FF000000"/>
      </top>
      <bottom style="thin">
        <color indexed="64"/>
      </bottom>
      <diagonal/>
    </border>
    <border>
      <left style="thin">
        <color theme="1" tint="0.499984740745262"/>
      </left>
      <right style="medium">
        <color rgb="FF000000"/>
      </right>
      <top style="medium">
        <color rgb="FF000000"/>
      </top>
      <bottom style="thin">
        <color indexed="64"/>
      </bottom>
      <diagonal/>
    </border>
    <border>
      <left style="medium">
        <color rgb="FF000000"/>
      </left>
      <right style="thin">
        <color theme="1" tint="0.499984740745262"/>
      </right>
      <top style="thin">
        <color indexed="64"/>
      </top>
      <bottom style="thin">
        <color indexed="64"/>
      </bottom>
      <diagonal/>
    </border>
    <border>
      <left style="thin">
        <color theme="1" tint="0.499984740745262"/>
      </left>
      <right style="medium">
        <color rgb="FF000000"/>
      </right>
      <top style="thin">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rgb="FF0000FF"/>
      </bottom>
      <diagonal/>
    </border>
    <border>
      <left/>
      <right/>
      <top style="medium">
        <color indexed="64"/>
      </top>
      <bottom style="medium">
        <color rgb="FF0000FF"/>
      </bottom>
      <diagonal/>
    </border>
    <border>
      <left/>
      <right style="thin">
        <color indexed="64"/>
      </right>
      <top style="medium">
        <color indexed="64"/>
      </top>
      <bottom style="medium">
        <color rgb="FF0000FF"/>
      </bottom>
      <diagonal/>
    </border>
    <border>
      <left style="thin">
        <color indexed="64"/>
      </left>
      <right/>
      <top style="medium">
        <color indexed="64"/>
      </top>
      <bottom style="medium">
        <color rgb="FF0000FF"/>
      </bottom>
      <diagonal/>
    </border>
    <border>
      <left style="thin">
        <color indexed="64"/>
      </left>
      <right style="thin">
        <color indexed="64"/>
      </right>
      <top style="medium">
        <color indexed="64"/>
      </top>
      <bottom style="medium">
        <color rgb="FF0000FF"/>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thin">
        <color theme="0" tint="-0.14996795556505021"/>
      </left>
      <right style="thin">
        <color theme="0" tint="-0.24994659260841701"/>
      </right>
      <top style="thin">
        <color indexed="64"/>
      </top>
      <bottom style="thin">
        <color theme="0" tint="-0.14996795556505021"/>
      </bottom>
      <diagonal/>
    </border>
    <border>
      <left style="medium">
        <color indexed="64"/>
      </left>
      <right style="medium">
        <color indexed="64"/>
      </right>
      <top style="medium">
        <color indexed="64"/>
      </top>
      <bottom style="thin">
        <color theme="0" tint="-0.34998626667073579"/>
      </bottom>
      <diagonal/>
    </border>
    <border>
      <left style="medium">
        <color indexed="64"/>
      </left>
      <right/>
      <top style="medium">
        <color indexed="64"/>
      </top>
      <bottom style="thin">
        <color theme="0" tint="-0.34998626667073579"/>
      </bottom>
      <diagonal/>
    </border>
    <border>
      <left/>
      <right/>
      <top style="medium">
        <color indexed="64"/>
      </top>
      <bottom style="thin">
        <color theme="0" tint="-0.34998626667073579"/>
      </bottom>
      <diagonal/>
    </border>
    <border>
      <left/>
      <right style="medium">
        <color indexed="64"/>
      </right>
      <top style="medium">
        <color indexed="64"/>
      </top>
      <bottom style="thin">
        <color theme="0" tint="-0.34998626667073579"/>
      </bottom>
      <diagonal/>
    </border>
    <border>
      <left style="medium">
        <color indexed="64"/>
      </left>
      <right style="medium">
        <color indexed="64"/>
      </right>
      <top style="thin">
        <color theme="0" tint="-0.34998626667073579"/>
      </top>
      <bottom style="medium">
        <color indexed="64"/>
      </bottom>
      <diagonal/>
    </border>
    <border>
      <left style="medium">
        <color indexed="64"/>
      </left>
      <right/>
      <top style="thin">
        <color theme="0" tint="-0.34998626667073579"/>
      </top>
      <bottom style="medium">
        <color indexed="64"/>
      </bottom>
      <diagonal/>
    </border>
    <border>
      <left/>
      <right/>
      <top style="thin">
        <color theme="0" tint="-0.34998626667073579"/>
      </top>
      <bottom style="medium">
        <color indexed="64"/>
      </bottom>
      <diagonal/>
    </border>
    <border>
      <left/>
      <right style="medium">
        <color indexed="64"/>
      </right>
      <top style="thin">
        <color theme="0" tint="-0.34998626667073579"/>
      </top>
      <bottom style="medium">
        <color indexed="64"/>
      </bottom>
      <diagonal/>
    </border>
    <border>
      <left style="thin">
        <color theme="1" tint="0.499984740745262"/>
      </left>
      <right/>
      <top style="thin">
        <color indexed="64"/>
      </top>
      <bottom style="medium">
        <color indexed="64"/>
      </bottom>
      <diagonal/>
    </border>
    <border>
      <left/>
      <right style="thin">
        <color theme="1" tint="0.499984740745262"/>
      </right>
      <top style="thin">
        <color indexed="64"/>
      </top>
      <bottom style="medium">
        <color indexed="64"/>
      </bottom>
      <diagonal/>
    </border>
    <border>
      <left style="thin">
        <color theme="0" tint="-0.14990691854609822"/>
      </left>
      <right style="thin">
        <color theme="0" tint="-0.24994659260841701"/>
      </right>
      <top style="thin">
        <color indexed="64"/>
      </top>
      <bottom style="medium">
        <color indexed="64"/>
      </bottom>
      <diagonal/>
    </border>
    <border>
      <left style="thin">
        <color theme="0" tint="-0.24994659260841701"/>
      </left>
      <right style="thin">
        <color theme="0" tint="-0.24994659260841701"/>
      </right>
      <top style="thin">
        <color indexed="64"/>
      </top>
      <bottom style="medium">
        <color indexed="64"/>
      </bottom>
      <diagonal/>
    </border>
    <border>
      <left style="thin">
        <color theme="0" tint="-0.24994659260841701"/>
      </left>
      <right style="thin">
        <color theme="0" tint="-0.14990691854609822"/>
      </right>
      <top style="thin">
        <color indexed="64"/>
      </top>
      <bottom style="medium">
        <color indexed="64"/>
      </bottom>
      <diagonal/>
    </border>
    <border>
      <left/>
      <right/>
      <top style="dashed">
        <color auto="1"/>
      </top>
      <bottom style="thin">
        <color auto="1"/>
      </bottom>
      <diagonal/>
    </border>
    <border>
      <left style="thin">
        <color theme="1" tint="0.499984740745262"/>
      </left>
      <right/>
      <top style="dashed">
        <color auto="1"/>
      </top>
      <bottom style="thin">
        <color auto="1"/>
      </bottom>
      <diagonal/>
    </border>
    <border>
      <left/>
      <right style="thin">
        <color theme="1" tint="0.499984740745262"/>
      </right>
      <top style="dashed">
        <color auto="1"/>
      </top>
      <bottom style="thin">
        <color auto="1"/>
      </bottom>
      <diagonal/>
    </border>
    <border>
      <left style="thin">
        <color theme="0" tint="-0.24994659260841701"/>
      </left>
      <right style="thin">
        <color theme="0" tint="-0.24994659260841701"/>
      </right>
      <top style="dashed">
        <color theme="1"/>
      </top>
      <bottom style="thin">
        <color indexed="64"/>
      </bottom>
      <diagonal/>
    </border>
    <border>
      <left/>
      <right/>
      <top style="thick">
        <color auto="1"/>
      </top>
      <bottom/>
      <diagonal/>
    </border>
    <border>
      <left style="medium">
        <color indexed="64"/>
      </left>
      <right style="medium">
        <color indexed="64"/>
      </right>
      <top style="thin">
        <color theme="0" tint="-0.34998626667073579"/>
      </top>
      <bottom style="double">
        <color indexed="64"/>
      </bottom>
      <diagonal/>
    </border>
    <border>
      <left style="medium">
        <color indexed="64"/>
      </left>
      <right/>
      <top style="thin">
        <color theme="0" tint="-0.34998626667073579"/>
      </top>
      <bottom style="double">
        <color indexed="64"/>
      </bottom>
      <diagonal/>
    </border>
    <border>
      <left/>
      <right/>
      <top style="thin">
        <color theme="0" tint="-0.34998626667073579"/>
      </top>
      <bottom style="double">
        <color indexed="64"/>
      </bottom>
      <diagonal/>
    </border>
    <border>
      <left/>
      <right style="medium">
        <color indexed="64"/>
      </right>
      <top style="thin">
        <color theme="0" tint="-0.34998626667073579"/>
      </top>
      <bottom style="double">
        <color indexed="64"/>
      </bottom>
      <diagonal/>
    </border>
    <border>
      <left style="thin">
        <color theme="0" tint="-0.24994659260841701"/>
      </left>
      <right style="thin">
        <color indexed="64"/>
      </right>
      <top style="thin">
        <color indexed="64"/>
      </top>
      <bottom style="thin">
        <color theme="0" tint="-0.24994659260841701"/>
      </bottom>
      <diagonal/>
    </border>
    <border>
      <left style="medium">
        <color indexed="64"/>
      </left>
      <right style="medium">
        <color indexed="64"/>
      </right>
      <top style="thin">
        <color theme="0" tint="-0.34998626667073579"/>
      </top>
      <bottom/>
      <diagonal/>
    </border>
    <border>
      <left style="medium">
        <color indexed="64"/>
      </left>
      <right/>
      <top style="thin">
        <color theme="0" tint="-0.34998626667073579"/>
      </top>
      <bottom/>
      <diagonal/>
    </border>
    <border>
      <left/>
      <right/>
      <top style="thin">
        <color theme="0" tint="-0.34998626667073579"/>
      </top>
      <bottom/>
      <diagonal/>
    </border>
    <border>
      <left/>
      <right style="medium">
        <color indexed="64"/>
      </right>
      <top style="thin">
        <color theme="0" tint="-0.34998626667073579"/>
      </top>
      <bottom/>
      <diagonal/>
    </border>
    <border>
      <left style="thin">
        <color theme="0" tint="-0.24994659260841701"/>
      </left>
      <right style="thin">
        <color theme="0" tint="-0.14990691854609822"/>
      </right>
      <top style="double">
        <color indexed="64"/>
      </top>
      <bottom style="thin">
        <color theme="0" tint="-0.14990691854609822"/>
      </bottom>
      <diagonal/>
    </border>
    <border>
      <left style="thin">
        <color theme="0" tint="-0.24994659260841701"/>
      </left>
      <right style="thin">
        <color theme="0" tint="-0.14996795556505021"/>
      </right>
      <top style="thin">
        <color theme="0" tint="-0.24994659260841701"/>
      </top>
      <bottom style="thin">
        <color theme="0" tint="-0.14996795556505021"/>
      </bottom>
      <diagonal/>
    </border>
    <border>
      <left style="thin">
        <color theme="0" tint="-0.14996795556505021"/>
      </left>
      <right style="thin">
        <color theme="0" tint="-0.24994659260841701"/>
      </right>
      <top style="thin">
        <color theme="0" tint="-0.24994659260841701"/>
      </top>
      <bottom style="thin">
        <color theme="0" tint="-0.14996795556505021"/>
      </bottom>
      <diagonal/>
    </border>
    <border>
      <left style="thin">
        <color theme="0" tint="-0.14996795556505021"/>
      </left>
      <right style="thin">
        <color theme="0" tint="-0.24994659260841701"/>
      </right>
      <top style="thin">
        <color theme="0" tint="-0.24994659260841701"/>
      </top>
      <bottom style="thin">
        <color indexed="64"/>
      </bottom>
      <diagonal/>
    </border>
    <border>
      <left style="thin">
        <color theme="0" tint="-0.14996795556505021"/>
      </left>
      <right style="thin">
        <color theme="0" tint="-0.24994659260841701"/>
      </right>
      <top/>
      <bottom style="thin">
        <color theme="0" tint="-0.14996795556505021"/>
      </bottom>
      <diagonal/>
    </border>
    <border>
      <left style="thin">
        <color theme="0" tint="-0.14993743705557422"/>
      </left>
      <right style="thin">
        <color indexed="64"/>
      </right>
      <top style="thin">
        <color theme="0" tint="-0.14996795556505021"/>
      </top>
      <bottom style="thin">
        <color theme="0" tint="-0.14996795556505021"/>
      </bottom>
      <diagonal/>
    </border>
    <border>
      <left style="thin">
        <color indexed="64"/>
      </left>
      <right style="thin">
        <color theme="0" tint="-0.14996795556505021"/>
      </right>
      <top style="thin">
        <color indexed="64"/>
      </top>
      <bottom style="thin">
        <color indexed="64"/>
      </bottom>
      <diagonal/>
    </border>
    <border>
      <left style="thin">
        <color theme="0" tint="-0.14996795556505021"/>
      </left>
      <right style="thin">
        <color theme="0" tint="-0.14996795556505021"/>
      </right>
      <top style="thin">
        <color indexed="64"/>
      </top>
      <bottom style="thin">
        <color indexed="64"/>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thin">
        <color theme="0" tint="-0.14999847407452621"/>
      </left>
      <right style="thin">
        <color theme="0" tint="-0.14999847407452621"/>
      </right>
      <top style="thin">
        <color theme="0" tint="-0.14999847407452621"/>
      </top>
      <bottom style="medium">
        <color indexed="64"/>
      </bottom>
      <diagonal/>
    </border>
  </borders>
  <cellStyleXfs count="52">
    <xf numFmtId="0" fontId="0" fillId="0" borderId="0"/>
    <xf numFmtId="176" fontId="58" fillId="0" borderId="0" applyFont="0" applyFill="0" applyBorder="0" applyAlignment="0" applyProtection="0"/>
    <xf numFmtId="9" fontId="58" fillId="0" borderId="0" applyFont="0" applyFill="0" applyBorder="0" applyAlignment="0" applyProtection="0"/>
    <xf numFmtId="0" fontId="10" fillId="0" borderId="0"/>
    <xf numFmtId="177" fontId="10" fillId="0" borderId="0" applyFont="0" applyFill="0" applyBorder="0" applyAlignment="0" applyProtection="0"/>
    <xf numFmtId="0" fontId="10" fillId="0" borderId="0"/>
    <xf numFmtId="9" fontId="13" fillId="0" borderId="0" applyFont="0" applyFill="0" applyBorder="0" applyAlignment="0" applyProtection="0"/>
    <xf numFmtId="43" fontId="49" fillId="0" borderId="0" applyFont="0" applyFill="0" applyBorder="0" applyAlignment="0" applyProtection="0"/>
    <xf numFmtId="176" fontId="10" fillId="0" borderId="0" applyFont="0" applyFill="0" applyBorder="0" applyAlignment="0" applyProtection="0"/>
    <xf numFmtId="0" fontId="13" fillId="0" borderId="0"/>
    <xf numFmtId="9" fontId="10" fillId="0" borderId="0" applyFont="0" applyFill="0" applyBorder="0" applyAlignment="0" applyProtection="0"/>
    <xf numFmtId="9" fontId="10" fillId="0" borderId="0" applyFont="0" applyFill="0" applyBorder="0" applyAlignment="0" applyProtection="0"/>
    <xf numFmtId="0" fontId="83" fillId="0" borderId="0" applyNumberFormat="0" applyFill="0" applyBorder="0" applyAlignment="0" applyProtection="0"/>
    <xf numFmtId="190" fontId="13" fillId="0" borderId="0" applyFont="0" applyFill="0" applyBorder="0" applyAlignment="0" applyProtection="0"/>
    <xf numFmtId="177" fontId="58" fillId="0" borderId="0" applyFont="0" applyFill="0" applyBorder="0" applyAlignment="0" applyProtection="0"/>
    <xf numFmtId="0" fontId="118" fillId="0" borderId="0"/>
    <xf numFmtId="0" fontId="58" fillId="0" borderId="0"/>
    <xf numFmtId="0" fontId="7" fillId="0" borderId="0"/>
    <xf numFmtId="177" fontId="7" fillId="0" borderId="0" applyFont="0" applyFill="0" applyBorder="0" applyAlignment="0" applyProtection="0"/>
    <xf numFmtId="0" fontId="7" fillId="0" borderId="0"/>
    <xf numFmtId="176"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6" fillId="0" borderId="0"/>
    <xf numFmtId="177" fontId="6" fillId="0" borderId="0" applyFont="0" applyFill="0" applyBorder="0" applyAlignment="0" applyProtection="0"/>
    <xf numFmtId="0" fontId="6" fillId="0" borderId="0"/>
    <xf numFmtId="176"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77" fontId="6" fillId="0" borderId="0" applyFont="0" applyFill="0" applyBorder="0" applyAlignment="0" applyProtection="0"/>
    <xf numFmtId="0" fontId="58" fillId="0" borderId="0"/>
    <xf numFmtId="177" fontId="4" fillId="0" borderId="0" applyFont="0" applyFill="0" applyBorder="0" applyAlignment="0" applyProtection="0"/>
    <xf numFmtId="0" fontId="3" fillId="0" borderId="0"/>
    <xf numFmtId="177" fontId="3" fillId="0" borderId="0" applyFont="0" applyFill="0" applyBorder="0" applyAlignment="0" applyProtection="0"/>
    <xf numFmtId="0" fontId="3" fillId="0" borderId="0"/>
    <xf numFmtId="176"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7" fontId="3" fillId="0" borderId="0" applyFont="0" applyFill="0" applyBorder="0" applyAlignment="0" applyProtection="0"/>
    <xf numFmtId="0" fontId="2" fillId="0" borderId="0"/>
    <xf numFmtId="177" fontId="2" fillId="0" borderId="0" applyFont="0" applyFill="0" applyBorder="0" applyAlignment="0" applyProtection="0"/>
    <xf numFmtId="0" fontId="2" fillId="0" borderId="0"/>
    <xf numFmtId="177" fontId="2" fillId="0" borderId="0" applyFont="0" applyFill="0" applyBorder="0" applyAlignment="0" applyProtection="0"/>
    <xf numFmtId="176"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43" fontId="49" fillId="0" borderId="0" applyFont="0" applyFill="0" applyBorder="0" applyAlignment="0" applyProtection="0"/>
    <xf numFmtId="0" fontId="1" fillId="0" borderId="0">
      <alignment vertical="center"/>
    </xf>
    <xf numFmtId="43" fontId="1" fillId="0" borderId="0" applyFont="0" applyFill="0" applyBorder="0" applyAlignment="0" applyProtection="0">
      <alignment vertical="center"/>
    </xf>
    <xf numFmtId="190" fontId="49" fillId="0" borderId="0" applyFont="0" applyFill="0" applyBorder="0" applyAlignment="0" applyProtection="0"/>
    <xf numFmtId="9" fontId="1" fillId="0" borderId="0" applyFont="0" applyFill="0" applyBorder="0" applyAlignment="0" applyProtection="0">
      <alignment vertical="center"/>
    </xf>
    <xf numFmtId="0" fontId="2" fillId="0" borderId="0"/>
  </cellStyleXfs>
  <cellXfs count="1250">
    <xf numFmtId="0" fontId="0" fillId="0" borderId="0" xfId="0"/>
    <xf numFmtId="0" fontId="10" fillId="0" borderId="0" xfId="3"/>
    <xf numFmtId="0" fontId="10" fillId="0" borderId="0" xfId="3" applyAlignment="1">
      <alignment horizontal="left"/>
    </xf>
    <xf numFmtId="0" fontId="13" fillId="0" borderId="0" xfId="3" applyFont="1"/>
    <xf numFmtId="0" fontId="10" fillId="0" borderId="0" xfId="3" applyProtection="1">
      <protection locked="0"/>
    </xf>
    <xf numFmtId="0" fontId="14" fillId="0" borderId="0" xfId="3" applyFont="1" applyAlignment="1">
      <alignment vertical="center"/>
    </xf>
    <xf numFmtId="0" fontId="15" fillId="0" borderId="0" xfId="3" applyFont="1" applyAlignment="1">
      <alignment horizontal="left" vertical="center"/>
    </xf>
    <xf numFmtId="178" fontId="10" fillId="0" borderId="0" xfId="3" applyNumberFormat="1"/>
    <xf numFmtId="179" fontId="16" fillId="2" borderId="1" xfId="4" applyNumberFormat="1" applyFont="1" applyFill="1" applyBorder="1" applyAlignment="1" applyProtection="1">
      <alignment horizontal="left" vertical="center" wrapText="1"/>
      <protection locked="0"/>
    </xf>
    <xf numFmtId="179" fontId="17" fillId="2" borderId="2" xfId="4" applyNumberFormat="1" applyFont="1" applyFill="1" applyBorder="1" applyAlignment="1" applyProtection="1">
      <alignment vertical="center" wrapText="1"/>
      <protection locked="0"/>
    </xf>
    <xf numFmtId="179" fontId="17" fillId="2" borderId="1" xfId="4" applyNumberFormat="1" applyFont="1" applyFill="1" applyBorder="1" applyAlignment="1" applyProtection="1">
      <alignment horizontal="center" vertical="center" wrapText="1"/>
      <protection locked="0"/>
    </xf>
    <xf numFmtId="0" fontId="18" fillId="0" borderId="0" xfId="3" applyFont="1" applyAlignment="1">
      <alignment vertical="center" wrapText="1"/>
    </xf>
    <xf numFmtId="180" fontId="18" fillId="0" borderId="0" xfId="3" applyNumberFormat="1" applyFont="1" applyAlignment="1">
      <alignment vertical="center" wrapText="1"/>
    </xf>
    <xf numFmtId="0" fontId="19" fillId="0" borderId="0" xfId="3" applyFont="1" applyAlignment="1">
      <alignment horizontal="left" vertical="center" wrapText="1"/>
    </xf>
    <xf numFmtId="0" fontId="20" fillId="0" borderId="0" xfId="3" applyFont="1" applyAlignment="1">
      <alignment horizontal="left" vertical="center" wrapText="1"/>
    </xf>
    <xf numFmtId="0" fontId="21" fillId="2" borderId="2" xfId="3" applyFont="1" applyFill="1" applyBorder="1" applyAlignment="1">
      <alignment horizontal="center" vertical="center" wrapText="1"/>
    </xf>
    <xf numFmtId="0" fontId="21" fillId="3" borderId="1" xfId="3" applyFont="1" applyFill="1" applyBorder="1" applyAlignment="1">
      <alignment horizontal="center" vertical="center" wrapText="1"/>
    </xf>
    <xf numFmtId="0" fontId="23" fillId="0" borderId="0" xfId="3" applyFont="1"/>
    <xf numFmtId="0" fontId="24" fillId="0" borderId="0" xfId="3" applyFont="1" applyAlignment="1">
      <alignment horizontal="center"/>
    </xf>
    <xf numFmtId="0" fontId="25" fillId="0" borderId="0" xfId="3" applyFont="1" applyAlignment="1">
      <alignment horizontal="center"/>
    </xf>
    <xf numFmtId="179" fontId="26" fillId="4" borderId="0" xfId="4" applyNumberFormat="1" applyFont="1" applyFill="1"/>
    <xf numFmtId="179" fontId="26" fillId="4" borderId="0" xfId="4" applyNumberFormat="1" applyFont="1" applyFill="1" applyAlignment="1">
      <alignment horizontal="left"/>
    </xf>
    <xf numFmtId="0" fontId="28" fillId="4" borderId="3" xfId="4" applyNumberFormat="1" applyFont="1" applyFill="1" applyBorder="1" applyAlignment="1" applyProtection="1">
      <alignment horizontal="left"/>
    </xf>
    <xf numFmtId="0" fontId="29" fillId="2" borderId="4" xfId="5" applyFont="1" applyFill="1" applyBorder="1" applyAlignment="1" applyProtection="1">
      <alignment horizontal="center" vertical="center"/>
      <protection locked="0"/>
    </xf>
    <xf numFmtId="0" fontId="30" fillId="4" borderId="3" xfId="4" applyNumberFormat="1" applyFont="1" applyFill="1" applyBorder="1" applyAlignment="1" applyProtection="1">
      <alignment horizontal="centerContinuous"/>
    </xf>
    <xf numFmtId="0" fontId="30" fillId="4" borderId="6" xfId="4" applyNumberFormat="1" applyFont="1" applyFill="1" applyBorder="1" applyAlignment="1" applyProtection="1">
      <alignment horizontal="centerContinuous"/>
    </xf>
    <xf numFmtId="179" fontId="31" fillId="4" borderId="0" xfId="4" applyNumberFormat="1" applyFont="1" applyFill="1" applyAlignment="1">
      <alignment horizontal="left"/>
    </xf>
    <xf numFmtId="0" fontId="28" fillId="4" borderId="7" xfId="5" applyFont="1" applyFill="1" applyBorder="1" applyAlignment="1">
      <alignment horizontal="left" vertical="center"/>
    </xf>
    <xf numFmtId="0" fontId="29" fillId="2" borderId="8" xfId="5" applyFont="1" applyFill="1" applyBorder="1" applyAlignment="1" applyProtection="1">
      <alignment horizontal="center" vertical="center"/>
      <protection locked="0"/>
    </xf>
    <xf numFmtId="0" fontId="32" fillId="4" borderId="7" xfId="5" applyFont="1" applyFill="1" applyBorder="1" applyAlignment="1">
      <alignment horizontal="center" vertical="center"/>
    </xf>
    <xf numFmtId="0" fontId="32" fillId="4" borderId="10" xfId="5" applyFont="1" applyFill="1" applyBorder="1" applyAlignment="1">
      <alignment horizontal="center" vertical="center"/>
    </xf>
    <xf numFmtId="179" fontId="26" fillId="0" borderId="0" xfId="4" applyNumberFormat="1" applyFont="1"/>
    <xf numFmtId="37" fontId="30" fillId="5" borderId="0" xfId="5" applyNumberFormat="1" applyFont="1" applyFill="1" applyAlignment="1" applyProtection="1">
      <alignment horizontal="left" vertical="center"/>
      <protection locked="0"/>
    </xf>
    <xf numFmtId="37" fontId="30" fillId="5" borderId="0" xfId="5" applyNumberFormat="1" applyFont="1" applyFill="1" applyAlignment="1">
      <alignment vertical="center"/>
    </xf>
    <xf numFmtId="37" fontId="30" fillId="5" borderId="11" xfId="5" applyNumberFormat="1" applyFont="1" applyFill="1" applyBorder="1" applyAlignment="1">
      <alignment horizontal="center" vertical="center"/>
    </xf>
    <xf numFmtId="0" fontId="30" fillId="5" borderId="12" xfId="5" applyFont="1" applyFill="1" applyBorder="1" applyAlignment="1">
      <alignment horizontal="center" vertical="center"/>
    </xf>
    <xf numFmtId="0" fontId="30" fillId="5" borderId="13" xfId="5" applyFont="1" applyFill="1" applyBorder="1" applyAlignment="1">
      <alignment horizontal="center" vertical="center"/>
    </xf>
    <xf numFmtId="0" fontId="30" fillId="5" borderId="14" xfId="5" applyFont="1" applyFill="1" applyBorder="1" applyAlignment="1">
      <alignment horizontal="center" vertical="center"/>
    </xf>
    <xf numFmtId="179" fontId="26" fillId="0" borderId="0" xfId="4" applyNumberFormat="1" applyFont="1" applyAlignment="1">
      <alignment horizontal="right"/>
    </xf>
    <xf numFmtId="179" fontId="33" fillId="0" borderId="0" xfId="4" applyNumberFormat="1" applyFont="1"/>
    <xf numFmtId="179" fontId="16" fillId="0" borderId="15" xfId="4" applyNumberFormat="1" applyFont="1" applyBorder="1" applyAlignment="1">
      <alignment horizontal="center"/>
    </xf>
    <xf numFmtId="179" fontId="34" fillId="0" borderId="16" xfId="4" applyNumberFormat="1" applyFont="1" applyBorder="1" applyAlignment="1">
      <alignment horizontal="left"/>
    </xf>
    <xf numFmtId="179" fontId="35" fillId="0" borderId="0" xfId="4" applyNumberFormat="1" applyFont="1" applyBorder="1" applyAlignment="1">
      <alignment horizontal="right"/>
    </xf>
    <xf numFmtId="179" fontId="35" fillId="0" borderId="17" xfId="4" applyNumberFormat="1" applyFont="1" applyBorder="1" applyAlignment="1">
      <alignment horizontal="right"/>
    </xf>
    <xf numFmtId="179" fontId="36" fillId="0" borderId="0" xfId="4" applyNumberFormat="1" applyFont="1"/>
    <xf numFmtId="0" fontId="37" fillId="0" borderId="0" xfId="3" applyFont="1" applyAlignment="1">
      <alignment horizontal="center"/>
    </xf>
    <xf numFmtId="179" fontId="39" fillId="0" borderId="0" xfId="4" applyNumberFormat="1" applyFont="1"/>
    <xf numFmtId="179" fontId="39" fillId="0" borderId="0" xfId="4" applyNumberFormat="1" applyFont="1" applyAlignment="1">
      <alignment horizontal="right"/>
    </xf>
    <xf numFmtId="179" fontId="40" fillId="0" borderId="0" xfId="4" applyNumberFormat="1" applyFont="1" applyAlignment="1"/>
    <xf numFmtId="181" fontId="41" fillId="3" borderId="15" xfId="6" applyNumberFormat="1" applyFont="1" applyFill="1" applyBorder="1" applyAlignment="1">
      <alignment horizontal="right"/>
    </xf>
    <xf numFmtId="0" fontId="42" fillId="0" borderId="0" xfId="3" applyFont="1"/>
    <xf numFmtId="181" fontId="41" fillId="3" borderId="16" xfId="6" applyNumberFormat="1" applyFont="1" applyFill="1" applyBorder="1" applyAlignment="1">
      <alignment horizontal="right"/>
    </xf>
    <xf numFmtId="181" fontId="41" fillId="3" borderId="0" xfId="6" applyNumberFormat="1" applyFont="1" applyFill="1" applyBorder="1" applyAlignment="1">
      <alignment horizontal="right"/>
    </xf>
    <xf numFmtId="181" fontId="41" fillId="3" borderId="17" xfId="6" applyNumberFormat="1" applyFont="1" applyFill="1" applyBorder="1" applyAlignment="1">
      <alignment horizontal="right"/>
    </xf>
    <xf numFmtId="179" fontId="40" fillId="0" borderId="0" xfId="4" applyNumberFormat="1" applyFont="1"/>
    <xf numFmtId="178" fontId="43" fillId="3" borderId="16" xfId="4" applyNumberFormat="1" applyFont="1" applyFill="1" applyBorder="1" applyAlignment="1">
      <alignment horizontal="right"/>
    </xf>
    <xf numFmtId="178" fontId="43" fillId="3" borderId="0" xfId="4" applyNumberFormat="1" applyFont="1" applyFill="1" applyBorder="1" applyAlignment="1">
      <alignment horizontal="right"/>
    </xf>
    <xf numFmtId="178" fontId="43" fillId="3" borderId="17" xfId="4" applyNumberFormat="1" applyFont="1" applyFill="1" applyBorder="1" applyAlignment="1">
      <alignment horizontal="right"/>
    </xf>
    <xf numFmtId="181" fontId="43" fillId="3" borderId="15" xfId="6" applyNumberFormat="1" applyFont="1" applyFill="1" applyBorder="1" applyAlignment="1">
      <alignment horizontal="right"/>
    </xf>
    <xf numFmtId="181" fontId="43" fillId="3" borderId="16" xfId="6" applyNumberFormat="1" applyFont="1" applyFill="1" applyBorder="1" applyAlignment="1">
      <alignment horizontal="right"/>
    </xf>
    <xf numFmtId="181" fontId="43" fillId="3" borderId="0" xfId="6" applyNumberFormat="1" applyFont="1" applyFill="1" applyBorder="1" applyAlignment="1">
      <alignment horizontal="right"/>
    </xf>
    <xf numFmtId="181" fontId="43" fillId="3" borderId="17" xfId="6" applyNumberFormat="1" applyFont="1" applyFill="1" applyBorder="1" applyAlignment="1">
      <alignment horizontal="right"/>
    </xf>
    <xf numFmtId="181" fontId="43" fillId="3" borderId="22" xfId="6" applyNumberFormat="1" applyFont="1" applyFill="1" applyBorder="1" applyAlignment="1">
      <alignment horizontal="right"/>
    </xf>
    <xf numFmtId="181" fontId="43" fillId="3" borderId="23" xfId="6" applyNumberFormat="1" applyFont="1" applyFill="1" applyBorder="1" applyAlignment="1">
      <alignment horizontal="right"/>
    </xf>
    <xf numFmtId="181" fontId="43" fillId="3" borderId="7" xfId="6" applyNumberFormat="1" applyFont="1" applyFill="1" applyBorder="1" applyAlignment="1">
      <alignment horizontal="right"/>
    </xf>
    <xf numFmtId="181" fontId="43" fillId="3" borderId="24" xfId="6" applyNumberFormat="1" applyFont="1" applyFill="1" applyBorder="1" applyAlignment="1">
      <alignment horizontal="right"/>
    </xf>
    <xf numFmtId="0" fontId="10" fillId="0" borderId="0" xfId="5"/>
    <xf numFmtId="179" fontId="44" fillId="0" borderId="0" xfId="4" applyNumberFormat="1" applyFont="1"/>
    <xf numFmtId="178" fontId="38" fillId="3" borderId="25" xfId="4" applyNumberFormat="1" applyFont="1" applyFill="1" applyBorder="1" applyAlignment="1">
      <alignment horizontal="right"/>
    </xf>
    <xf numFmtId="178" fontId="43" fillId="3" borderId="26" xfId="4" applyNumberFormat="1" applyFont="1" applyFill="1" applyBorder="1" applyAlignment="1">
      <alignment horizontal="right"/>
    </xf>
    <xf numFmtId="178" fontId="43" fillId="3" borderId="27" xfId="4" applyNumberFormat="1" applyFont="1" applyFill="1" applyBorder="1" applyAlignment="1">
      <alignment horizontal="right"/>
    </xf>
    <xf numFmtId="178" fontId="43" fillId="3" borderId="28" xfId="4" applyNumberFormat="1" applyFont="1" applyFill="1" applyBorder="1" applyAlignment="1">
      <alignment horizontal="right"/>
    </xf>
    <xf numFmtId="179" fontId="40" fillId="0" borderId="0" xfId="4" applyNumberFormat="1" applyFont="1" applyFill="1"/>
    <xf numFmtId="179" fontId="45" fillId="0" borderId="0" xfId="4" applyNumberFormat="1" applyFont="1"/>
    <xf numFmtId="179" fontId="46" fillId="0" borderId="0" xfId="4" applyNumberFormat="1" applyFont="1" applyAlignment="1">
      <alignment horizontal="left" indent="1"/>
    </xf>
    <xf numFmtId="179" fontId="13" fillId="0" borderId="0" xfId="4" applyNumberFormat="1" applyFont="1" applyAlignment="1">
      <alignment horizontal="right"/>
    </xf>
    <xf numFmtId="0" fontId="47" fillId="0" borderId="0" xfId="3" applyFont="1"/>
    <xf numFmtId="179" fontId="48" fillId="0" borderId="0" xfId="4" applyNumberFormat="1" applyFont="1" applyAlignment="1">
      <alignment horizontal="left" indent="1"/>
    </xf>
    <xf numFmtId="179" fontId="17" fillId="0" borderId="11" xfId="4" applyNumberFormat="1" applyFont="1" applyBorder="1" applyAlignment="1">
      <alignment horizontal="center"/>
    </xf>
    <xf numFmtId="179" fontId="43" fillId="0" borderId="12" xfId="4" applyNumberFormat="1" applyFont="1" applyBorder="1" applyAlignment="1">
      <alignment horizontal="right"/>
    </xf>
    <xf numFmtId="179" fontId="43" fillId="0" borderId="13" xfId="4" applyNumberFormat="1" applyFont="1" applyBorder="1" applyAlignment="1">
      <alignment horizontal="right"/>
    </xf>
    <xf numFmtId="179" fontId="43" fillId="0" borderId="14" xfId="4" applyNumberFormat="1" applyFont="1" applyBorder="1" applyAlignment="1">
      <alignment horizontal="right"/>
    </xf>
    <xf numFmtId="178" fontId="38" fillId="3" borderId="15" xfId="4" applyNumberFormat="1" applyFont="1" applyFill="1" applyBorder="1" applyAlignment="1">
      <alignment horizontal="right"/>
    </xf>
    <xf numFmtId="0" fontId="51" fillId="0" borderId="0" xfId="3" applyFont="1"/>
    <xf numFmtId="182" fontId="43" fillId="3" borderId="16" xfId="4" applyNumberFormat="1" applyFont="1" applyFill="1" applyBorder="1" applyAlignment="1">
      <alignment horizontal="right"/>
    </xf>
    <xf numFmtId="182" fontId="43" fillId="3" borderId="0" xfId="4" applyNumberFormat="1" applyFont="1" applyFill="1" applyBorder="1" applyAlignment="1">
      <alignment horizontal="right"/>
    </xf>
    <xf numFmtId="182" fontId="43" fillId="3" borderId="17" xfId="4" applyNumberFormat="1" applyFont="1" applyFill="1" applyBorder="1" applyAlignment="1">
      <alignment horizontal="right"/>
    </xf>
    <xf numFmtId="179" fontId="52" fillId="0" borderId="0" xfId="4" applyNumberFormat="1" applyFont="1" applyAlignment="1">
      <alignment horizontal="center" vertical="center" wrapText="1"/>
    </xf>
    <xf numFmtId="179" fontId="26" fillId="0" borderId="43" xfId="4" applyNumberFormat="1" applyFont="1" applyBorder="1"/>
    <xf numFmtId="0" fontId="51" fillId="0" borderId="20" xfId="3" applyFont="1" applyBorder="1"/>
    <xf numFmtId="0" fontId="51" fillId="0" borderId="3" xfId="3" applyFont="1" applyBorder="1"/>
    <xf numFmtId="0" fontId="51" fillId="0" borderId="21" xfId="3" applyFont="1" applyBorder="1"/>
    <xf numFmtId="181" fontId="43" fillId="3" borderId="39" xfId="6" applyNumberFormat="1" applyFont="1" applyFill="1" applyBorder="1" applyAlignment="1">
      <alignment horizontal="right"/>
    </xf>
    <xf numFmtId="181" fontId="43" fillId="3" borderId="40" xfId="6" applyNumberFormat="1" applyFont="1" applyFill="1" applyBorder="1" applyAlignment="1">
      <alignment horizontal="right"/>
    </xf>
    <xf numFmtId="181" fontId="43" fillId="3" borderId="41" xfId="6" applyNumberFormat="1" applyFont="1" applyFill="1" applyBorder="1" applyAlignment="1">
      <alignment horizontal="right"/>
    </xf>
    <xf numFmtId="181" fontId="43" fillId="3" borderId="42" xfId="6" applyNumberFormat="1" applyFont="1" applyFill="1" applyBorder="1" applyAlignment="1">
      <alignment horizontal="right"/>
    </xf>
    <xf numFmtId="0" fontId="10" fillId="0" borderId="0" xfId="3" applyAlignment="1">
      <alignment horizontal="right"/>
    </xf>
    <xf numFmtId="179" fontId="26" fillId="0" borderId="0" xfId="4" applyNumberFormat="1" applyFont="1" applyAlignment="1">
      <alignment horizontal="left" indent="1"/>
    </xf>
    <xf numFmtId="178" fontId="53" fillId="0" borderId="0" xfId="3" applyNumberFormat="1" applyFont="1" applyAlignment="1">
      <alignment horizontal="right"/>
    </xf>
    <xf numFmtId="179" fontId="26" fillId="0" borderId="0" xfId="4" applyNumberFormat="1" applyFont="1" applyAlignment="1">
      <alignment horizontal="left"/>
    </xf>
    <xf numFmtId="179" fontId="26" fillId="0" borderId="31" xfId="4" applyNumberFormat="1" applyFont="1" applyBorder="1" applyAlignment="1">
      <alignment horizontal="center"/>
    </xf>
    <xf numFmtId="179" fontId="26" fillId="0" borderId="20" xfId="4" applyNumberFormat="1" applyFont="1" applyBorder="1"/>
    <xf numFmtId="179" fontId="26" fillId="0" borderId="3" xfId="4" applyNumberFormat="1" applyFont="1" applyBorder="1"/>
    <xf numFmtId="179" fontId="26" fillId="0" borderId="21" xfId="4" applyNumberFormat="1" applyFont="1" applyBorder="1"/>
    <xf numFmtId="37" fontId="30" fillId="6" borderId="0" xfId="5" applyNumberFormat="1" applyFont="1" applyFill="1" applyAlignment="1">
      <alignment horizontal="left" vertical="center"/>
    </xf>
    <xf numFmtId="37" fontId="30" fillId="6" borderId="0" xfId="5" applyNumberFormat="1" applyFont="1" applyFill="1" applyAlignment="1">
      <alignment vertical="center"/>
    </xf>
    <xf numFmtId="0" fontId="10" fillId="6" borderId="0" xfId="3" applyFill="1"/>
    <xf numFmtId="0" fontId="30" fillId="6" borderId="0" xfId="5" applyFont="1" applyFill="1" applyAlignment="1">
      <alignment horizontal="center" vertical="center"/>
    </xf>
    <xf numFmtId="179" fontId="54" fillId="0" borderId="15" xfId="4" applyNumberFormat="1" applyFont="1" applyBorder="1" applyAlignment="1">
      <alignment horizontal="center"/>
    </xf>
    <xf numFmtId="179" fontId="26" fillId="0" borderId="16" xfId="4" applyNumberFormat="1" applyFont="1" applyBorder="1"/>
    <xf numFmtId="179" fontId="26" fillId="0" borderId="0" xfId="4" applyNumberFormat="1" applyFont="1" applyBorder="1"/>
    <xf numFmtId="179" fontId="26" fillId="0" borderId="17" xfId="4" applyNumberFormat="1" applyFont="1" applyBorder="1"/>
    <xf numFmtId="178" fontId="38" fillId="3" borderId="43" xfId="4" applyNumberFormat="1" applyFont="1" applyFill="1" applyBorder="1" applyAlignment="1">
      <alignment horizontal="right"/>
    </xf>
    <xf numFmtId="178" fontId="43" fillId="3" borderId="44" xfId="4" applyNumberFormat="1" applyFont="1" applyFill="1" applyBorder="1" applyAlignment="1">
      <alignment horizontal="right"/>
    </xf>
    <xf numFmtId="178" fontId="43" fillId="3" borderId="45" xfId="4" applyNumberFormat="1" applyFont="1" applyFill="1" applyBorder="1" applyAlignment="1">
      <alignment horizontal="right"/>
    </xf>
    <xf numFmtId="178" fontId="43" fillId="3" borderId="46" xfId="4" applyNumberFormat="1" applyFont="1" applyFill="1" applyBorder="1" applyAlignment="1">
      <alignment horizontal="right"/>
    </xf>
    <xf numFmtId="179" fontId="38" fillId="0" borderId="19" xfId="4" applyNumberFormat="1" applyFont="1" applyBorder="1" applyAlignment="1">
      <alignment horizontal="right"/>
    </xf>
    <xf numFmtId="179" fontId="43" fillId="0" borderId="20" xfId="4" applyNumberFormat="1" applyFont="1" applyBorder="1" applyAlignment="1">
      <alignment horizontal="right"/>
    </xf>
    <xf numFmtId="179" fontId="43" fillId="0" borderId="3" xfId="4" applyNumberFormat="1" applyFont="1" applyBorder="1" applyAlignment="1">
      <alignment horizontal="right"/>
    </xf>
    <xf numFmtId="179" fontId="43" fillId="0" borderId="21" xfId="4" applyNumberFormat="1" applyFont="1" applyBorder="1" applyAlignment="1">
      <alignment horizontal="right"/>
    </xf>
    <xf numFmtId="179" fontId="26" fillId="0" borderId="0" xfId="4" applyNumberFormat="1" applyFont="1" applyAlignment="1">
      <alignment vertical="center"/>
    </xf>
    <xf numFmtId="179" fontId="38" fillId="0" borderId="15" xfId="4" applyNumberFormat="1" applyFont="1" applyBorder="1" applyAlignment="1">
      <alignment horizontal="right"/>
    </xf>
    <xf numFmtId="179" fontId="43" fillId="0" borderId="16" xfId="4" applyNumberFormat="1" applyFont="1" applyBorder="1" applyAlignment="1">
      <alignment horizontal="right"/>
    </xf>
    <xf numFmtId="179" fontId="43" fillId="0" borderId="0" xfId="4" applyNumberFormat="1" applyFont="1" applyBorder="1" applyAlignment="1">
      <alignment horizontal="right"/>
    </xf>
    <xf numFmtId="179" fontId="43" fillId="0" borderId="17" xfId="4" applyNumberFormat="1" applyFont="1" applyBorder="1" applyAlignment="1">
      <alignment horizontal="right"/>
    </xf>
    <xf numFmtId="0" fontId="26" fillId="0" borderId="0" xfId="3" applyFont="1" applyAlignment="1">
      <alignment horizontal="right"/>
    </xf>
    <xf numFmtId="0" fontId="39" fillId="0" borderId="0" xfId="3" applyFont="1" applyAlignment="1">
      <alignment horizontal="right"/>
    </xf>
    <xf numFmtId="179" fontId="13" fillId="0" borderId="0" xfId="4" applyNumberFormat="1" applyFont="1"/>
    <xf numFmtId="179" fontId="13" fillId="0" borderId="47" xfId="4" applyNumberFormat="1" applyFont="1" applyBorder="1"/>
    <xf numFmtId="179" fontId="26" fillId="0" borderId="48" xfId="4" applyNumberFormat="1" applyFont="1" applyBorder="1" applyAlignment="1">
      <alignment horizontal="right"/>
    </xf>
    <xf numFmtId="179" fontId="26" fillId="0" borderId="49" xfId="4" applyNumberFormat="1" applyFont="1" applyBorder="1" applyAlignment="1">
      <alignment horizontal="right"/>
    </xf>
    <xf numFmtId="179" fontId="26" fillId="0" borderId="50" xfId="4" applyNumberFormat="1" applyFont="1" applyBorder="1" applyAlignment="1">
      <alignment horizontal="right"/>
    </xf>
    <xf numFmtId="37" fontId="30" fillId="5" borderId="0" xfId="5" applyNumberFormat="1" applyFont="1" applyFill="1" applyAlignment="1">
      <alignment horizontal="left" vertical="center"/>
    </xf>
    <xf numFmtId="0" fontId="30" fillId="5" borderId="0" xfId="5" applyFont="1" applyFill="1" applyAlignment="1">
      <alignment horizontal="center" vertical="center"/>
    </xf>
    <xf numFmtId="0" fontId="13" fillId="0" borderId="0" xfId="5" applyFont="1" applyAlignment="1">
      <alignment horizontal="center"/>
    </xf>
    <xf numFmtId="179" fontId="54" fillId="0" borderId="0" xfId="4" applyNumberFormat="1" applyFont="1" applyAlignment="1">
      <alignment horizontal="center"/>
    </xf>
    <xf numFmtId="0" fontId="44" fillId="0" borderId="0" xfId="9" applyFont="1" applyAlignment="1">
      <alignment vertical="center" wrapText="1"/>
    </xf>
    <xf numFmtId="0" fontId="26" fillId="0" borderId="0" xfId="9" applyFont="1" applyAlignment="1">
      <alignment horizontal="center" vertical="center" wrapText="1"/>
    </xf>
    <xf numFmtId="0" fontId="44" fillId="0" borderId="0" xfId="9" applyFont="1" applyAlignment="1">
      <alignment horizontal="left" vertical="center" wrapText="1" indent="1"/>
    </xf>
    <xf numFmtId="0" fontId="26" fillId="0" borderId="0" xfId="9" applyFont="1" applyAlignment="1">
      <alignment horizontal="left" vertical="center" wrapText="1" indent="2"/>
    </xf>
    <xf numFmtId="179" fontId="26" fillId="0" borderId="0" xfId="4" applyNumberFormat="1" applyFont="1" applyBorder="1" applyAlignment="1">
      <alignment horizontal="right"/>
    </xf>
    <xf numFmtId="179" fontId="44" fillId="0" borderId="0" xfId="4" applyNumberFormat="1" applyFont="1" applyBorder="1" applyAlignment="1">
      <alignment horizontal="center"/>
    </xf>
    <xf numFmtId="0" fontId="56" fillId="0" borderId="0" xfId="11" applyNumberFormat="1" applyFont="1" applyBorder="1"/>
    <xf numFmtId="179" fontId="33" fillId="0" borderId="0" xfId="4" applyNumberFormat="1" applyFont="1" applyBorder="1"/>
    <xf numFmtId="179" fontId="13" fillId="0" borderId="0" xfId="4" applyNumberFormat="1" applyFont="1" applyBorder="1" applyAlignment="1">
      <alignment horizontal="left"/>
    </xf>
    <xf numFmtId="179" fontId="55" fillId="2" borderId="71" xfId="4" applyNumberFormat="1" applyFont="1" applyFill="1" applyBorder="1" applyProtection="1">
      <protection locked="0"/>
    </xf>
    <xf numFmtId="0" fontId="57" fillId="3" borderId="72" xfId="4" applyNumberFormat="1" applyFont="1" applyFill="1" applyBorder="1" applyAlignment="1">
      <alignment horizontal="right"/>
    </xf>
    <xf numFmtId="0" fontId="57" fillId="3" borderId="73" xfId="4" applyNumberFormat="1" applyFont="1" applyFill="1" applyBorder="1" applyAlignment="1">
      <alignment horizontal="right"/>
    </xf>
    <xf numFmtId="0" fontId="26" fillId="0" borderId="0" xfId="3" applyFont="1" applyAlignment="1">
      <alignment horizontal="center"/>
    </xf>
    <xf numFmtId="184" fontId="43" fillId="3" borderId="74" xfId="4" applyNumberFormat="1" applyFont="1" applyFill="1" applyBorder="1" applyAlignment="1">
      <alignment horizontal="center"/>
    </xf>
    <xf numFmtId="179" fontId="55" fillId="2" borderId="75" xfId="4" applyNumberFormat="1" applyFont="1" applyFill="1" applyBorder="1" applyProtection="1">
      <protection locked="0"/>
    </xf>
    <xf numFmtId="179" fontId="55" fillId="2" borderId="76" xfId="4" applyNumberFormat="1" applyFont="1" applyFill="1" applyBorder="1" applyProtection="1">
      <protection locked="0"/>
    </xf>
    <xf numFmtId="179" fontId="55" fillId="2" borderId="77" xfId="4" applyNumberFormat="1" applyFont="1" applyFill="1" applyBorder="1" applyProtection="1">
      <protection locked="0"/>
    </xf>
    <xf numFmtId="184" fontId="43" fillId="3" borderId="78" xfId="4" applyNumberFormat="1" applyFont="1" applyFill="1" applyBorder="1" applyAlignment="1">
      <alignment horizontal="center"/>
    </xf>
    <xf numFmtId="181" fontId="55" fillId="2" borderId="75" xfId="6" applyNumberFormat="1" applyFont="1" applyFill="1" applyBorder="1" applyProtection="1">
      <protection locked="0"/>
    </xf>
    <xf numFmtId="181" fontId="55" fillId="2" borderId="76" xfId="6" applyNumberFormat="1" applyFont="1" applyFill="1" applyBorder="1" applyProtection="1">
      <protection locked="0"/>
    </xf>
    <xf numFmtId="181" fontId="55" fillId="2" borderId="77" xfId="6" applyNumberFormat="1" applyFont="1" applyFill="1" applyBorder="1" applyProtection="1">
      <protection locked="0"/>
    </xf>
    <xf numFmtId="9" fontId="10" fillId="0" borderId="0" xfId="2" applyFont="1"/>
    <xf numFmtId="9" fontId="26" fillId="0" borderId="0" xfId="2" applyFont="1" applyAlignment="1">
      <alignment horizontal="center"/>
    </xf>
    <xf numFmtId="181" fontId="43" fillId="3" borderId="65" xfId="10" applyNumberFormat="1" applyFont="1" applyFill="1" applyBorder="1" applyAlignment="1">
      <alignment horizontal="right"/>
    </xf>
    <xf numFmtId="181" fontId="55" fillId="2" borderId="69" xfId="6" applyNumberFormat="1" applyFont="1" applyFill="1" applyBorder="1" applyProtection="1">
      <protection locked="0"/>
    </xf>
    <xf numFmtId="181" fontId="55" fillId="2" borderId="70" xfId="6" applyNumberFormat="1" applyFont="1" applyFill="1" applyBorder="1" applyProtection="1">
      <protection locked="0"/>
    </xf>
    <xf numFmtId="181" fontId="55" fillId="2" borderId="80" xfId="6" applyNumberFormat="1" applyFont="1" applyFill="1" applyBorder="1" applyProtection="1">
      <protection locked="0"/>
    </xf>
    <xf numFmtId="179" fontId="26" fillId="0" borderId="0" xfId="4" applyNumberFormat="1" applyFont="1" applyAlignment="1">
      <alignment horizontal="left" indent="2"/>
    </xf>
    <xf numFmtId="179" fontId="26" fillId="0" borderId="0" xfId="4" applyNumberFormat="1" applyFont="1" applyBorder="1" applyAlignment="1">
      <alignment horizontal="center"/>
    </xf>
    <xf numFmtId="181" fontId="38" fillId="3" borderId="65" xfId="10" applyNumberFormat="1" applyFont="1" applyFill="1" applyBorder="1" applyAlignment="1">
      <alignment horizontal="right"/>
    </xf>
    <xf numFmtId="181" fontId="55" fillId="2" borderId="81" xfId="11" applyNumberFormat="1" applyFont="1" applyFill="1" applyBorder="1" applyProtection="1">
      <protection locked="0"/>
    </xf>
    <xf numFmtId="181" fontId="55" fillId="2" borderId="82" xfId="11" applyNumberFormat="1" applyFont="1" applyFill="1" applyBorder="1" applyProtection="1">
      <protection locked="0"/>
    </xf>
    <xf numFmtId="181" fontId="55" fillId="2" borderId="83" xfId="11" applyNumberFormat="1" applyFont="1" applyFill="1" applyBorder="1" applyProtection="1">
      <protection locked="0"/>
    </xf>
    <xf numFmtId="179" fontId="26" fillId="0" borderId="0" xfId="4" applyNumberFormat="1" applyFont="1" applyAlignment="1">
      <alignment horizontal="center"/>
    </xf>
    <xf numFmtId="179" fontId="44" fillId="0" borderId="0" xfId="4" applyNumberFormat="1" applyFont="1" applyAlignment="1">
      <alignment horizontal="right"/>
    </xf>
    <xf numFmtId="181" fontId="43" fillId="3" borderId="60" xfId="2" applyNumberFormat="1" applyFont="1" applyFill="1" applyBorder="1" applyAlignment="1">
      <alignment horizontal="right"/>
    </xf>
    <xf numFmtId="178" fontId="43" fillId="3" borderId="60" xfId="4" applyNumberFormat="1" applyFont="1" applyFill="1" applyBorder="1"/>
    <xf numFmtId="186" fontId="43" fillId="3" borderId="60" xfId="6" applyNumberFormat="1" applyFont="1" applyFill="1" applyBorder="1" applyAlignment="1">
      <alignment horizontal="right"/>
    </xf>
    <xf numFmtId="181" fontId="55" fillId="0" borderId="0" xfId="6" applyNumberFormat="1" applyFont="1"/>
    <xf numFmtId="181" fontId="38" fillId="3" borderId="84" xfId="10" applyNumberFormat="1" applyFont="1" applyFill="1" applyBorder="1" applyAlignment="1">
      <alignment horizontal="right"/>
    </xf>
    <xf numFmtId="179" fontId="55" fillId="2" borderId="85" xfId="4" applyNumberFormat="1" applyFont="1" applyFill="1" applyBorder="1" applyAlignment="1" applyProtection="1">
      <alignment horizontal="center"/>
      <protection locked="0"/>
    </xf>
    <xf numFmtId="181" fontId="38" fillId="3" borderId="86" xfId="10" applyNumberFormat="1" applyFont="1" applyFill="1" applyBorder="1" applyAlignment="1">
      <alignment horizontal="right"/>
    </xf>
    <xf numFmtId="181" fontId="55" fillId="2" borderId="87" xfId="11" applyNumberFormat="1" applyFont="1" applyFill="1" applyBorder="1" applyProtection="1">
      <protection locked="0"/>
    </xf>
    <xf numFmtId="181" fontId="55" fillId="2" borderId="88" xfId="11" applyNumberFormat="1" applyFont="1" applyFill="1" applyBorder="1" applyProtection="1">
      <protection locked="0"/>
    </xf>
    <xf numFmtId="181" fontId="55" fillId="2" borderId="89" xfId="11" applyNumberFormat="1" applyFont="1" applyFill="1" applyBorder="1" applyProtection="1">
      <protection locked="0"/>
    </xf>
    <xf numFmtId="178" fontId="55" fillId="2" borderId="90" xfId="4" applyNumberFormat="1" applyFont="1" applyFill="1" applyBorder="1" applyProtection="1">
      <protection locked="0"/>
    </xf>
    <xf numFmtId="178" fontId="55" fillId="2" borderId="91" xfId="4" applyNumberFormat="1" applyFont="1" applyFill="1" applyBorder="1" applyProtection="1">
      <protection locked="0"/>
    </xf>
    <xf numFmtId="178" fontId="55" fillId="2" borderId="92" xfId="4" applyNumberFormat="1" applyFont="1" applyFill="1" applyBorder="1" applyProtection="1">
      <protection locked="0"/>
    </xf>
    <xf numFmtId="0" fontId="25" fillId="0" borderId="0" xfId="3" applyFont="1" applyAlignment="1">
      <alignment horizontal="right"/>
    </xf>
    <xf numFmtId="178" fontId="43" fillId="3" borderId="96" xfId="4" applyNumberFormat="1" applyFont="1" applyFill="1" applyBorder="1"/>
    <xf numFmtId="178" fontId="43" fillId="3" borderId="97" xfId="4" applyNumberFormat="1" applyFont="1" applyFill="1" applyBorder="1"/>
    <xf numFmtId="178" fontId="43" fillId="3" borderId="98" xfId="4" applyNumberFormat="1" applyFont="1" applyFill="1" applyBorder="1"/>
    <xf numFmtId="179" fontId="55" fillId="2" borderId="84" xfId="4" applyNumberFormat="1" applyFont="1" applyFill="1" applyBorder="1" applyAlignment="1" applyProtection="1">
      <alignment horizontal="center"/>
      <protection locked="0"/>
    </xf>
    <xf numFmtId="185" fontId="52" fillId="3" borderId="84" xfId="4" applyNumberFormat="1" applyFont="1" applyFill="1" applyBorder="1" applyAlignment="1">
      <alignment horizontal="center"/>
    </xf>
    <xf numFmtId="185" fontId="52" fillId="3" borderId="85" xfId="4" applyNumberFormat="1" applyFont="1" applyFill="1" applyBorder="1" applyAlignment="1">
      <alignment horizontal="center"/>
    </xf>
    <xf numFmtId="185" fontId="52" fillId="3" borderId="86" xfId="4" applyNumberFormat="1" applyFont="1" applyFill="1" applyBorder="1" applyAlignment="1">
      <alignment horizontal="center"/>
    </xf>
    <xf numFmtId="179" fontId="44" fillId="0" borderId="0" xfId="4" applyNumberFormat="1" applyFont="1" applyAlignment="1">
      <alignment horizontal="left"/>
    </xf>
    <xf numFmtId="0" fontId="13" fillId="0" borderId="0" xfId="3" applyFont="1" applyAlignment="1">
      <alignment horizontal="center"/>
    </xf>
    <xf numFmtId="179" fontId="61" fillId="0" borderId="0" xfId="4" applyNumberFormat="1" applyFont="1" applyAlignment="1">
      <alignment horizontal="center" vertical="center"/>
    </xf>
    <xf numFmtId="37" fontId="30" fillId="5" borderId="107" xfId="5" applyNumberFormat="1" applyFont="1" applyFill="1" applyBorder="1" applyAlignment="1">
      <alignment horizontal="center" vertical="center"/>
    </xf>
    <xf numFmtId="37" fontId="30" fillId="5" borderId="108" xfId="5" applyNumberFormat="1" applyFont="1" applyFill="1" applyBorder="1" applyAlignment="1">
      <alignment horizontal="center" vertical="center"/>
    </xf>
    <xf numFmtId="0" fontId="30" fillId="5" borderId="109" xfId="5" applyFont="1" applyFill="1" applyBorder="1" applyAlignment="1">
      <alignment horizontal="center" vertical="center"/>
    </xf>
    <xf numFmtId="0" fontId="30" fillId="5" borderId="110" xfId="5" applyFont="1" applyFill="1" applyBorder="1" applyAlignment="1">
      <alignment horizontal="center" vertical="center"/>
    </xf>
    <xf numFmtId="0" fontId="12" fillId="0" borderId="0" xfId="3" applyFont="1" applyAlignment="1">
      <alignment horizontal="left"/>
    </xf>
    <xf numFmtId="0" fontId="62" fillId="0" borderId="0" xfId="3" applyFont="1"/>
    <xf numFmtId="0" fontId="10" fillId="0" borderId="110" xfId="3" applyBorder="1"/>
    <xf numFmtId="0" fontId="63" fillId="0" borderId="0" xfId="3" applyFont="1" applyAlignment="1">
      <alignment horizontal="left"/>
    </xf>
    <xf numFmtId="179" fontId="44" fillId="0" borderId="7" xfId="4" applyNumberFormat="1" applyFont="1" applyBorder="1"/>
    <xf numFmtId="178" fontId="43" fillId="3" borderId="112" xfId="4" applyNumberFormat="1" applyFont="1" applyFill="1" applyBorder="1" applyAlignment="1">
      <alignment horizontal="center"/>
    </xf>
    <xf numFmtId="181" fontId="43" fillId="3" borderId="115" xfId="10" applyNumberFormat="1" applyFont="1" applyFill="1" applyBorder="1" applyAlignment="1">
      <alignment horizontal="center"/>
    </xf>
    <xf numFmtId="178" fontId="43" fillId="3" borderId="117" xfId="4" applyNumberFormat="1" applyFont="1" applyFill="1" applyBorder="1"/>
    <xf numFmtId="181" fontId="43" fillId="3" borderId="118" xfId="10" applyNumberFormat="1" applyFont="1" applyFill="1" applyBorder="1" applyAlignment="1">
      <alignment horizontal="center"/>
    </xf>
    <xf numFmtId="178" fontId="43" fillId="3" borderId="111" xfId="4" applyNumberFormat="1" applyFont="1" applyFill="1" applyBorder="1"/>
    <xf numFmtId="181" fontId="43" fillId="3" borderId="112" xfId="10" applyNumberFormat="1" applyFont="1" applyFill="1" applyBorder="1" applyAlignment="1">
      <alignment horizontal="center"/>
    </xf>
    <xf numFmtId="179" fontId="44" fillId="0" borderId="3" xfId="4" applyNumberFormat="1" applyFont="1" applyBorder="1"/>
    <xf numFmtId="181" fontId="43" fillId="3" borderId="119" xfId="10" applyNumberFormat="1" applyFont="1" applyFill="1" applyBorder="1" applyAlignment="1">
      <alignment horizontal="center"/>
    </xf>
    <xf numFmtId="0" fontId="64" fillId="0" borderId="0" xfId="3" applyFont="1"/>
    <xf numFmtId="0" fontId="65" fillId="0" borderId="0" xfId="3" applyFont="1" applyAlignment="1">
      <alignment horizontal="left"/>
    </xf>
    <xf numFmtId="179" fontId="66" fillId="0" borderId="121" xfId="4" applyNumberFormat="1" applyFont="1" applyBorder="1"/>
    <xf numFmtId="181" fontId="67" fillId="3" borderId="114" xfId="10" applyNumberFormat="1" applyFont="1" applyFill="1" applyBorder="1"/>
    <xf numFmtId="181" fontId="67" fillId="3" borderId="115" xfId="10" applyNumberFormat="1" applyFont="1" applyFill="1" applyBorder="1" applyAlignment="1">
      <alignment horizontal="center"/>
    </xf>
    <xf numFmtId="0" fontId="64" fillId="0" borderId="0" xfId="3" applyFont="1" applyProtection="1">
      <protection locked="0"/>
    </xf>
    <xf numFmtId="181" fontId="67" fillId="3" borderId="57" xfId="10" applyNumberFormat="1" applyFont="1" applyFill="1" applyBorder="1"/>
    <xf numFmtId="0" fontId="68" fillId="0" borderId="0" xfId="3" applyFont="1"/>
    <xf numFmtId="181" fontId="43" fillId="3" borderId="123" xfId="10" applyNumberFormat="1" applyFont="1" applyFill="1" applyBorder="1" applyAlignment="1">
      <alignment horizontal="center"/>
    </xf>
    <xf numFmtId="181" fontId="43" fillId="3" borderId="126" xfId="10" applyNumberFormat="1" applyFont="1" applyFill="1" applyBorder="1" applyAlignment="1">
      <alignment horizontal="center"/>
    </xf>
    <xf numFmtId="179" fontId="44" fillId="0" borderId="45" xfId="4" applyNumberFormat="1" applyFont="1" applyBorder="1"/>
    <xf numFmtId="181" fontId="43" fillId="3" borderId="128" xfId="10" applyNumberFormat="1" applyFont="1" applyFill="1" applyBorder="1" applyAlignment="1">
      <alignment horizontal="center"/>
    </xf>
    <xf numFmtId="179" fontId="44" fillId="0" borderId="133" xfId="4" applyNumberFormat="1" applyFont="1" applyBorder="1"/>
    <xf numFmtId="178" fontId="43" fillId="3" borderId="134" xfId="4" applyNumberFormat="1" applyFont="1" applyFill="1" applyBorder="1"/>
    <xf numFmtId="181" fontId="43" fillId="3" borderId="135" xfId="10" applyNumberFormat="1" applyFont="1" applyFill="1" applyBorder="1" applyAlignment="1">
      <alignment horizontal="center"/>
    </xf>
    <xf numFmtId="179" fontId="44" fillId="0" borderId="37" xfId="4" applyNumberFormat="1" applyFont="1" applyBorder="1"/>
    <xf numFmtId="181" fontId="43" fillId="3" borderId="138" xfId="10" applyNumberFormat="1" applyFont="1" applyFill="1" applyBorder="1" applyAlignment="1">
      <alignment horizontal="center"/>
    </xf>
    <xf numFmtId="0" fontId="10" fillId="0" borderId="0" xfId="3" applyAlignment="1">
      <alignment vertical="center"/>
    </xf>
    <xf numFmtId="0" fontId="63" fillId="0" borderId="0" xfId="3" applyFont="1" applyAlignment="1">
      <alignment horizontal="left" vertical="center"/>
    </xf>
    <xf numFmtId="179" fontId="13" fillId="0" borderId="18" xfId="4" applyNumberFormat="1" applyFont="1" applyBorder="1" applyAlignment="1">
      <alignment vertical="center"/>
    </xf>
    <xf numFmtId="181" fontId="69" fillId="3" borderId="139" xfId="10" applyNumberFormat="1" applyFont="1" applyFill="1" applyBorder="1" applyAlignment="1">
      <alignment vertical="center"/>
    </xf>
    <xf numFmtId="181" fontId="69" fillId="3" borderId="140" xfId="10" applyNumberFormat="1" applyFont="1" applyFill="1" applyBorder="1" applyAlignment="1">
      <alignment horizontal="center" vertical="center"/>
    </xf>
    <xf numFmtId="0" fontId="10" fillId="0" borderId="0" xfId="3" applyAlignment="1" applyProtection="1">
      <alignment vertical="center"/>
      <protection locked="0"/>
    </xf>
    <xf numFmtId="181" fontId="16" fillId="3" borderId="141" xfId="10" applyNumberFormat="1" applyFont="1" applyFill="1" applyBorder="1" applyAlignment="1">
      <alignment vertical="center"/>
    </xf>
    <xf numFmtId="0" fontId="63" fillId="0" borderId="107" xfId="3" applyFont="1" applyBorder="1" applyAlignment="1">
      <alignment horizontal="left" vertical="center"/>
    </xf>
    <xf numFmtId="0" fontId="63" fillId="0" borderId="119" xfId="3" applyFont="1" applyBorder="1" applyAlignment="1">
      <alignment horizontal="left" vertical="center"/>
    </xf>
    <xf numFmtId="37" fontId="30" fillId="6" borderId="107" xfId="5" applyNumberFormat="1" applyFont="1" applyFill="1" applyBorder="1" applyAlignment="1">
      <alignment vertical="center"/>
    </xf>
    <xf numFmtId="37" fontId="30" fillId="6" borderId="119" xfId="5" applyNumberFormat="1" applyFont="1" applyFill="1" applyBorder="1" applyAlignment="1">
      <alignment vertical="center"/>
    </xf>
    <xf numFmtId="0" fontId="70" fillId="0" borderId="0" xfId="3" applyFont="1"/>
    <xf numFmtId="179" fontId="54" fillId="0" borderId="107" xfId="4" applyNumberFormat="1" applyFont="1" applyBorder="1" applyAlignment="1">
      <alignment horizontal="center" vertical="center"/>
    </xf>
    <xf numFmtId="0" fontId="10" fillId="0" borderId="119" xfId="3" applyBorder="1"/>
    <xf numFmtId="179" fontId="13" fillId="0" borderId="0" xfId="4" applyNumberFormat="1" applyFont="1" applyAlignment="1">
      <alignment horizontal="left" indent="1"/>
    </xf>
    <xf numFmtId="178" fontId="55" fillId="2" borderId="146" xfId="4" applyNumberFormat="1" applyFont="1" applyFill="1" applyBorder="1" applyAlignment="1" applyProtection="1">
      <alignment horizontal="left" indent="1"/>
      <protection locked="0"/>
    </xf>
    <xf numFmtId="181" fontId="67" fillId="3" borderId="150" xfId="10" applyNumberFormat="1" applyFont="1" applyFill="1" applyBorder="1"/>
    <xf numFmtId="181" fontId="67" fillId="3" borderId="151" xfId="10" applyNumberFormat="1" applyFont="1" applyFill="1" applyBorder="1"/>
    <xf numFmtId="181" fontId="67" fillId="3" borderId="152" xfId="10" applyNumberFormat="1" applyFont="1" applyFill="1" applyBorder="1"/>
    <xf numFmtId="181" fontId="67" fillId="3" borderId="0" xfId="10" applyNumberFormat="1" applyFont="1" applyFill="1" applyBorder="1"/>
    <xf numFmtId="181" fontId="67" fillId="3" borderId="153" xfId="10" applyNumberFormat="1" applyFont="1" applyFill="1" applyBorder="1"/>
    <xf numFmtId="178" fontId="43" fillId="3" borderId="107" xfId="4" applyNumberFormat="1" applyFont="1" applyFill="1" applyBorder="1"/>
    <xf numFmtId="178" fontId="72" fillId="2" borderId="158" xfId="4" applyNumberFormat="1" applyFont="1" applyFill="1" applyBorder="1" applyProtection="1">
      <protection locked="0"/>
    </xf>
    <xf numFmtId="178" fontId="72" fillId="2" borderId="159" xfId="4" applyNumberFormat="1" applyFont="1" applyFill="1" applyBorder="1" applyProtection="1">
      <protection locked="0"/>
    </xf>
    <xf numFmtId="178" fontId="72" fillId="2" borderId="160" xfId="4" applyNumberFormat="1" applyFont="1" applyFill="1" applyBorder="1" applyProtection="1">
      <protection locked="0"/>
    </xf>
    <xf numFmtId="181" fontId="16" fillId="3" borderId="163" xfId="10" applyNumberFormat="1" applyFont="1" applyFill="1" applyBorder="1" applyAlignment="1">
      <alignment vertical="center"/>
    </xf>
    <xf numFmtId="181" fontId="16" fillId="3" borderId="164" xfId="10" applyNumberFormat="1" applyFont="1" applyFill="1" applyBorder="1" applyAlignment="1">
      <alignment vertical="center"/>
    </xf>
    <xf numFmtId="181" fontId="43" fillId="3" borderId="166" xfId="10" applyNumberFormat="1" applyFont="1" applyFill="1" applyBorder="1" applyAlignment="1">
      <alignment horizontal="center"/>
    </xf>
    <xf numFmtId="178" fontId="43" fillId="3" borderId="169" xfId="4" applyNumberFormat="1" applyFont="1" applyFill="1" applyBorder="1"/>
    <xf numFmtId="178" fontId="43" fillId="3" borderId="170" xfId="4" applyNumberFormat="1" applyFont="1" applyFill="1" applyBorder="1"/>
    <xf numFmtId="178" fontId="43" fillId="3" borderId="171" xfId="4" applyNumberFormat="1" applyFont="1" applyFill="1" applyBorder="1"/>
    <xf numFmtId="178" fontId="43" fillId="3" borderId="172" xfId="4" applyNumberFormat="1" applyFont="1" applyFill="1" applyBorder="1"/>
    <xf numFmtId="178" fontId="43" fillId="3" borderId="173" xfId="4" applyNumberFormat="1" applyFont="1" applyFill="1" applyBorder="1"/>
    <xf numFmtId="178" fontId="43" fillId="3" borderId="174" xfId="4" applyNumberFormat="1" applyFont="1" applyFill="1" applyBorder="1"/>
    <xf numFmtId="179" fontId="44" fillId="0" borderId="27" xfId="4" applyNumberFormat="1" applyFont="1" applyBorder="1"/>
    <xf numFmtId="181" fontId="43" fillId="3" borderId="140" xfId="10" applyNumberFormat="1" applyFont="1" applyFill="1" applyBorder="1" applyAlignment="1">
      <alignment horizontal="center"/>
    </xf>
    <xf numFmtId="183" fontId="55" fillId="2" borderId="179" xfId="1" applyNumberFormat="1" applyFont="1" applyFill="1" applyBorder="1" applyProtection="1">
      <protection locked="0"/>
    </xf>
    <xf numFmtId="183" fontId="38" fillId="3" borderId="113" xfId="1" applyNumberFormat="1" applyFont="1" applyFill="1" applyBorder="1"/>
    <xf numFmtId="178" fontId="43" fillId="7" borderId="180" xfId="4" applyNumberFormat="1" applyFont="1" applyFill="1" applyBorder="1" applyAlignment="1">
      <alignment horizontal="right"/>
    </xf>
    <xf numFmtId="178" fontId="43" fillId="7" borderId="181" xfId="4" applyNumberFormat="1" applyFont="1" applyFill="1" applyBorder="1" applyAlignment="1">
      <alignment horizontal="right"/>
    </xf>
    <xf numFmtId="181" fontId="67" fillId="3" borderId="116" xfId="2" applyNumberFormat="1" applyFont="1" applyFill="1" applyBorder="1"/>
    <xf numFmtId="178" fontId="43" fillId="7" borderId="182" xfId="4" applyNumberFormat="1" applyFont="1" applyFill="1" applyBorder="1" applyAlignment="1">
      <alignment horizontal="right"/>
    </xf>
    <xf numFmtId="178" fontId="43" fillId="7" borderId="183" xfId="4" applyNumberFormat="1" applyFont="1" applyFill="1" applyBorder="1" applyAlignment="1">
      <alignment horizontal="right"/>
    </xf>
    <xf numFmtId="181" fontId="67" fillId="3" borderId="57" xfId="2" applyNumberFormat="1" applyFont="1" applyFill="1" applyBorder="1"/>
    <xf numFmtId="181" fontId="67" fillId="3" borderId="184" xfId="2" applyNumberFormat="1" applyFont="1" applyFill="1" applyBorder="1"/>
    <xf numFmtId="178" fontId="43" fillId="7" borderId="185" xfId="4" applyNumberFormat="1" applyFont="1" applyFill="1" applyBorder="1" applyAlignment="1">
      <alignment horizontal="right"/>
    </xf>
    <xf numFmtId="178" fontId="43" fillId="7" borderId="186" xfId="4" applyNumberFormat="1" applyFont="1" applyFill="1" applyBorder="1" applyAlignment="1">
      <alignment horizontal="right"/>
    </xf>
    <xf numFmtId="181" fontId="55" fillId="2" borderId="132" xfId="2" applyNumberFormat="1" applyFont="1" applyFill="1" applyBorder="1" applyProtection="1">
      <protection locked="0"/>
    </xf>
    <xf numFmtId="181" fontId="38" fillId="3" borderId="100" xfId="2" applyNumberFormat="1" applyFont="1" applyFill="1" applyBorder="1"/>
    <xf numFmtId="181" fontId="55" fillId="2" borderId="187" xfId="2" applyNumberFormat="1" applyFont="1" applyFill="1" applyBorder="1" applyProtection="1">
      <protection locked="0"/>
    </xf>
    <xf numFmtId="181" fontId="38" fillId="3" borderId="189" xfId="2" applyNumberFormat="1" applyFont="1" applyFill="1" applyBorder="1"/>
    <xf numFmtId="181" fontId="38" fillId="3" borderId="190" xfId="2" applyNumberFormat="1" applyFont="1" applyFill="1" applyBorder="1"/>
    <xf numFmtId="181" fontId="38" fillId="3" borderId="148" xfId="2" applyNumberFormat="1" applyFont="1" applyFill="1" applyBorder="1"/>
    <xf numFmtId="181" fontId="38" fillId="3" borderId="124" xfId="2" applyNumberFormat="1" applyFont="1" applyFill="1" applyBorder="1"/>
    <xf numFmtId="181" fontId="38" fillId="3" borderId="191" xfId="2" applyNumberFormat="1" applyFont="1" applyFill="1" applyBorder="1"/>
    <xf numFmtId="181" fontId="38" fillId="3" borderId="53" xfId="2" applyNumberFormat="1" applyFont="1" applyFill="1" applyBorder="1"/>
    <xf numFmtId="181" fontId="38" fillId="3" borderId="106" xfId="2" applyNumberFormat="1" applyFont="1" applyFill="1" applyBorder="1"/>
    <xf numFmtId="181" fontId="38" fillId="3" borderId="192" xfId="2" applyNumberFormat="1" applyFont="1" applyFill="1" applyBorder="1"/>
    <xf numFmtId="0" fontId="51" fillId="0" borderId="0" xfId="5" applyFont="1"/>
    <xf numFmtId="178" fontId="43" fillId="3" borderId="0" xfId="4" applyNumberFormat="1" applyFont="1" applyFill="1"/>
    <xf numFmtId="179" fontId="43" fillId="0" borderId="0" xfId="4" applyNumberFormat="1" applyFont="1" applyAlignment="1">
      <alignment horizontal="center"/>
    </xf>
    <xf numFmtId="179" fontId="38" fillId="0" borderId="27" xfId="4" applyNumberFormat="1" applyFont="1" applyBorder="1" applyAlignment="1">
      <alignment horizontal="center"/>
    </xf>
    <xf numFmtId="178" fontId="43" fillId="0" borderId="0" xfId="4" applyNumberFormat="1" applyFont="1"/>
    <xf numFmtId="179" fontId="38" fillId="0" borderId="3" xfId="4" applyNumberFormat="1" applyFont="1" applyBorder="1" applyAlignment="1">
      <alignment horizontal="center"/>
    </xf>
    <xf numFmtId="179" fontId="43" fillId="0" borderId="0" xfId="4" applyNumberFormat="1" applyFont="1"/>
    <xf numFmtId="179" fontId="38" fillId="0" borderId="45" xfId="4" applyNumberFormat="1" applyFont="1" applyBorder="1" applyAlignment="1">
      <alignment horizontal="center"/>
    </xf>
    <xf numFmtId="179" fontId="35" fillId="0" borderId="0" xfId="4" applyNumberFormat="1" applyFont="1"/>
    <xf numFmtId="187" fontId="35" fillId="0" borderId="0" xfId="4" applyNumberFormat="1" applyFont="1"/>
    <xf numFmtId="187" fontId="35" fillId="0" borderId="0" xfId="4" applyNumberFormat="1" applyFont="1" applyAlignment="1">
      <alignment horizontal="center"/>
    </xf>
    <xf numFmtId="188" fontId="73" fillId="0" borderId="0" xfId="4" applyNumberFormat="1" applyFont="1" applyAlignment="1">
      <alignment horizontal="center"/>
    </xf>
    <xf numFmtId="188" fontId="73" fillId="8" borderId="0" xfId="4" applyNumberFormat="1" applyFont="1" applyFill="1" applyAlignment="1">
      <alignment horizontal="center"/>
    </xf>
    <xf numFmtId="179" fontId="26" fillId="0" borderId="15" xfId="4" applyNumberFormat="1" applyFont="1" applyBorder="1" applyAlignment="1">
      <alignment horizontal="center"/>
    </xf>
    <xf numFmtId="179" fontId="44" fillId="0" borderId="193" xfId="4" applyNumberFormat="1" applyFont="1" applyBorder="1"/>
    <xf numFmtId="179" fontId="26" fillId="0" borderId="193" xfId="4" applyNumberFormat="1" applyFont="1" applyBorder="1"/>
    <xf numFmtId="179" fontId="26" fillId="0" borderId="0" xfId="4" applyNumberFormat="1" applyFont="1" applyAlignment="1">
      <alignment horizontal="left" vertical="top"/>
    </xf>
    <xf numFmtId="179" fontId="35" fillId="0" borderId="0" xfId="4" applyNumberFormat="1" applyFont="1" applyAlignment="1">
      <alignment vertical="top"/>
    </xf>
    <xf numFmtId="187" fontId="35" fillId="0" borderId="0" xfId="4" applyNumberFormat="1" applyFont="1" applyAlignment="1">
      <alignment vertical="top"/>
    </xf>
    <xf numFmtId="178" fontId="35" fillId="0" borderId="0" xfId="4" applyNumberFormat="1" applyFont="1" applyAlignment="1">
      <alignment horizontal="center" vertical="top"/>
    </xf>
    <xf numFmtId="178" fontId="73" fillId="0" borderId="0" xfId="4" applyNumberFormat="1" applyFont="1" applyAlignment="1">
      <alignment horizontal="center" vertical="top"/>
    </xf>
    <xf numFmtId="0" fontId="10" fillId="0" borderId="0" xfId="3" applyAlignment="1">
      <alignment vertical="top"/>
    </xf>
    <xf numFmtId="0" fontId="10" fillId="0" borderId="12" xfId="3" applyBorder="1" applyAlignment="1">
      <alignment horizontal="left"/>
    </xf>
    <xf numFmtId="179" fontId="74" fillId="0" borderId="13" xfId="4" applyNumberFormat="1" applyFont="1" applyBorder="1"/>
    <xf numFmtId="187" fontId="35" fillId="0" borderId="13" xfId="4" applyNumberFormat="1" applyFont="1" applyBorder="1"/>
    <xf numFmtId="189" fontId="35" fillId="0" borderId="13" xfId="4" applyNumberFormat="1" applyFont="1" applyBorder="1" applyAlignment="1">
      <alignment horizontal="center"/>
    </xf>
    <xf numFmtId="189" fontId="10" fillId="0" borderId="13" xfId="3" applyNumberFormat="1" applyBorder="1"/>
    <xf numFmtId="0" fontId="30" fillId="0" borderId="13" xfId="5" applyFont="1" applyBorder="1" applyAlignment="1">
      <alignment horizontal="center" vertical="center"/>
    </xf>
    <xf numFmtId="0" fontId="30" fillId="0" borderId="14" xfId="5" applyFont="1" applyBorder="1" applyAlignment="1">
      <alignment horizontal="center" vertical="center"/>
    </xf>
    <xf numFmtId="0" fontId="10" fillId="0" borderId="16" xfId="3" applyBorder="1" applyAlignment="1">
      <alignment horizontal="left"/>
    </xf>
    <xf numFmtId="179" fontId="44" fillId="0" borderId="0" xfId="4" applyNumberFormat="1" applyFont="1" applyBorder="1" applyAlignment="1">
      <alignment horizontal="left" indent="1"/>
    </xf>
    <xf numFmtId="187" fontId="35" fillId="0" borderId="0" xfId="4" applyNumberFormat="1" applyFont="1" applyBorder="1"/>
    <xf numFmtId="189" fontId="35" fillId="0" borderId="0" xfId="4" applyNumberFormat="1" applyFont="1" applyBorder="1" applyAlignment="1">
      <alignment horizontal="center"/>
    </xf>
    <xf numFmtId="189" fontId="10" fillId="0" borderId="0" xfId="3" applyNumberFormat="1"/>
    <xf numFmtId="189" fontId="35" fillId="0" borderId="17" xfId="4" applyNumberFormat="1" applyFont="1" applyBorder="1" applyAlignment="1">
      <alignment horizontal="center"/>
    </xf>
    <xf numFmtId="179" fontId="26" fillId="0" borderId="0" xfId="4" applyNumberFormat="1" applyFont="1" applyBorder="1" applyAlignment="1">
      <alignment horizontal="left" indent="2"/>
    </xf>
    <xf numFmtId="178" fontId="43" fillId="3" borderId="0" xfId="4" applyNumberFormat="1" applyFont="1" applyFill="1" applyBorder="1"/>
    <xf numFmtId="179" fontId="26" fillId="0" borderId="0" xfId="4" applyNumberFormat="1" applyFont="1" applyBorder="1" applyAlignment="1">
      <alignment horizontal="left" indent="1"/>
    </xf>
    <xf numFmtId="178" fontId="35" fillId="0" borderId="0" xfId="4" applyNumberFormat="1" applyFont="1" applyBorder="1" applyAlignment="1">
      <alignment horizontal="center"/>
    </xf>
    <xf numFmtId="179" fontId="35" fillId="0" borderId="0" xfId="4" applyNumberFormat="1" applyFont="1" applyAlignment="1">
      <alignment horizontal="right" vertical="top"/>
    </xf>
    <xf numFmtId="189" fontId="75" fillId="0" borderId="0" xfId="4" applyNumberFormat="1" applyFont="1" applyBorder="1" applyAlignment="1">
      <alignment horizontal="right"/>
    </xf>
    <xf numFmtId="189" fontId="68" fillId="0" borderId="0" xfId="3" applyNumberFormat="1" applyFont="1"/>
    <xf numFmtId="189" fontId="75" fillId="0" borderId="195" xfId="4" applyNumberFormat="1" applyFont="1" applyBorder="1" applyAlignment="1">
      <alignment horizontal="center"/>
    </xf>
    <xf numFmtId="189" fontId="75" fillId="0" borderId="196" xfId="4" applyNumberFormat="1" applyFont="1" applyBorder="1" applyAlignment="1">
      <alignment horizontal="center"/>
    </xf>
    <xf numFmtId="185" fontId="42" fillId="0" borderId="48" xfId="4" applyNumberFormat="1" applyFont="1" applyBorder="1" applyAlignment="1">
      <alignment horizontal="left"/>
    </xf>
    <xf numFmtId="185" fontId="54" fillId="0" borderId="49" xfId="4" applyNumberFormat="1" applyFont="1" applyBorder="1"/>
    <xf numFmtId="185" fontId="66" fillId="0" borderId="49" xfId="4" applyNumberFormat="1" applyFont="1" applyBorder="1"/>
    <xf numFmtId="178" fontId="76" fillId="0" borderId="49" xfId="4" applyNumberFormat="1" applyFont="1" applyBorder="1" applyAlignment="1">
      <alignment horizontal="right"/>
    </xf>
    <xf numFmtId="178" fontId="42" fillId="0" borderId="49" xfId="3" applyNumberFormat="1" applyFont="1" applyBorder="1"/>
    <xf numFmtId="178" fontId="66" fillId="0" borderId="49" xfId="4" applyNumberFormat="1" applyFont="1" applyBorder="1" applyAlignment="1">
      <alignment horizontal="center"/>
    </xf>
    <xf numFmtId="178" fontId="66" fillId="0" borderId="50" xfId="4" applyNumberFormat="1" applyFont="1" applyBorder="1" applyAlignment="1">
      <alignment horizontal="center"/>
    </xf>
    <xf numFmtId="185" fontId="42" fillId="0" borderId="0" xfId="4" applyNumberFormat="1" applyFont="1"/>
    <xf numFmtId="185" fontId="42" fillId="0" borderId="0" xfId="4" applyNumberFormat="1" applyFont="1" applyProtection="1">
      <protection locked="0"/>
    </xf>
    <xf numFmtId="185" fontId="0" fillId="0" borderId="0" xfId="4" applyNumberFormat="1" applyFont="1" applyBorder="1" applyAlignment="1">
      <alignment horizontal="left"/>
    </xf>
    <xf numFmtId="185" fontId="44" fillId="0" borderId="0" xfId="4" applyNumberFormat="1" applyFont="1" applyBorder="1"/>
    <xf numFmtId="185" fontId="35" fillId="0" borderId="0" xfId="4" applyNumberFormat="1" applyFont="1" applyBorder="1"/>
    <xf numFmtId="178" fontId="75" fillId="0" borderId="0" xfId="4" applyNumberFormat="1" applyFont="1" applyBorder="1" applyAlignment="1">
      <alignment horizontal="center"/>
    </xf>
    <xf numFmtId="185" fontId="0" fillId="0" borderId="0" xfId="4" applyNumberFormat="1" applyFont="1"/>
    <xf numFmtId="185" fontId="0" fillId="0" borderId="0" xfId="4" applyNumberFormat="1" applyFont="1" applyProtection="1">
      <protection locked="0"/>
    </xf>
    <xf numFmtId="185" fontId="0" fillId="0" borderId="12" xfId="4" applyNumberFormat="1" applyFont="1" applyBorder="1" applyAlignment="1">
      <alignment horizontal="left"/>
    </xf>
    <xf numFmtId="185" fontId="35" fillId="0" borderId="13" xfId="4" applyNumberFormat="1" applyFont="1" applyBorder="1"/>
    <xf numFmtId="178" fontId="75" fillId="0" borderId="13" xfId="4" applyNumberFormat="1" applyFont="1" applyBorder="1" applyAlignment="1">
      <alignment horizontal="center"/>
    </xf>
    <xf numFmtId="178" fontId="10" fillId="0" borderId="13" xfId="3" applyNumberFormat="1" applyBorder="1"/>
    <xf numFmtId="185" fontId="0" fillId="0" borderId="16" xfId="4" applyNumberFormat="1" applyFont="1" applyBorder="1" applyAlignment="1">
      <alignment horizontal="left"/>
    </xf>
    <xf numFmtId="0" fontId="10" fillId="0" borderId="17" xfId="3" applyBorder="1"/>
    <xf numFmtId="178" fontId="43" fillId="0" borderId="0" xfId="4" applyNumberFormat="1" applyFont="1" applyFill="1" applyBorder="1"/>
    <xf numFmtId="178" fontId="43" fillId="0" borderId="17" xfId="4" applyNumberFormat="1" applyFont="1" applyFill="1" applyBorder="1"/>
    <xf numFmtId="178" fontId="38" fillId="0" borderId="3" xfId="4" applyNumberFormat="1" applyFont="1" applyFill="1" applyBorder="1"/>
    <xf numFmtId="179" fontId="44" fillId="0" borderId="0" xfId="4" applyNumberFormat="1" applyFont="1" applyBorder="1"/>
    <xf numFmtId="0" fontId="11" fillId="0" borderId="0" xfId="3" applyFont="1"/>
    <xf numFmtId="185" fontId="0" fillId="0" borderId="48" xfId="4" applyNumberFormat="1" applyFont="1" applyBorder="1" applyAlignment="1">
      <alignment horizontal="left"/>
    </xf>
    <xf numFmtId="0" fontId="10" fillId="0" borderId="49" xfId="3" applyBorder="1"/>
    <xf numFmtId="178" fontId="18" fillId="0" borderId="49" xfId="3" applyNumberFormat="1" applyFont="1" applyBorder="1"/>
    <xf numFmtId="178" fontId="10" fillId="0" borderId="49" xfId="3" applyNumberFormat="1" applyBorder="1"/>
    <xf numFmtId="178" fontId="18" fillId="0" borderId="50" xfId="3" applyNumberFormat="1" applyFont="1" applyBorder="1"/>
    <xf numFmtId="187" fontId="35" fillId="0" borderId="0" xfId="4" applyNumberFormat="1" applyFont="1" applyAlignment="1">
      <alignment horizontal="center" vertical="top"/>
    </xf>
    <xf numFmtId="188" fontId="73" fillId="0" borderId="0" xfId="4" applyNumberFormat="1" applyFont="1" applyAlignment="1">
      <alignment horizontal="center" vertical="top"/>
    </xf>
    <xf numFmtId="37" fontId="30" fillId="5" borderId="0" xfId="5" applyNumberFormat="1" applyFont="1" applyFill="1" applyAlignment="1">
      <alignment horizontal="center" vertical="center"/>
    </xf>
    <xf numFmtId="179" fontId="43" fillId="0" borderId="3" xfId="4" applyNumberFormat="1" applyFont="1" applyBorder="1" applyAlignment="1">
      <alignment horizontal="center"/>
    </xf>
    <xf numFmtId="179" fontId="43" fillId="0" borderId="0" xfId="4" applyNumberFormat="1" applyFont="1" applyBorder="1" applyAlignment="1">
      <alignment horizontal="center"/>
    </xf>
    <xf numFmtId="178" fontId="59" fillId="3" borderId="0" xfId="4" applyNumberFormat="1" applyFont="1" applyFill="1" applyBorder="1"/>
    <xf numFmtId="179" fontId="77" fillId="0" borderId="0" xfId="4" applyNumberFormat="1" applyFont="1" applyAlignment="1">
      <alignment horizontal="center"/>
    </xf>
    <xf numFmtId="179" fontId="78" fillId="0" borderId="7" xfId="4" applyNumberFormat="1" applyFont="1" applyBorder="1"/>
    <xf numFmtId="179" fontId="54" fillId="0" borderId="7" xfId="4" applyNumberFormat="1" applyFont="1" applyBorder="1"/>
    <xf numFmtId="179" fontId="79" fillId="0" borderId="7" xfId="4" applyNumberFormat="1" applyFont="1" applyBorder="1"/>
    <xf numFmtId="179" fontId="80" fillId="0" borderId="0" xfId="4" applyNumberFormat="1" applyFont="1"/>
    <xf numFmtId="179" fontId="81" fillId="0" borderId="0" xfId="4" applyNumberFormat="1" applyFont="1" applyAlignment="1">
      <alignment horizontal="center"/>
    </xf>
    <xf numFmtId="178" fontId="81" fillId="3" borderId="0" xfId="4" applyNumberFormat="1" applyFont="1" applyFill="1"/>
    <xf numFmtId="178" fontId="81" fillId="11" borderId="0" xfId="4" applyNumberFormat="1" applyFont="1" applyFill="1"/>
    <xf numFmtId="0" fontId="10" fillId="0" borderId="0" xfId="5" applyProtection="1">
      <protection locked="0"/>
    </xf>
    <xf numFmtId="179" fontId="80" fillId="0" borderId="0" xfId="4" applyNumberFormat="1" applyFont="1" applyAlignment="1">
      <alignment horizontal="center"/>
    </xf>
    <xf numFmtId="178" fontId="82" fillId="2" borderId="76" xfId="4" applyNumberFormat="1" applyFont="1" applyFill="1" applyBorder="1" applyProtection="1">
      <protection locked="0"/>
    </xf>
    <xf numFmtId="179" fontId="78" fillId="0" borderId="0" xfId="4" applyNumberFormat="1" applyFont="1"/>
    <xf numFmtId="184" fontId="81" fillId="3" borderId="0" xfId="4" applyNumberFormat="1" applyFont="1" applyFill="1"/>
    <xf numFmtId="178" fontId="81" fillId="0" borderId="0" xfId="4" applyNumberFormat="1" applyFont="1"/>
    <xf numFmtId="0" fontId="84" fillId="0" borderId="0" xfId="12" applyFont="1"/>
    <xf numFmtId="0" fontId="13" fillId="0" borderId="0" xfId="5" applyFont="1"/>
    <xf numFmtId="0" fontId="85" fillId="0" borderId="0" xfId="5" applyFont="1"/>
    <xf numFmtId="0" fontId="80" fillId="0" borderId="0" xfId="9" applyFont="1"/>
    <xf numFmtId="0" fontId="86" fillId="4" borderId="0" xfId="9" applyFont="1" applyFill="1"/>
    <xf numFmtId="0" fontId="87" fillId="4" borderId="0" xfId="9" applyFont="1" applyFill="1"/>
    <xf numFmtId="179" fontId="30" fillId="4" borderId="0" xfId="4" applyNumberFormat="1" applyFont="1" applyFill="1" applyAlignment="1">
      <alignment horizontal="center"/>
    </xf>
    <xf numFmtId="190" fontId="81" fillId="3" borderId="0" xfId="13" applyFont="1" applyFill="1" applyAlignment="1">
      <alignment horizontal="right"/>
    </xf>
    <xf numFmtId="178" fontId="38" fillId="3" borderId="0" xfId="4" applyNumberFormat="1" applyFont="1" applyFill="1"/>
    <xf numFmtId="0" fontId="10" fillId="9" borderId="0" xfId="3" applyFill="1"/>
    <xf numFmtId="179" fontId="38" fillId="0" borderId="0" xfId="4" applyNumberFormat="1" applyFont="1" applyAlignment="1">
      <alignment horizontal="center"/>
    </xf>
    <xf numFmtId="177" fontId="79" fillId="3" borderId="0" xfId="4" applyFont="1" applyFill="1"/>
    <xf numFmtId="177" fontId="81" fillId="8" borderId="0" xfId="4" applyFont="1" applyFill="1"/>
    <xf numFmtId="177" fontId="81" fillId="3" borderId="0" xfId="4" applyFont="1" applyFill="1"/>
    <xf numFmtId="178" fontId="79" fillId="3" borderId="0" xfId="9" applyNumberFormat="1" applyFont="1" applyFill="1"/>
    <xf numFmtId="178" fontId="81" fillId="3" borderId="0" xfId="9" applyNumberFormat="1" applyFont="1" applyFill="1"/>
    <xf numFmtId="191" fontId="79" fillId="0" borderId="0" xfId="9" applyNumberFormat="1" applyFont="1"/>
    <xf numFmtId="191" fontId="81" fillId="0" borderId="0" xfId="9" applyNumberFormat="1" applyFont="1"/>
    <xf numFmtId="0" fontId="88" fillId="0" borderId="0" xfId="3" applyFont="1"/>
    <xf numFmtId="179" fontId="86" fillId="12" borderId="0" xfId="4" applyNumberFormat="1" applyFont="1" applyFill="1"/>
    <xf numFmtId="9" fontId="87" fillId="12" borderId="0" xfId="6" applyFont="1" applyFill="1" applyAlignment="1">
      <alignment horizontal="center"/>
    </xf>
    <xf numFmtId="178" fontId="86" fillId="12" borderId="0" xfId="4" applyNumberFormat="1" applyFont="1" applyFill="1"/>
    <xf numFmtId="0" fontId="11" fillId="13" borderId="5" xfId="3" applyFont="1" applyFill="1" applyBorder="1" applyAlignment="1">
      <alignment horizontal="center"/>
    </xf>
    <xf numFmtId="0" fontId="11" fillId="13" borderId="3" xfId="3" applyFont="1" applyFill="1" applyBorder="1" applyAlignment="1">
      <alignment horizontal="center" vertical="center"/>
    </xf>
    <xf numFmtId="0" fontId="10" fillId="13" borderId="3" xfId="3" applyFill="1" applyBorder="1"/>
    <xf numFmtId="179" fontId="26" fillId="13" borderId="3" xfId="4" applyNumberFormat="1" applyFont="1" applyFill="1" applyBorder="1"/>
    <xf numFmtId="179" fontId="26" fillId="13" borderId="6" xfId="4" applyNumberFormat="1" applyFont="1" applyFill="1" applyBorder="1"/>
    <xf numFmtId="181" fontId="86" fillId="12" borderId="0" xfId="6" applyNumberFormat="1" applyFont="1" applyFill="1"/>
    <xf numFmtId="0" fontId="10" fillId="13" borderId="198" xfId="3" applyFill="1" applyBorder="1" applyAlignment="1">
      <alignment horizontal="center"/>
    </xf>
    <xf numFmtId="179" fontId="26" fillId="13" borderId="0" xfId="4" applyNumberFormat="1" applyFont="1" applyFill="1" applyBorder="1"/>
    <xf numFmtId="179" fontId="26" fillId="13" borderId="199" xfId="4" applyNumberFormat="1" applyFont="1" applyFill="1" applyBorder="1"/>
    <xf numFmtId="182" fontId="86" fillId="12" borderId="0" xfId="4" applyNumberFormat="1" applyFont="1" applyFill="1" applyAlignment="1">
      <alignment horizontal="center"/>
    </xf>
    <xf numFmtId="0" fontId="10" fillId="13" borderId="0" xfId="3" applyFill="1"/>
    <xf numFmtId="0" fontId="10" fillId="13" borderId="9" xfId="3" applyFill="1" applyBorder="1" applyAlignment="1">
      <alignment horizontal="center"/>
    </xf>
    <xf numFmtId="0" fontId="10" fillId="13" borderId="7" xfId="3" applyFill="1" applyBorder="1"/>
    <xf numFmtId="179" fontId="26" fillId="13" borderId="7" xfId="4" applyNumberFormat="1" applyFont="1" applyFill="1" applyBorder="1"/>
    <xf numFmtId="179" fontId="26" fillId="13" borderId="10" xfId="4" applyNumberFormat="1" applyFont="1" applyFill="1" applyBorder="1"/>
    <xf numFmtId="0" fontId="10" fillId="13" borderId="5" xfId="3" applyFill="1" applyBorder="1"/>
    <xf numFmtId="179" fontId="44" fillId="13" borderId="198" xfId="4" applyNumberFormat="1" applyFont="1" applyFill="1" applyBorder="1" applyAlignment="1">
      <alignment horizontal="left"/>
    </xf>
    <xf numFmtId="184" fontId="81" fillId="3" borderId="0" xfId="4" applyNumberFormat="1" applyFont="1" applyFill="1" applyBorder="1" applyAlignment="1">
      <alignment horizontal="center"/>
    </xf>
    <xf numFmtId="179" fontId="44" fillId="13" borderId="9" xfId="4" applyNumberFormat="1" applyFont="1" applyFill="1" applyBorder="1" applyAlignment="1">
      <alignment horizontal="left"/>
    </xf>
    <xf numFmtId="0" fontId="10" fillId="0" borderId="200" xfId="3" applyBorder="1"/>
    <xf numFmtId="0" fontId="10" fillId="0" borderId="200" xfId="3" applyBorder="1" applyAlignment="1">
      <alignment horizontal="left"/>
    </xf>
    <xf numFmtId="0" fontId="13" fillId="0" borderId="200" xfId="3" applyFont="1" applyBorder="1"/>
    <xf numFmtId="0" fontId="98" fillId="2" borderId="86" xfId="5" applyFont="1" applyFill="1" applyBorder="1" applyAlignment="1" applyProtection="1">
      <alignment horizontal="center" vertical="center"/>
      <protection locked="0"/>
    </xf>
    <xf numFmtId="178" fontId="43" fillId="13" borderId="60" xfId="4" applyNumberFormat="1" applyFont="1" applyFill="1" applyBorder="1"/>
    <xf numFmtId="178" fontId="43" fillId="13" borderId="59" xfId="4" applyNumberFormat="1" applyFont="1" applyFill="1" applyBorder="1"/>
    <xf numFmtId="178" fontId="43" fillId="13" borderId="201" xfId="4" applyNumberFormat="1" applyFont="1" applyFill="1" applyBorder="1"/>
    <xf numFmtId="178" fontId="43" fillId="13" borderId="202" xfId="4" applyNumberFormat="1" applyFont="1" applyFill="1" applyBorder="1"/>
    <xf numFmtId="0" fontId="43" fillId="3" borderId="203" xfId="4" applyNumberFormat="1" applyFont="1" applyFill="1" applyBorder="1" applyAlignment="1">
      <alignment horizontal="right"/>
    </xf>
    <xf numFmtId="181" fontId="43" fillId="3" borderId="203" xfId="2" applyNumberFormat="1" applyFont="1" applyFill="1" applyBorder="1" applyAlignment="1">
      <alignment horizontal="right"/>
    </xf>
    <xf numFmtId="0" fontId="43" fillId="3" borderId="204" xfId="4" applyNumberFormat="1" applyFont="1" applyFill="1" applyBorder="1" applyAlignment="1">
      <alignment horizontal="right"/>
    </xf>
    <xf numFmtId="0" fontId="43" fillId="3" borderId="205" xfId="4" applyNumberFormat="1" applyFont="1" applyFill="1" applyBorder="1" applyAlignment="1">
      <alignment horizontal="right"/>
    </xf>
    <xf numFmtId="181" fontId="43" fillId="3" borderId="204" xfId="2" applyNumberFormat="1" applyFont="1" applyFill="1" applyBorder="1" applyAlignment="1">
      <alignment horizontal="right"/>
    </xf>
    <xf numFmtId="181" fontId="43" fillId="3" borderId="205" xfId="2" applyNumberFormat="1" applyFont="1" applyFill="1" applyBorder="1" applyAlignment="1">
      <alignment horizontal="right"/>
    </xf>
    <xf numFmtId="181" fontId="43" fillId="3" borderId="62" xfId="2" applyNumberFormat="1" applyFont="1" applyFill="1" applyBorder="1" applyAlignment="1">
      <alignment horizontal="right"/>
    </xf>
    <xf numFmtId="181" fontId="43" fillId="3" borderId="63" xfId="2" applyNumberFormat="1" applyFont="1" applyFill="1" applyBorder="1" applyAlignment="1">
      <alignment horizontal="right"/>
    </xf>
    <xf numFmtId="181" fontId="43" fillId="3" borderId="64" xfId="2" applyNumberFormat="1" applyFont="1" applyFill="1" applyBorder="1" applyAlignment="1">
      <alignment horizontal="right"/>
    </xf>
    <xf numFmtId="181" fontId="43" fillId="3" borderId="206" xfId="2" applyNumberFormat="1" applyFont="1" applyFill="1" applyBorder="1" applyAlignment="1">
      <alignment horizontal="right"/>
    </xf>
    <xf numFmtId="181" fontId="43" fillId="3" borderId="72" xfId="2" applyNumberFormat="1" applyFont="1" applyFill="1" applyBorder="1" applyAlignment="1">
      <alignment horizontal="right"/>
    </xf>
    <xf numFmtId="181" fontId="43" fillId="3" borderId="73" xfId="2" applyNumberFormat="1" applyFont="1" applyFill="1" applyBorder="1" applyAlignment="1">
      <alignment horizontal="right"/>
    </xf>
    <xf numFmtId="178" fontId="43" fillId="7" borderId="1" xfId="4" applyNumberFormat="1" applyFont="1" applyFill="1" applyBorder="1" applyAlignment="1">
      <alignment horizontal="right"/>
    </xf>
    <xf numFmtId="181" fontId="38" fillId="3" borderId="207" xfId="10" applyNumberFormat="1" applyFont="1" applyFill="1" applyBorder="1" applyAlignment="1">
      <alignment horizontal="right"/>
    </xf>
    <xf numFmtId="0" fontId="99" fillId="16" borderId="0" xfId="3" applyFont="1" applyFill="1" applyAlignment="1">
      <alignment horizontal="centerContinuous" vertical="center"/>
    </xf>
    <xf numFmtId="0" fontId="100" fillId="16" borderId="0" xfId="3" applyFont="1" applyFill="1" applyAlignment="1">
      <alignment horizontal="centerContinuous"/>
    </xf>
    <xf numFmtId="179" fontId="44" fillId="0" borderId="188" xfId="4" applyNumberFormat="1" applyFont="1" applyBorder="1"/>
    <xf numFmtId="179" fontId="44" fillId="0" borderId="41" xfId="4" applyNumberFormat="1" applyFont="1" applyBorder="1"/>
    <xf numFmtId="0" fontId="62" fillId="0" borderId="0" xfId="3" applyFont="1" applyAlignment="1">
      <alignment vertical="top"/>
    </xf>
    <xf numFmtId="0" fontId="0" fillId="0" borderId="0" xfId="0" applyAlignment="1">
      <alignment vertical="top"/>
    </xf>
    <xf numFmtId="0" fontId="24" fillId="0" borderId="121" xfId="3" applyFont="1" applyBorder="1" applyAlignment="1">
      <alignment horizontal="center"/>
    </xf>
    <xf numFmtId="185" fontId="43" fillId="3" borderId="60" xfId="14" applyNumberFormat="1" applyFont="1" applyFill="1" applyBorder="1"/>
    <xf numFmtId="179" fontId="55" fillId="0" borderId="75" xfId="4" applyNumberFormat="1" applyFont="1" applyFill="1" applyBorder="1" applyProtection="1"/>
    <xf numFmtId="179" fontId="55" fillId="0" borderId="76" xfId="4" applyNumberFormat="1" applyFont="1" applyFill="1" applyBorder="1" applyProtection="1"/>
    <xf numFmtId="179" fontId="55" fillId="0" borderId="77" xfId="4" applyNumberFormat="1" applyFont="1" applyFill="1" applyBorder="1" applyProtection="1"/>
    <xf numFmtId="179" fontId="13" fillId="0" borderId="0" xfId="4" applyNumberFormat="1" applyFont="1" applyAlignment="1">
      <alignment horizontal="left" indent="2"/>
    </xf>
    <xf numFmtId="9" fontId="41" fillId="3" borderId="201" xfId="2" applyFont="1" applyFill="1" applyBorder="1" applyAlignment="1">
      <alignment horizontal="center"/>
    </xf>
    <xf numFmtId="1" fontId="43" fillId="3" borderId="204" xfId="4" applyNumberFormat="1" applyFont="1" applyFill="1" applyBorder="1" applyAlignment="1">
      <alignment horizontal="right"/>
    </xf>
    <xf numFmtId="1" fontId="43" fillId="3" borderId="203" xfId="4" applyNumberFormat="1" applyFont="1" applyFill="1" applyBorder="1" applyAlignment="1">
      <alignment horizontal="right"/>
    </xf>
    <xf numFmtId="1" fontId="43" fillId="3" borderId="205" xfId="4" applyNumberFormat="1" applyFont="1" applyFill="1" applyBorder="1" applyAlignment="1">
      <alignment horizontal="right"/>
    </xf>
    <xf numFmtId="0" fontId="101" fillId="16" borderId="0" xfId="3" applyFont="1" applyFill="1" applyAlignment="1">
      <alignment horizontal="centerContinuous" vertical="center"/>
    </xf>
    <xf numFmtId="179" fontId="13" fillId="0" borderId="0" xfId="4" applyNumberFormat="1" applyFont="1" applyFill="1" applyAlignment="1">
      <alignment horizontal="left" indent="2"/>
    </xf>
    <xf numFmtId="0" fontId="105" fillId="0" borderId="0" xfId="0" applyFont="1"/>
    <xf numFmtId="0" fontId="24" fillId="0" borderId="41" xfId="3" applyFont="1" applyBorder="1" applyAlignment="1">
      <alignment horizontal="left"/>
    </xf>
    <xf numFmtId="0" fontId="108" fillId="0" borderId="0" xfId="0" applyFont="1" applyAlignment="1">
      <alignment horizontal="center" vertical="top"/>
    </xf>
    <xf numFmtId="0" fontId="0" fillId="0" borderId="0" xfId="0" applyAlignment="1">
      <alignment horizontal="center" vertical="top"/>
    </xf>
    <xf numFmtId="2" fontId="10" fillId="13" borderId="0" xfId="3" applyNumberFormat="1" applyFill="1" applyAlignment="1">
      <alignment horizontal="center"/>
    </xf>
    <xf numFmtId="0" fontId="9" fillId="13" borderId="0" xfId="3" applyFont="1" applyFill="1"/>
    <xf numFmtId="0" fontId="9" fillId="13" borderId="198" xfId="3" applyFont="1" applyFill="1" applyBorder="1" applyAlignment="1">
      <alignment horizontal="center"/>
    </xf>
    <xf numFmtId="0" fontId="9" fillId="13" borderId="7" xfId="3" applyFont="1" applyFill="1" applyBorder="1"/>
    <xf numFmtId="184" fontId="79" fillId="14" borderId="1" xfId="4" applyNumberFormat="1" applyFont="1" applyFill="1" applyBorder="1" applyAlignment="1">
      <alignment horizontal="center"/>
    </xf>
    <xf numFmtId="0" fontId="42" fillId="0" borderId="0" xfId="3" applyFont="1" applyAlignment="1">
      <alignment horizontal="center" vertical="center" wrapText="1"/>
    </xf>
    <xf numFmtId="0" fontId="112" fillId="17" borderId="208" xfId="0" applyFont="1" applyFill="1" applyBorder="1" applyAlignment="1">
      <alignment horizontal="center" vertical="center" wrapText="1" readingOrder="1"/>
    </xf>
    <xf numFmtId="0" fontId="114" fillId="21" borderId="212" xfId="0" applyFont="1" applyFill="1" applyBorder="1" applyAlignment="1">
      <alignment horizontal="center" vertical="top" wrapText="1" readingOrder="1"/>
    </xf>
    <xf numFmtId="0" fontId="114" fillId="21" borderId="213" xfId="0" applyFont="1" applyFill="1" applyBorder="1" applyAlignment="1">
      <alignment horizontal="center" vertical="top" wrapText="1" readingOrder="1"/>
    </xf>
    <xf numFmtId="0" fontId="111" fillId="19" borderId="214" xfId="0" applyFont="1" applyFill="1" applyBorder="1" applyAlignment="1">
      <alignment horizontal="center" vertical="top" wrapText="1" readingOrder="1"/>
    </xf>
    <xf numFmtId="0" fontId="111" fillId="19" borderId="215" xfId="0" applyFont="1" applyFill="1" applyBorder="1" applyAlignment="1">
      <alignment horizontal="center" vertical="top" wrapText="1" readingOrder="1"/>
    </xf>
    <xf numFmtId="0" fontId="111" fillId="20" borderId="212" xfId="0" applyFont="1" applyFill="1" applyBorder="1" applyAlignment="1">
      <alignment horizontal="center" vertical="top" wrapText="1" readingOrder="1"/>
    </xf>
    <xf numFmtId="0" fontId="111" fillId="20" borderId="213" xfId="0" applyFont="1" applyFill="1" applyBorder="1" applyAlignment="1">
      <alignment horizontal="center" vertical="top" wrapText="1" readingOrder="1"/>
    </xf>
    <xf numFmtId="0" fontId="114" fillId="21" borderId="216" xfId="0" applyFont="1" applyFill="1" applyBorder="1" applyAlignment="1">
      <alignment horizontal="center" vertical="top" wrapText="1" readingOrder="1"/>
    </xf>
    <xf numFmtId="0" fontId="114" fillId="21" borderId="217" xfId="0" applyFont="1" applyFill="1" applyBorder="1" applyAlignment="1">
      <alignment horizontal="center" vertical="top" wrapText="1" readingOrder="1"/>
    </xf>
    <xf numFmtId="0" fontId="108" fillId="0" borderId="0" xfId="0" applyFont="1"/>
    <xf numFmtId="0" fontId="0" fillId="0" borderId="208" xfId="0" applyBorder="1" applyAlignment="1">
      <alignment vertical="top" wrapText="1"/>
    </xf>
    <xf numFmtId="0" fontId="119" fillId="0" borderId="13" xfId="15" applyFont="1" applyBorder="1" applyAlignment="1">
      <alignment vertical="center"/>
    </xf>
    <xf numFmtId="0" fontId="105" fillId="0" borderId="0" xfId="0" applyFont="1" applyAlignment="1">
      <alignment vertical="top"/>
    </xf>
    <xf numFmtId="0" fontId="105" fillId="15" borderId="51" xfId="0" applyFont="1" applyFill="1" applyBorder="1" applyAlignment="1">
      <alignment horizontal="center" vertical="center"/>
    </xf>
    <xf numFmtId="193" fontId="105" fillId="15" borderId="51" xfId="14" applyNumberFormat="1" applyFont="1" applyFill="1" applyBorder="1" applyAlignment="1" applyProtection="1">
      <alignment horizontal="center" vertical="center"/>
    </xf>
    <xf numFmtId="15" fontId="105" fillId="15" borderId="223" xfId="0" applyNumberFormat="1" applyFont="1" applyFill="1" applyBorder="1" applyAlignment="1">
      <alignment horizontal="center"/>
    </xf>
    <xf numFmtId="0" fontId="122" fillId="0" borderId="224" xfId="0" applyFont="1" applyBorder="1" applyAlignment="1">
      <alignment horizontal="center"/>
    </xf>
    <xf numFmtId="193" fontId="119" fillId="2" borderId="224" xfId="15" applyNumberFormat="1" applyFont="1" applyFill="1" applyBorder="1" applyAlignment="1" applyProtection="1">
      <alignment horizontal="center" vertical="center" shrinkToFit="1"/>
      <protection locked="0"/>
    </xf>
    <xf numFmtId="0" fontId="105" fillId="0" borderId="17" xfId="0" applyFont="1" applyBorder="1"/>
    <xf numFmtId="15" fontId="105" fillId="2" borderId="9" xfId="0" applyNumberFormat="1" applyFont="1" applyFill="1" applyBorder="1" applyAlignment="1" applyProtection="1">
      <alignment horizontal="center" vertical="center"/>
      <protection locked="0"/>
    </xf>
    <xf numFmtId="193" fontId="119" fillId="13" borderId="207" xfId="15" applyNumberFormat="1" applyFont="1" applyFill="1" applyBorder="1" applyAlignment="1">
      <alignment horizontal="center" vertical="center" shrinkToFit="1"/>
    </xf>
    <xf numFmtId="9" fontId="119" fillId="2" borderId="9" xfId="2" applyFont="1" applyFill="1" applyBorder="1" applyAlignment="1" applyProtection="1">
      <alignment horizontal="center" vertical="center"/>
      <protection locked="0"/>
    </xf>
    <xf numFmtId="193" fontId="119" fillId="13" borderId="225" xfId="15" applyNumberFormat="1" applyFont="1" applyFill="1" applyBorder="1" applyAlignment="1">
      <alignment horizontal="center" vertical="center" shrinkToFit="1"/>
    </xf>
    <xf numFmtId="0" fontId="105" fillId="13" borderId="1" xfId="0" applyFont="1" applyFill="1" applyBorder="1" applyAlignment="1">
      <alignment horizontal="center" vertical="center"/>
    </xf>
    <xf numFmtId="193" fontId="105" fillId="13" borderId="1" xfId="0" applyNumberFormat="1" applyFont="1" applyFill="1" applyBorder="1" applyAlignment="1">
      <alignment vertical="center"/>
    </xf>
    <xf numFmtId="193" fontId="105" fillId="13" borderId="226" xfId="0" applyNumberFormat="1" applyFont="1" applyFill="1" applyBorder="1" applyAlignment="1">
      <alignment vertical="center"/>
    </xf>
    <xf numFmtId="9" fontId="119" fillId="13" borderId="2" xfId="2" applyFont="1" applyFill="1" applyBorder="1" applyAlignment="1" applyProtection="1">
      <alignment horizontal="center" vertical="center" shrinkToFit="1"/>
    </xf>
    <xf numFmtId="15" fontId="105" fillId="2" borderId="1" xfId="0" applyNumberFormat="1" applyFont="1" applyFill="1" applyBorder="1" applyAlignment="1" applyProtection="1">
      <alignment horizontal="center" vertical="center"/>
      <protection locked="0"/>
    </xf>
    <xf numFmtId="9" fontId="119" fillId="13" borderId="2" xfId="2" applyFont="1" applyFill="1" applyBorder="1" applyAlignment="1" applyProtection="1">
      <alignment horizontal="center" vertical="center"/>
    </xf>
    <xf numFmtId="15" fontId="105" fillId="2" borderId="228" xfId="0" applyNumberFormat="1" applyFont="1" applyFill="1" applyBorder="1" applyAlignment="1" applyProtection="1">
      <alignment horizontal="center" vertical="center"/>
      <protection locked="0"/>
    </xf>
    <xf numFmtId="9" fontId="119" fillId="13" borderId="229" xfId="2" applyFont="1" applyFill="1" applyBorder="1" applyAlignment="1" applyProtection="1">
      <alignment horizontal="center" vertical="center"/>
    </xf>
    <xf numFmtId="9" fontId="125" fillId="23" borderId="233" xfId="2" applyFont="1" applyFill="1" applyBorder="1" applyAlignment="1" applyProtection="1">
      <alignment horizontal="center" vertical="center"/>
    </xf>
    <xf numFmtId="193" fontId="125" fillId="23" borderId="233" xfId="14" applyNumberFormat="1" applyFont="1" applyFill="1" applyBorder="1" applyAlignment="1" applyProtection="1">
      <alignment horizontal="center" vertical="center"/>
    </xf>
    <xf numFmtId="193" fontId="125" fillId="23" borderId="234" xfId="14" applyNumberFormat="1" applyFont="1" applyFill="1" applyBorder="1" applyAlignment="1" applyProtection="1">
      <alignment horizontal="center" vertical="center"/>
    </xf>
    <xf numFmtId="15" fontId="105" fillId="2" borderId="207" xfId="0" applyNumberFormat="1" applyFont="1" applyFill="1" applyBorder="1" applyAlignment="1" applyProtection="1">
      <alignment horizontal="center" vertical="center"/>
      <protection locked="0"/>
    </xf>
    <xf numFmtId="9" fontId="119" fillId="2" borderId="2" xfId="2" applyFont="1" applyFill="1" applyBorder="1" applyAlignment="1" applyProtection="1">
      <alignment horizontal="center" vertical="center"/>
      <protection locked="0"/>
    </xf>
    <xf numFmtId="9" fontId="119" fillId="2" borderId="229" xfId="2" applyFont="1" applyFill="1" applyBorder="1" applyAlignment="1" applyProtection="1">
      <alignment horizontal="center" vertical="center"/>
      <protection locked="0"/>
    </xf>
    <xf numFmtId="0" fontId="105" fillId="0" borderId="0" xfId="0" applyFont="1" applyAlignment="1">
      <alignment horizontal="center" vertical="center"/>
    </xf>
    <xf numFmtId="0" fontId="119" fillId="0" borderId="48" xfId="15" applyFont="1" applyBorder="1" applyAlignment="1">
      <alignment vertical="center"/>
    </xf>
    <xf numFmtId="0" fontId="119" fillId="0" borderId="49" xfId="15" applyFont="1" applyBorder="1" applyAlignment="1">
      <alignment vertical="center"/>
    </xf>
    <xf numFmtId="0" fontId="119" fillId="0" borderId="50" xfId="15" applyFont="1" applyBorder="1" applyAlignment="1">
      <alignment vertical="center"/>
    </xf>
    <xf numFmtId="0" fontId="126" fillId="0" borderId="0" xfId="9" applyFont="1" applyAlignment="1">
      <alignment horizontal="center" vertical="center" wrapText="1"/>
    </xf>
    <xf numFmtId="179" fontId="13" fillId="0" borderId="0" xfId="4" applyNumberFormat="1" applyFont="1" applyBorder="1"/>
    <xf numFmtId="0" fontId="10" fillId="0" borderId="16" xfId="3" applyBorder="1"/>
    <xf numFmtId="0" fontId="10" fillId="0" borderId="48" xfId="3" applyBorder="1"/>
    <xf numFmtId="0" fontId="10" fillId="0" borderId="50" xfId="3" applyBorder="1"/>
    <xf numFmtId="0" fontId="127" fillId="0" borderId="12" xfId="15" applyFont="1" applyBorder="1" applyAlignment="1">
      <alignment horizontal="left" vertical="center" indent="1"/>
    </xf>
    <xf numFmtId="0" fontId="128" fillId="0" borderId="13" xfId="15" applyFont="1" applyBorder="1" applyAlignment="1">
      <alignment vertical="center"/>
    </xf>
    <xf numFmtId="0" fontId="131" fillId="0" borderId="13" xfId="15" applyFont="1" applyBorder="1" applyAlignment="1">
      <alignment horizontal="centerContinuous" vertical="center"/>
    </xf>
    <xf numFmtId="0" fontId="131" fillId="0" borderId="14" xfId="15" applyFont="1" applyBorder="1" applyAlignment="1">
      <alignment horizontal="centerContinuous" vertical="center"/>
    </xf>
    <xf numFmtId="0" fontId="128" fillId="0" borderId="12" xfId="15" applyFont="1" applyBorder="1" applyAlignment="1">
      <alignment vertical="center"/>
    </xf>
    <xf numFmtId="0" fontId="128" fillId="0" borderId="16" xfId="15" applyFont="1" applyBorder="1" applyAlignment="1">
      <alignment vertical="center"/>
    </xf>
    <xf numFmtId="0" fontId="133" fillId="0" borderId="228" xfId="0" applyFont="1" applyBorder="1" applyAlignment="1">
      <alignment horizontal="center" wrapText="1"/>
    </xf>
    <xf numFmtId="177" fontId="134" fillId="0" borderId="0" xfId="14" applyFont="1" applyBorder="1"/>
    <xf numFmtId="0" fontId="134" fillId="0" borderId="0" xfId="0" applyFont="1" applyAlignment="1">
      <alignment horizontal="center"/>
    </xf>
    <xf numFmtId="9" fontId="8" fillId="0" borderId="16" xfId="2" applyFont="1" applyBorder="1"/>
    <xf numFmtId="9" fontId="135" fillId="0" borderId="0" xfId="2" applyFont="1" applyAlignment="1">
      <alignment horizontal="center"/>
    </xf>
    <xf numFmtId="179" fontId="136" fillId="13" borderId="9" xfId="4" applyNumberFormat="1" applyFont="1" applyFill="1" applyBorder="1" applyAlignment="1">
      <alignment horizontal="left"/>
    </xf>
    <xf numFmtId="179" fontId="55" fillId="2" borderId="238" xfId="4" applyNumberFormat="1" applyFont="1" applyFill="1" applyBorder="1" applyProtection="1">
      <protection locked="0"/>
    </xf>
    <xf numFmtId="0" fontId="0" fillId="0" borderId="0" xfId="0" applyAlignment="1">
      <alignment vertical="top" wrapText="1"/>
    </xf>
    <xf numFmtId="0" fontId="7" fillId="0" borderId="0" xfId="17"/>
    <xf numFmtId="0" fontId="25" fillId="0" borderId="0" xfId="17" applyFont="1" applyAlignment="1">
      <alignment horizontal="center"/>
    </xf>
    <xf numFmtId="179" fontId="26" fillId="0" borderId="0" xfId="18" applyNumberFormat="1" applyFont="1"/>
    <xf numFmtId="179" fontId="26" fillId="0" borderId="0" xfId="18" applyNumberFormat="1" applyFont="1" applyAlignment="1">
      <alignment horizontal="right"/>
    </xf>
    <xf numFmtId="179" fontId="35" fillId="0" borderId="0" xfId="18" applyNumberFormat="1" applyFont="1"/>
    <xf numFmtId="179" fontId="137" fillId="0" borderId="0" xfId="18" applyNumberFormat="1" applyFont="1"/>
    <xf numFmtId="181" fontId="137" fillId="3" borderId="15" xfId="6" applyNumberFormat="1" applyFont="1" applyFill="1" applyBorder="1" applyAlignment="1">
      <alignment horizontal="right"/>
    </xf>
    <xf numFmtId="181" fontId="137" fillId="3" borderId="44" xfId="6" applyNumberFormat="1" applyFont="1" applyFill="1" applyBorder="1" applyAlignment="1">
      <alignment horizontal="right"/>
    </xf>
    <xf numFmtId="181" fontId="137" fillId="3" borderId="45" xfId="6" applyNumberFormat="1" applyFont="1" applyFill="1" applyBorder="1" applyAlignment="1">
      <alignment horizontal="right"/>
    </xf>
    <xf numFmtId="181" fontId="137" fillId="3" borderId="46" xfId="6" applyNumberFormat="1" applyFont="1" applyFill="1" applyBorder="1" applyAlignment="1">
      <alignment horizontal="right"/>
    </xf>
    <xf numFmtId="0" fontId="7" fillId="0" borderId="0" xfId="19"/>
    <xf numFmtId="179" fontId="44" fillId="0" borderId="0" xfId="18" applyNumberFormat="1" applyFont="1"/>
    <xf numFmtId="179" fontId="26" fillId="0" borderId="0" xfId="18" applyNumberFormat="1" applyFont="1" applyAlignment="1">
      <alignment horizontal="left" indent="1"/>
    </xf>
    <xf numFmtId="181" fontId="43" fillId="3" borderId="126" xfId="21" applyNumberFormat="1" applyFont="1" applyFill="1" applyBorder="1" applyAlignment="1">
      <alignment horizontal="center"/>
    </xf>
    <xf numFmtId="179" fontId="44" fillId="0" borderId="3" xfId="18" applyNumberFormat="1" applyFont="1" applyBorder="1"/>
    <xf numFmtId="179" fontId="44" fillId="0" borderId="45" xfId="18" applyNumberFormat="1" applyFont="1" applyBorder="1"/>
    <xf numFmtId="179" fontId="44" fillId="0" borderId="37" xfId="18" applyNumberFormat="1" applyFont="1" applyBorder="1"/>
    <xf numFmtId="181" fontId="43" fillId="3" borderId="138" xfId="21" applyNumberFormat="1" applyFont="1" applyFill="1" applyBorder="1" applyAlignment="1">
      <alignment horizontal="center"/>
    </xf>
    <xf numFmtId="179" fontId="13" fillId="0" borderId="18" xfId="18" applyNumberFormat="1" applyFont="1" applyBorder="1" applyAlignment="1">
      <alignment vertical="center"/>
    </xf>
    <xf numFmtId="181" fontId="69" fillId="3" borderId="139" xfId="21" applyNumberFormat="1" applyFont="1" applyFill="1" applyBorder="1" applyAlignment="1">
      <alignment vertical="center"/>
    </xf>
    <xf numFmtId="181" fontId="69" fillId="3" borderId="140" xfId="21" applyNumberFormat="1" applyFont="1" applyFill="1" applyBorder="1" applyAlignment="1">
      <alignment horizontal="center" vertical="center"/>
    </xf>
    <xf numFmtId="0" fontId="7" fillId="0" borderId="0" xfId="17" applyAlignment="1" applyProtection="1">
      <alignment vertical="center"/>
      <protection locked="0"/>
    </xf>
    <xf numFmtId="181" fontId="138" fillId="3" borderId="163" xfId="21" applyNumberFormat="1" applyFont="1" applyFill="1" applyBorder="1" applyAlignment="1">
      <alignment vertical="center"/>
    </xf>
    <xf numFmtId="181" fontId="138" fillId="3" borderId="141" xfId="21" applyNumberFormat="1" applyFont="1" applyFill="1" applyBorder="1" applyAlignment="1">
      <alignment vertical="center"/>
    </xf>
    <xf numFmtId="179" fontId="44" fillId="0" borderId="33" xfId="18" applyNumberFormat="1" applyFont="1" applyBorder="1"/>
    <xf numFmtId="179" fontId="44" fillId="0" borderId="27" xfId="18" applyNumberFormat="1" applyFont="1" applyBorder="1"/>
    <xf numFmtId="187" fontId="35" fillId="0" borderId="0" xfId="18" applyNumberFormat="1" applyFont="1"/>
    <xf numFmtId="179" fontId="44" fillId="0" borderId="252" xfId="4" applyNumberFormat="1" applyFont="1" applyBorder="1"/>
    <xf numFmtId="181" fontId="43" fillId="3" borderId="254" xfId="10" applyNumberFormat="1" applyFont="1" applyFill="1" applyBorder="1" applyAlignment="1">
      <alignment horizontal="center"/>
    </xf>
    <xf numFmtId="179" fontId="26" fillId="0" borderId="0" xfId="24" applyNumberFormat="1" applyFont="1" applyAlignment="1">
      <alignment horizontal="left" indent="1"/>
    </xf>
    <xf numFmtId="179" fontId="13" fillId="0" borderId="0" xfId="29" applyNumberFormat="1" applyFont="1" applyAlignment="1">
      <alignment horizontal="left" indent="2"/>
    </xf>
    <xf numFmtId="179" fontId="13" fillId="0" borderId="0" xfId="29" applyNumberFormat="1" applyFont="1" applyFill="1" applyAlignment="1">
      <alignment horizontal="left" indent="2"/>
    </xf>
    <xf numFmtId="179" fontId="26" fillId="0" borderId="0" xfId="29" applyNumberFormat="1" applyFont="1" applyAlignment="1">
      <alignment horizontal="left" indent="1"/>
    </xf>
    <xf numFmtId="179" fontId="43" fillId="0" borderId="0" xfId="29" applyNumberFormat="1" applyFont="1"/>
    <xf numFmtId="0" fontId="140" fillId="24" borderId="5" xfId="0" applyFont="1" applyFill="1" applyBorder="1" applyAlignment="1">
      <alignment horizontal="center" vertical="top" wrapText="1"/>
    </xf>
    <xf numFmtId="0" fontId="140" fillId="24" borderId="3" xfId="0" applyFont="1" applyFill="1" applyBorder="1" applyAlignment="1">
      <alignment horizontal="center" vertical="top"/>
    </xf>
    <xf numFmtId="0" fontId="140" fillId="24" borderId="3" xfId="0" applyFont="1" applyFill="1" applyBorder="1" applyAlignment="1">
      <alignment horizontal="center"/>
    </xf>
    <xf numFmtId="0" fontId="140" fillId="24" borderId="6" xfId="0" applyFont="1" applyFill="1" applyBorder="1" applyAlignment="1">
      <alignment horizontal="center"/>
    </xf>
    <xf numFmtId="0" fontId="0" fillId="13" borderId="198" xfId="0" applyFill="1" applyBorder="1" applyAlignment="1">
      <alignment vertical="top"/>
    </xf>
    <xf numFmtId="0" fontId="0" fillId="13" borderId="0" xfId="0" applyFill="1" applyAlignment="1">
      <alignment horizontal="center" vertical="top"/>
    </xf>
    <xf numFmtId="0" fontId="0" fillId="13" borderId="0" xfId="0" applyFill="1"/>
    <xf numFmtId="0" fontId="0" fillId="13" borderId="199" xfId="0" applyFill="1" applyBorder="1"/>
    <xf numFmtId="0" fontId="0" fillId="13" borderId="0" xfId="0" applyFill="1" applyAlignment="1">
      <alignment vertical="top"/>
    </xf>
    <xf numFmtId="0" fontId="0" fillId="13" borderId="199" xfId="0" applyFill="1" applyBorder="1" applyAlignment="1">
      <alignment vertical="top"/>
    </xf>
    <xf numFmtId="0" fontId="141" fillId="13" borderId="0" xfId="0" applyFont="1" applyFill="1"/>
    <xf numFmtId="0" fontId="0" fillId="13" borderId="9" xfId="0" applyFill="1" applyBorder="1" applyAlignment="1">
      <alignment vertical="top" wrapText="1"/>
    </xf>
    <xf numFmtId="0" fontId="0" fillId="13" borderId="7" xfId="0" applyFill="1" applyBorder="1" applyAlignment="1">
      <alignment vertical="top"/>
    </xf>
    <xf numFmtId="0" fontId="0" fillId="13" borderId="10" xfId="0" applyFill="1" applyBorder="1" applyAlignment="1">
      <alignment vertical="top"/>
    </xf>
    <xf numFmtId="0" fontId="10" fillId="0" borderId="256" xfId="3" applyBorder="1"/>
    <xf numFmtId="37" fontId="30" fillId="16" borderId="0" xfId="5" applyNumberFormat="1" applyFont="1" applyFill="1" applyAlignment="1">
      <alignment horizontal="left" vertical="center"/>
    </xf>
    <xf numFmtId="37" fontId="30" fillId="16" borderId="0" xfId="5" applyNumberFormat="1" applyFont="1" applyFill="1" applyAlignment="1">
      <alignment vertical="center"/>
    </xf>
    <xf numFmtId="37" fontId="30" fillId="16" borderId="0" xfId="5" applyNumberFormat="1" applyFont="1" applyFill="1" applyAlignment="1">
      <alignment horizontal="center" vertical="center"/>
    </xf>
    <xf numFmtId="0" fontId="30" fillId="16" borderId="0" xfId="5" applyFont="1" applyFill="1" applyAlignment="1">
      <alignment horizontal="center" vertical="center"/>
    </xf>
    <xf numFmtId="0" fontId="5" fillId="0" borderId="0" xfId="3" applyFont="1"/>
    <xf numFmtId="0" fontId="10" fillId="0" borderId="0" xfId="3" applyAlignment="1">
      <alignment vertical="top" wrapText="1"/>
    </xf>
    <xf numFmtId="194" fontId="143" fillId="2" borderId="1" xfId="30" applyNumberFormat="1" applyFont="1" applyFill="1" applyBorder="1" applyAlignment="1" applyProtection="1">
      <alignment horizontal="center" vertical="center" wrapText="1"/>
      <protection locked="0"/>
    </xf>
    <xf numFmtId="0" fontId="144" fillId="0" borderId="0" xfId="3" applyFont="1"/>
    <xf numFmtId="179" fontId="26" fillId="4" borderId="0" xfId="4" applyNumberFormat="1" applyFont="1" applyFill="1" applyAlignment="1" applyProtection="1">
      <alignment horizontal="left"/>
    </xf>
    <xf numFmtId="0" fontId="29" fillId="25" borderId="4" xfId="5" applyFont="1" applyFill="1" applyBorder="1" applyAlignment="1">
      <alignment horizontal="center" vertical="center"/>
    </xf>
    <xf numFmtId="0" fontId="30" fillId="4" borderId="5" xfId="4" applyNumberFormat="1" applyFont="1" applyFill="1" applyBorder="1" applyAlignment="1" applyProtection="1">
      <alignment horizontal="centerContinuous"/>
    </xf>
    <xf numFmtId="179" fontId="31" fillId="4" borderId="0" xfId="4" applyNumberFormat="1" applyFont="1" applyFill="1" applyAlignment="1" applyProtection="1">
      <alignment horizontal="left"/>
    </xf>
    <xf numFmtId="0" fontId="29" fillId="25" borderId="8" xfId="5" applyFont="1" applyFill="1" applyBorder="1" applyAlignment="1">
      <alignment horizontal="center" vertical="center"/>
    </xf>
    <xf numFmtId="0" fontId="32" fillId="4" borderId="9" xfId="5" applyFont="1" applyFill="1" applyBorder="1" applyAlignment="1">
      <alignment horizontal="center" vertical="center"/>
    </xf>
    <xf numFmtId="179" fontId="26" fillId="0" borderId="0" xfId="4" applyNumberFormat="1" applyFont="1" applyAlignment="1" applyProtection="1">
      <alignment horizontal="right"/>
    </xf>
    <xf numFmtId="179" fontId="33" fillId="0" borderId="0" xfId="4" applyNumberFormat="1" applyFont="1" applyProtection="1"/>
    <xf numFmtId="179" fontId="26" fillId="0" borderId="0" xfId="4" applyNumberFormat="1" applyFont="1" applyProtection="1"/>
    <xf numFmtId="179" fontId="16" fillId="0" borderId="15" xfId="4" applyNumberFormat="1" applyFont="1" applyBorder="1" applyAlignment="1" applyProtection="1">
      <alignment horizontal="center"/>
    </xf>
    <xf numFmtId="179" fontId="34" fillId="0" borderId="16" xfId="4" applyNumberFormat="1" applyFont="1" applyBorder="1" applyAlignment="1" applyProtection="1">
      <alignment horizontal="left"/>
    </xf>
    <xf numFmtId="179" fontId="35" fillId="0" borderId="0" xfId="4" applyNumberFormat="1" applyFont="1" applyBorder="1" applyAlignment="1" applyProtection="1">
      <alignment horizontal="right"/>
    </xf>
    <xf numFmtId="179" fontId="35" fillId="0" borderId="17" xfId="4" applyNumberFormat="1" applyFont="1" applyBorder="1" applyAlignment="1" applyProtection="1">
      <alignment horizontal="right"/>
    </xf>
    <xf numFmtId="179" fontId="36" fillId="0" borderId="0" xfId="4" applyNumberFormat="1" applyFont="1" applyProtection="1"/>
    <xf numFmtId="178" fontId="38" fillId="3" borderId="257" xfId="4" applyNumberFormat="1" applyFont="1" applyFill="1" applyBorder="1" applyAlignment="1" applyProtection="1">
      <alignment horizontal="right"/>
    </xf>
    <xf numFmtId="178" fontId="38" fillId="3" borderId="258" xfId="4" applyNumberFormat="1" applyFont="1" applyFill="1" applyBorder="1" applyAlignment="1" applyProtection="1">
      <alignment horizontal="right"/>
    </xf>
    <xf numFmtId="178" fontId="38" fillId="3" borderId="259" xfId="4" applyNumberFormat="1" applyFont="1" applyFill="1" applyBorder="1" applyAlignment="1" applyProtection="1">
      <alignment horizontal="right"/>
    </xf>
    <xf numFmtId="178" fontId="38" fillId="3" borderId="260" xfId="4" applyNumberFormat="1" applyFont="1" applyFill="1" applyBorder="1" applyAlignment="1" applyProtection="1">
      <alignment horizontal="right"/>
    </xf>
    <xf numFmtId="179" fontId="39" fillId="0" borderId="0" xfId="4" applyNumberFormat="1" applyFont="1" applyAlignment="1" applyProtection="1">
      <alignment horizontal="right"/>
    </xf>
    <xf numFmtId="179" fontId="40" fillId="0" borderId="0" xfId="4" applyNumberFormat="1" applyFont="1" applyAlignment="1" applyProtection="1"/>
    <xf numFmtId="181" fontId="41" fillId="3" borderId="15" xfId="6" applyNumberFormat="1" applyFont="1" applyFill="1" applyBorder="1" applyAlignment="1" applyProtection="1">
      <alignment horizontal="right"/>
    </xf>
    <xf numFmtId="181" fontId="41" fillId="3" borderId="16" xfId="6" applyNumberFormat="1" applyFont="1" applyFill="1" applyBorder="1" applyAlignment="1" applyProtection="1">
      <alignment horizontal="right"/>
    </xf>
    <xf numFmtId="181" fontId="41" fillId="3" borderId="0" xfId="6" applyNumberFormat="1" applyFont="1" applyFill="1" applyBorder="1" applyAlignment="1" applyProtection="1">
      <alignment horizontal="right"/>
    </xf>
    <xf numFmtId="181" fontId="41" fillId="3" borderId="17" xfId="6" applyNumberFormat="1" applyFont="1" applyFill="1" applyBorder="1" applyAlignment="1" applyProtection="1">
      <alignment horizontal="right"/>
    </xf>
    <xf numFmtId="179" fontId="40" fillId="0" borderId="0" xfId="4" applyNumberFormat="1" applyFont="1" applyProtection="1"/>
    <xf numFmtId="178" fontId="43" fillId="3" borderId="15" xfId="4" applyNumberFormat="1" applyFont="1" applyFill="1" applyBorder="1" applyAlignment="1" applyProtection="1">
      <alignment horizontal="right"/>
    </xf>
    <xf numFmtId="178" fontId="43" fillId="3" borderId="16" xfId="4" applyNumberFormat="1" applyFont="1" applyFill="1" applyBorder="1" applyAlignment="1" applyProtection="1">
      <alignment horizontal="right"/>
    </xf>
    <xf numFmtId="178" fontId="43" fillId="3" borderId="0" xfId="4" applyNumberFormat="1" applyFont="1" applyFill="1" applyBorder="1" applyAlignment="1" applyProtection="1">
      <alignment horizontal="right"/>
    </xf>
    <xf numFmtId="178" fontId="43" fillId="3" borderId="17" xfId="4" applyNumberFormat="1" applyFont="1" applyFill="1" applyBorder="1" applyAlignment="1" applyProtection="1">
      <alignment horizontal="right"/>
    </xf>
    <xf numFmtId="181" fontId="43" fillId="3" borderId="15" xfId="6" applyNumberFormat="1" applyFont="1" applyFill="1" applyBorder="1" applyAlignment="1" applyProtection="1">
      <alignment horizontal="right"/>
    </xf>
    <xf numFmtId="181" fontId="43" fillId="3" borderId="16" xfId="6" applyNumberFormat="1" applyFont="1" applyFill="1" applyBorder="1" applyAlignment="1" applyProtection="1">
      <alignment horizontal="right"/>
    </xf>
    <xf numFmtId="181" fontId="43" fillId="3" borderId="0" xfId="6" applyNumberFormat="1" applyFont="1" applyFill="1" applyBorder="1" applyAlignment="1" applyProtection="1">
      <alignment horizontal="right"/>
    </xf>
    <xf numFmtId="181" fontId="43" fillId="3" borderId="17" xfId="6" applyNumberFormat="1" applyFont="1" applyFill="1" applyBorder="1" applyAlignment="1" applyProtection="1">
      <alignment horizontal="right"/>
    </xf>
    <xf numFmtId="178" fontId="38" fillId="3" borderId="19" xfId="4" applyNumberFormat="1" applyFont="1" applyFill="1" applyBorder="1" applyAlignment="1" applyProtection="1">
      <alignment horizontal="right"/>
    </xf>
    <xf numFmtId="178" fontId="38" fillId="3" borderId="20" xfId="4" applyNumberFormat="1" applyFont="1" applyFill="1" applyBorder="1" applyAlignment="1" applyProtection="1">
      <alignment horizontal="right"/>
    </xf>
    <xf numFmtId="178" fontId="38" fillId="3" borderId="3" xfId="4" applyNumberFormat="1" applyFont="1" applyFill="1" applyBorder="1" applyAlignment="1" applyProtection="1">
      <alignment horizontal="right"/>
    </xf>
    <xf numFmtId="178" fontId="38" fillId="3" borderId="21" xfId="4" applyNumberFormat="1" applyFont="1" applyFill="1" applyBorder="1" applyAlignment="1" applyProtection="1">
      <alignment horizontal="right"/>
    </xf>
    <xf numFmtId="181" fontId="43" fillId="3" borderId="22" xfId="6" applyNumberFormat="1" applyFont="1" applyFill="1" applyBorder="1" applyAlignment="1" applyProtection="1">
      <alignment horizontal="right"/>
    </xf>
    <xf numFmtId="181" fontId="43" fillId="3" borderId="23" xfId="6" applyNumberFormat="1" applyFont="1" applyFill="1" applyBorder="1" applyAlignment="1" applyProtection="1">
      <alignment horizontal="right"/>
    </xf>
    <xf numFmtId="181" fontId="43" fillId="3" borderId="7" xfId="6" applyNumberFormat="1" applyFont="1" applyFill="1" applyBorder="1" applyAlignment="1" applyProtection="1">
      <alignment horizontal="right"/>
    </xf>
    <xf numFmtId="181" fontId="43" fillId="3" borderId="24" xfId="6" applyNumberFormat="1" applyFont="1" applyFill="1" applyBorder="1" applyAlignment="1" applyProtection="1">
      <alignment horizontal="right"/>
    </xf>
    <xf numFmtId="179" fontId="35" fillId="0" borderId="0" xfId="4" applyNumberFormat="1" applyFont="1" applyAlignment="1" applyProtection="1">
      <alignment horizontal="right"/>
    </xf>
    <xf numFmtId="181" fontId="137" fillId="3" borderId="15" xfId="6" applyNumberFormat="1" applyFont="1" applyFill="1" applyBorder="1" applyAlignment="1" applyProtection="1">
      <alignment horizontal="right"/>
    </xf>
    <xf numFmtId="0" fontId="19" fillId="0" borderId="0" xfId="3" applyFont="1"/>
    <xf numFmtId="181" fontId="137" fillId="3" borderId="44" xfId="6" applyNumberFormat="1" applyFont="1" applyFill="1" applyBorder="1" applyAlignment="1" applyProtection="1">
      <alignment horizontal="right"/>
    </xf>
    <xf numFmtId="181" fontId="137" fillId="3" borderId="45" xfId="6" applyNumberFormat="1" applyFont="1" applyFill="1" applyBorder="1" applyAlignment="1" applyProtection="1">
      <alignment horizontal="right"/>
    </xf>
    <xf numFmtId="181" fontId="137" fillId="3" borderId="46" xfId="6" applyNumberFormat="1" applyFont="1" applyFill="1" applyBorder="1" applyAlignment="1" applyProtection="1">
      <alignment horizontal="right"/>
    </xf>
    <xf numFmtId="178" fontId="38" fillId="3" borderId="31" xfId="4" applyNumberFormat="1" applyFont="1" applyFill="1" applyBorder="1" applyAlignment="1" applyProtection="1">
      <alignment horizontal="right"/>
    </xf>
    <xf numFmtId="178" fontId="43" fillId="3" borderId="32" xfId="4" applyNumberFormat="1" applyFont="1" applyFill="1" applyBorder="1" applyAlignment="1" applyProtection="1">
      <alignment horizontal="right"/>
    </xf>
    <xf numFmtId="178" fontId="43" fillId="3" borderId="33" xfId="4" applyNumberFormat="1" applyFont="1" applyFill="1" applyBorder="1" applyAlignment="1" applyProtection="1">
      <alignment horizontal="right"/>
    </xf>
    <xf numFmtId="178" fontId="43" fillId="3" borderId="34" xfId="4" applyNumberFormat="1" applyFont="1" applyFill="1" applyBorder="1" applyAlignment="1" applyProtection="1">
      <alignment horizontal="right"/>
    </xf>
    <xf numFmtId="179" fontId="44" fillId="0" borderId="0" xfId="4" applyNumberFormat="1" applyFont="1" applyProtection="1"/>
    <xf numFmtId="178" fontId="38" fillId="3" borderId="239" xfId="4" applyNumberFormat="1" applyFont="1" applyFill="1" applyBorder="1" applyAlignment="1" applyProtection="1">
      <alignment horizontal="right"/>
    </xf>
    <xf numFmtId="178" fontId="43" fillId="3" borderId="240" xfId="4" applyNumberFormat="1" applyFont="1" applyFill="1" applyBorder="1" applyAlignment="1" applyProtection="1">
      <alignment horizontal="right"/>
    </xf>
    <xf numFmtId="178" fontId="43" fillId="3" borderId="241" xfId="4" applyNumberFormat="1" applyFont="1" applyFill="1" applyBorder="1" applyAlignment="1" applyProtection="1">
      <alignment horizontal="right"/>
    </xf>
    <xf numFmtId="178" fontId="43" fillId="3" borderId="242" xfId="4" applyNumberFormat="1" applyFont="1" applyFill="1" applyBorder="1" applyAlignment="1" applyProtection="1">
      <alignment horizontal="right"/>
    </xf>
    <xf numFmtId="178" fontId="38" fillId="3" borderId="243" xfId="4" applyNumberFormat="1" applyFont="1" applyFill="1" applyBorder="1" applyAlignment="1" applyProtection="1">
      <alignment horizontal="right"/>
    </xf>
    <xf numFmtId="178" fontId="43" fillId="3" borderId="244" xfId="4" applyNumberFormat="1" applyFont="1" applyFill="1" applyBorder="1" applyAlignment="1" applyProtection="1">
      <alignment horizontal="right"/>
    </xf>
    <xf numFmtId="178" fontId="43" fillId="3" borderId="245" xfId="4" applyNumberFormat="1" applyFont="1" applyFill="1" applyBorder="1" applyAlignment="1" applyProtection="1">
      <alignment horizontal="right"/>
    </xf>
    <xf numFmtId="178" fontId="43" fillId="3" borderId="246" xfId="4" applyNumberFormat="1" applyFont="1" applyFill="1" applyBorder="1" applyAlignment="1" applyProtection="1">
      <alignment horizontal="right"/>
    </xf>
    <xf numFmtId="179" fontId="40" fillId="0" borderId="0" xfId="4" applyNumberFormat="1" applyFont="1" applyFill="1" applyProtection="1"/>
    <xf numFmtId="178" fontId="43" fillId="3" borderId="239" xfId="4" applyNumberFormat="1" applyFont="1" applyFill="1" applyBorder="1" applyAlignment="1" applyProtection="1">
      <alignment horizontal="right"/>
    </xf>
    <xf numFmtId="178" fontId="43" fillId="3" borderId="243" xfId="4" applyNumberFormat="1" applyFont="1" applyFill="1" applyBorder="1" applyAlignment="1" applyProtection="1">
      <alignment horizontal="right"/>
    </xf>
    <xf numFmtId="179" fontId="45" fillId="0" borderId="0" xfId="4" applyNumberFormat="1" applyFont="1" applyProtection="1"/>
    <xf numFmtId="179" fontId="46" fillId="0" borderId="0" xfId="4" applyNumberFormat="1" applyFont="1" applyAlignment="1" applyProtection="1">
      <alignment horizontal="left" indent="1"/>
    </xf>
    <xf numFmtId="179" fontId="13" fillId="0" borderId="0" xfId="4" applyNumberFormat="1" applyFont="1" applyAlignment="1" applyProtection="1">
      <alignment horizontal="right"/>
    </xf>
    <xf numFmtId="178" fontId="43" fillId="3" borderId="35" xfId="4" applyNumberFormat="1" applyFont="1" applyFill="1" applyBorder="1" applyAlignment="1" applyProtection="1">
      <alignment horizontal="right"/>
    </xf>
    <xf numFmtId="178" fontId="43" fillId="3" borderId="36" xfId="4" applyNumberFormat="1" applyFont="1" applyFill="1" applyBorder="1" applyAlignment="1" applyProtection="1">
      <alignment horizontal="right"/>
    </xf>
    <xf numFmtId="178" fontId="43" fillId="3" borderId="37" xfId="4" applyNumberFormat="1" applyFont="1" applyFill="1" applyBorder="1" applyAlignment="1" applyProtection="1">
      <alignment horizontal="right"/>
    </xf>
    <xf numFmtId="178" fontId="43" fillId="3" borderId="38" xfId="4" applyNumberFormat="1" applyFont="1" applyFill="1" applyBorder="1" applyAlignment="1" applyProtection="1">
      <alignment horizontal="right"/>
    </xf>
    <xf numFmtId="179" fontId="48" fillId="0" borderId="0" xfId="4" applyNumberFormat="1" applyFont="1" applyAlignment="1" applyProtection="1">
      <alignment horizontal="left" indent="1"/>
    </xf>
    <xf numFmtId="178" fontId="43" fillId="3" borderId="39" xfId="4" applyNumberFormat="1" applyFont="1" applyFill="1" applyBorder="1" applyAlignment="1" applyProtection="1">
      <alignment horizontal="right"/>
    </xf>
    <xf numFmtId="178" fontId="43" fillId="3" borderId="40" xfId="4" applyNumberFormat="1" applyFont="1" applyFill="1" applyBorder="1" applyAlignment="1" applyProtection="1">
      <alignment horizontal="right"/>
    </xf>
    <xf numFmtId="178" fontId="43" fillId="3" borderId="41" xfId="4" applyNumberFormat="1" applyFont="1" applyFill="1" applyBorder="1" applyAlignment="1" applyProtection="1">
      <alignment horizontal="right"/>
    </xf>
    <xf numFmtId="178" fontId="43" fillId="3" borderId="42" xfId="4" applyNumberFormat="1" applyFont="1" applyFill="1" applyBorder="1" applyAlignment="1" applyProtection="1">
      <alignment horizontal="right"/>
    </xf>
    <xf numFmtId="179" fontId="17" fillId="0" borderId="11" xfId="4" applyNumberFormat="1" applyFont="1" applyBorder="1" applyAlignment="1" applyProtection="1">
      <alignment horizontal="center"/>
    </xf>
    <xf numFmtId="179" fontId="43" fillId="0" borderId="12" xfId="4" applyNumberFormat="1" applyFont="1" applyBorder="1" applyAlignment="1" applyProtection="1">
      <alignment horizontal="right"/>
    </xf>
    <xf numFmtId="179" fontId="43" fillId="0" borderId="13" xfId="4" applyNumberFormat="1" applyFont="1" applyBorder="1" applyAlignment="1" applyProtection="1">
      <alignment horizontal="right"/>
    </xf>
    <xf numFmtId="179" fontId="43" fillId="0" borderId="14" xfId="4" applyNumberFormat="1" applyFont="1" applyBorder="1" applyAlignment="1" applyProtection="1">
      <alignment horizontal="right"/>
    </xf>
    <xf numFmtId="178" fontId="38" fillId="3" borderId="15" xfId="4" applyNumberFormat="1" applyFont="1" applyFill="1" applyBorder="1" applyAlignment="1" applyProtection="1">
      <alignment horizontal="right"/>
    </xf>
    <xf numFmtId="182" fontId="43" fillId="3" borderId="16" xfId="4" applyNumberFormat="1" applyFont="1" applyFill="1" applyBorder="1" applyAlignment="1" applyProtection="1">
      <alignment horizontal="right"/>
    </xf>
    <xf numFmtId="182" fontId="43" fillId="3" borderId="0" xfId="4" applyNumberFormat="1" applyFont="1" applyFill="1" applyBorder="1" applyAlignment="1" applyProtection="1">
      <alignment horizontal="right"/>
    </xf>
    <xf numFmtId="182" fontId="43" fillId="3" borderId="17" xfId="4" applyNumberFormat="1" applyFont="1" applyFill="1" applyBorder="1" applyAlignment="1" applyProtection="1">
      <alignment horizontal="right"/>
    </xf>
    <xf numFmtId="179" fontId="52" fillId="0" borderId="0" xfId="4" applyNumberFormat="1" applyFont="1" applyAlignment="1" applyProtection="1">
      <alignment horizontal="center" vertical="center" wrapText="1"/>
    </xf>
    <xf numFmtId="179" fontId="26" fillId="0" borderId="43" xfId="4" applyNumberFormat="1" applyFont="1" applyBorder="1" applyProtection="1"/>
    <xf numFmtId="178" fontId="38" fillId="3" borderId="35" xfId="4" applyNumberFormat="1" applyFont="1" applyFill="1" applyBorder="1" applyAlignment="1" applyProtection="1">
      <alignment horizontal="right"/>
    </xf>
    <xf numFmtId="178" fontId="38" fillId="3" borderId="36" xfId="4" applyNumberFormat="1" applyFont="1" applyFill="1" applyBorder="1" applyAlignment="1" applyProtection="1">
      <alignment horizontal="right"/>
    </xf>
    <xf numFmtId="178" fontId="38" fillId="3" borderId="37" xfId="4" applyNumberFormat="1" applyFont="1" applyFill="1" applyBorder="1" applyAlignment="1" applyProtection="1">
      <alignment horizontal="right"/>
    </xf>
    <xf numFmtId="178" fontId="38" fillId="3" borderId="38" xfId="4" applyNumberFormat="1" applyFont="1" applyFill="1" applyBorder="1" applyAlignment="1" applyProtection="1">
      <alignment horizontal="right"/>
    </xf>
    <xf numFmtId="181" fontId="43" fillId="3" borderId="39" xfId="6" applyNumberFormat="1" applyFont="1" applyFill="1" applyBorder="1" applyAlignment="1" applyProtection="1">
      <alignment horizontal="right"/>
    </xf>
    <xf numFmtId="181" fontId="43" fillId="3" borderId="40" xfId="6" applyNumberFormat="1" applyFont="1" applyFill="1" applyBorder="1" applyAlignment="1" applyProtection="1">
      <alignment horizontal="right"/>
    </xf>
    <xf numFmtId="181" fontId="43" fillId="3" borderId="41" xfId="6" applyNumberFormat="1" applyFont="1" applyFill="1" applyBorder="1" applyAlignment="1" applyProtection="1">
      <alignment horizontal="right"/>
    </xf>
    <xf numFmtId="181" fontId="43" fillId="3" borderId="42" xfId="6" applyNumberFormat="1" applyFont="1" applyFill="1" applyBorder="1" applyAlignment="1" applyProtection="1">
      <alignment horizontal="right"/>
    </xf>
    <xf numFmtId="179" fontId="26" fillId="0" borderId="0" xfId="4" applyNumberFormat="1" applyFont="1" applyAlignment="1" applyProtection="1">
      <alignment horizontal="left" indent="1"/>
    </xf>
    <xf numFmtId="179" fontId="13" fillId="0" borderId="0" xfId="4" applyNumberFormat="1" applyFont="1" applyAlignment="1" applyProtection="1">
      <alignment horizontal="left" indent="2"/>
    </xf>
    <xf numFmtId="178" fontId="69" fillId="3" borderId="15" xfId="4" applyNumberFormat="1" applyFont="1" applyFill="1" applyBorder="1" applyAlignment="1" applyProtection="1">
      <alignment horizontal="right"/>
    </xf>
    <xf numFmtId="178" fontId="69" fillId="3" borderId="16" xfId="4" applyNumberFormat="1" applyFont="1" applyFill="1" applyBorder="1" applyAlignment="1" applyProtection="1">
      <alignment horizontal="right"/>
    </xf>
    <xf numFmtId="178" fontId="69" fillId="3" borderId="0" xfId="4" applyNumberFormat="1" applyFont="1" applyFill="1" applyBorder="1" applyAlignment="1" applyProtection="1">
      <alignment horizontal="right"/>
    </xf>
    <xf numFmtId="178" fontId="69" fillId="3" borderId="17" xfId="4" applyNumberFormat="1" applyFont="1" applyFill="1" applyBorder="1" applyAlignment="1" applyProtection="1">
      <alignment horizontal="right"/>
    </xf>
    <xf numFmtId="178" fontId="38" fillId="3" borderId="22" xfId="4" applyNumberFormat="1" applyFont="1" applyFill="1" applyBorder="1" applyAlignment="1" applyProtection="1">
      <alignment horizontal="right"/>
    </xf>
    <xf numFmtId="178" fontId="43" fillId="3" borderId="23" xfId="4" applyNumberFormat="1" applyFont="1" applyFill="1" applyBorder="1" applyAlignment="1" applyProtection="1">
      <alignment horizontal="right"/>
    </xf>
    <xf numFmtId="178" fontId="43" fillId="3" borderId="7" xfId="4" applyNumberFormat="1" applyFont="1" applyFill="1" applyBorder="1" applyAlignment="1" applyProtection="1">
      <alignment horizontal="right"/>
    </xf>
    <xf numFmtId="178" fontId="43" fillId="3" borderId="24" xfId="4" applyNumberFormat="1" applyFont="1" applyFill="1" applyBorder="1" applyAlignment="1" applyProtection="1">
      <alignment horizontal="right"/>
    </xf>
    <xf numFmtId="183" fontId="43" fillId="3" borderId="31" xfId="8" applyNumberFormat="1" applyFont="1" applyFill="1" applyBorder="1" applyAlignment="1" applyProtection="1">
      <alignment horizontal="right"/>
    </xf>
    <xf numFmtId="183" fontId="43" fillId="3" borderId="32" xfId="8" applyNumberFormat="1" applyFont="1" applyFill="1" applyBorder="1" applyAlignment="1" applyProtection="1">
      <alignment horizontal="right"/>
    </xf>
    <xf numFmtId="183" fontId="43" fillId="3" borderId="33" xfId="8" applyNumberFormat="1" applyFont="1" applyFill="1" applyBorder="1" applyAlignment="1" applyProtection="1">
      <alignment horizontal="right"/>
    </xf>
    <xf numFmtId="183" fontId="43" fillId="3" borderId="34" xfId="8" applyNumberFormat="1" applyFont="1" applyFill="1" applyBorder="1" applyAlignment="1" applyProtection="1">
      <alignment horizontal="right"/>
    </xf>
    <xf numFmtId="179" fontId="146" fillId="0" borderId="5" xfId="4" applyNumberFormat="1" applyFont="1" applyBorder="1" applyAlignment="1">
      <alignment horizontal="left"/>
    </xf>
    <xf numFmtId="179" fontId="139" fillId="0" borderId="3" xfId="4" applyNumberFormat="1" applyFont="1" applyBorder="1" applyAlignment="1">
      <alignment horizontal="center"/>
    </xf>
    <xf numFmtId="179" fontId="139" fillId="0" borderId="3" xfId="4" applyNumberFormat="1" applyFont="1" applyBorder="1"/>
    <xf numFmtId="179" fontId="26" fillId="0" borderId="3" xfId="4" applyNumberFormat="1" applyFont="1" applyBorder="1" applyAlignment="1">
      <alignment horizontal="right" indent="1"/>
    </xf>
    <xf numFmtId="0" fontId="43" fillId="0" borderId="261" xfId="4" applyNumberFormat="1" applyFont="1" applyFill="1" applyBorder="1" applyAlignment="1">
      <alignment horizontal="center"/>
    </xf>
    <xf numFmtId="179" fontId="26" fillId="0" borderId="198" xfId="4" applyNumberFormat="1" applyFont="1" applyBorder="1"/>
    <xf numFmtId="185" fontId="43" fillId="0" borderId="60" xfId="14" applyNumberFormat="1" applyFont="1" applyFill="1" applyBorder="1"/>
    <xf numFmtId="179" fontId="26" fillId="0" borderId="0" xfId="4" applyNumberFormat="1" applyFont="1" applyBorder="1" applyAlignment="1">
      <alignment horizontal="right" indent="1"/>
    </xf>
    <xf numFmtId="0" fontId="43" fillId="0" borderId="201" xfId="4" applyNumberFormat="1" applyFont="1" applyFill="1" applyBorder="1" applyAlignment="1">
      <alignment horizontal="center"/>
    </xf>
    <xf numFmtId="183" fontId="43" fillId="0" borderId="60" xfId="1" applyNumberFormat="1" applyFont="1" applyFill="1" applyBorder="1"/>
    <xf numFmtId="181" fontId="43" fillId="0" borderId="201" xfId="2" applyNumberFormat="1" applyFont="1" applyFill="1" applyBorder="1"/>
    <xf numFmtId="181" fontId="38" fillId="3" borderId="201" xfId="6" applyNumberFormat="1" applyFont="1" applyFill="1" applyBorder="1" applyAlignment="1">
      <alignment horizontal="right"/>
    </xf>
    <xf numFmtId="179" fontId="13" fillId="0" borderId="198" xfId="4" applyNumberFormat="1" applyFont="1" applyBorder="1"/>
    <xf numFmtId="181" fontId="43" fillId="15" borderId="201" xfId="6" applyNumberFormat="1" applyFont="1" applyFill="1" applyBorder="1" applyAlignment="1">
      <alignment horizontal="right"/>
    </xf>
    <xf numFmtId="179" fontId="26" fillId="0" borderId="9" xfId="4" applyNumberFormat="1" applyFont="1" applyBorder="1"/>
    <xf numFmtId="185" fontId="43" fillId="0" borderId="63" xfId="14" applyNumberFormat="1" applyFont="1" applyFill="1" applyBorder="1"/>
    <xf numFmtId="179" fontId="26" fillId="0" borderId="7" xfId="4" applyNumberFormat="1" applyFont="1" applyBorder="1"/>
    <xf numFmtId="179" fontId="26" fillId="0" borderId="7" xfId="4" applyNumberFormat="1" applyFont="1" applyBorder="1" applyAlignment="1">
      <alignment horizontal="right" indent="1"/>
    </xf>
    <xf numFmtId="186" fontId="38" fillId="3" borderId="64" xfId="6" applyNumberFormat="1" applyFont="1" applyFill="1" applyBorder="1" applyAlignment="1">
      <alignment horizontal="right"/>
    </xf>
    <xf numFmtId="183" fontId="43" fillId="0" borderId="63" xfId="1" applyNumberFormat="1" applyFont="1" applyFill="1" applyBorder="1"/>
    <xf numFmtId="0" fontId="147" fillId="0" borderId="0" xfId="3" applyFont="1" applyAlignment="1">
      <alignment horizontal="left" vertical="center" wrapText="1"/>
    </xf>
    <xf numFmtId="0" fontId="102" fillId="0" borderId="0" xfId="3" applyFont="1" applyAlignment="1">
      <alignment horizontal="center" wrapText="1"/>
    </xf>
    <xf numFmtId="178" fontId="148" fillId="3" borderId="1" xfId="4" applyNumberFormat="1" applyFont="1" applyFill="1" applyBorder="1" applyAlignment="1">
      <alignment horizontal="center"/>
    </xf>
    <xf numFmtId="185" fontId="38" fillId="3" borderId="257" xfId="14" applyNumberFormat="1" applyFont="1" applyFill="1" applyBorder="1" applyAlignment="1">
      <alignment horizontal="right"/>
    </xf>
    <xf numFmtId="185" fontId="5" fillId="0" borderId="0" xfId="14" applyNumberFormat="1" applyFont="1"/>
    <xf numFmtId="185" fontId="38" fillId="3" borderId="258" xfId="14" applyNumberFormat="1" applyFont="1" applyFill="1" applyBorder="1" applyAlignment="1">
      <alignment horizontal="right"/>
    </xf>
    <xf numFmtId="185" fontId="38" fillId="3" borderId="259" xfId="14" applyNumberFormat="1" applyFont="1" applyFill="1" applyBorder="1" applyAlignment="1">
      <alignment horizontal="right"/>
    </xf>
    <xf numFmtId="185" fontId="38" fillId="3" borderId="260" xfId="14" applyNumberFormat="1" applyFont="1" applyFill="1" applyBorder="1" applyAlignment="1">
      <alignment horizontal="right"/>
    </xf>
    <xf numFmtId="193" fontId="43" fillId="3" borderId="15" xfId="14" applyNumberFormat="1" applyFont="1" applyFill="1" applyBorder="1" applyAlignment="1">
      <alignment horizontal="right"/>
    </xf>
    <xf numFmtId="193" fontId="5" fillId="0" borderId="0" xfId="14" applyNumberFormat="1" applyFont="1"/>
    <xf numFmtId="193" fontId="43" fillId="3" borderId="16" xfId="14" applyNumberFormat="1" applyFont="1" applyFill="1" applyBorder="1" applyAlignment="1">
      <alignment horizontal="right"/>
    </xf>
    <xf numFmtId="193" fontId="43" fillId="3" borderId="0" xfId="14" applyNumberFormat="1" applyFont="1" applyFill="1" applyBorder="1" applyAlignment="1">
      <alignment horizontal="right"/>
    </xf>
    <xf numFmtId="193" fontId="43" fillId="3" borderId="17" xfId="14" applyNumberFormat="1" applyFont="1" applyFill="1" applyBorder="1" applyAlignment="1">
      <alignment horizontal="right"/>
    </xf>
    <xf numFmtId="193" fontId="38" fillId="3" borderId="19" xfId="14" applyNumberFormat="1" applyFont="1" applyFill="1" applyBorder="1" applyAlignment="1">
      <alignment horizontal="right"/>
    </xf>
    <xf numFmtId="193" fontId="38" fillId="3" borderId="20" xfId="14" applyNumberFormat="1" applyFont="1" applyFill="1" applyBorder="1" applyAlignment="1">
      <alignment horizontal="right"/>
    </xf>
    <xf numFmtId="193" fontId="38" fillId="3" borderId="3" xfId="14" applyNumberFormat="1" applyFont="1" applyFill="1" applyBorder="1" applyAlignment="1">
      <alignment horizontal="right"/>
    </xf>
    <xf numFmtId="193" fontId="38" fillId="3" borderId="21" xfId="14" applyNumberFormat="1" applyFont="1" applyFill="1" applyBorder="1" applyAlignment="1">
      <alignment horizontal="right"/>
    </xf>
    <xf numFmtId="179" fontId="35" fillId="0" borderId="0" xfId="4" applyNumberFormat="1" applyFont="1" applyAlignment="1">
      <alignment horizontal="right"/>
    </xf>
    <xf numFmtId="193" fontId="38" fillId="3" borderId="31" xfId="14" applyNumberFormat="1" applyFont="1" applyFill="1" applyBorder="1" applyAlignment="1">
      <alignment horizontal="right"/>
    </xf>
    <xf numFmtId="193" fontId="43" fillId="3" borderId="32" xfId="14" applyNumberFormat="1" applyFont="1" applyFill="1" applyBorder="1" applyAlignment="1">
      <alignment horizontal="right"/>
    </xf>
    <xf numFmtId="193" fontId="43" fillId="3" borderId="33" xfId="14" applyNumberFormat="1" applyFont="1" applyFill="1" applyBorder="1" applyAlignment="1">
      <alignment horizontal="right"/>
    </xf>
    <xf numFmtId="193" fontId="43" fillId="3" borderId="34" xfId="14" applyNumberFormat="1" applyFont="1" applyFill="1" applyBorder="1" applyAlignment="1">
      <alignment horizontal="right"/>
    </xf>
    <xf numFmtId="193" fontId="38" fillId="3" borderId="239" xfId="14" applyNumberFormat="1" applyFont="1" applyFill="1" applyBorder="1" applyAlignment="1">
      <alignment horizontal="right"/>
    </xf>
    <xf numFmtId="193" fontId="43" fillId="3" borderId="240" xfId="14" applyNumberFormat="1" applyFont="1" applyFill="1" applyBorder="1" applyAlignment="1">
      <alignment horizontal="right"/>
    </xf>
    <xf numFmtId="193" fontId="43" fillId="3" borderId="241" xfId="14" applyNumberFormat="1" applyFont="1" applyFill="1" applyBorder="1" applyAlignment="1">
      <alignment horizontal="right"/>
    </xf>
    <xf numFmtId="193" fontId="43" fillId="3" borderId="242" xfId="14" applyNumberFormat="1" applyFont="1" applyFill="1" applyBorder="1" applyAlignment="1">
      <alignment horizontal="right"/>
    </xf>
    <xf numFmtId="193" fontId="38" fillId="3" borderId="243" xfId="14" applyNumberFormat="1" applyFont="1" applyFill="1" applyBorder="1" applyAlignment="1">
      <alignment horizontal="right"/>
    </xf>
    <xf numFmtId="193" fontId="43" fillId="3" borderId="244" xfId="14" applyNumberFormat="1" applyFont="1" applyFill="1" applyBorder="1" applyAlignment="1">
      <alignment horizontal="right"/>
    </xf>
    <xf numFmtId="193" fontId="43" fillId="3" borderId="245" xfId="14" applyNumberFormat="1" applyFont="1" applyFill="1" applyBorder="1" applyAlignment="1">
      <alignment horizontal="right"/>
    </xf>
    <xf numFmtId="193" fontId="43" fillId="3" borderId="246" xfId="14" applyNumberFormat="1" applyFont="1" applyFill="1" applyBorder="1" applyAlignment="1">
      <alignment horizontal="right"/>
    </xf>
    <xf numFmtId="193" fontId="43" fillId="3" borderId="239" xfId="14" applyNumberFormat="1" applyFont="1" applyFill="1" applyBorder="1" applyAlignment="1">
      <alignment horizontal="right"/>
    </xf>
    <xf numFmtId="193" fontId="43" fillId="3" borderId="243" xfId="14" applyNumberFormat="1" applyFont="1" applyFill="1" applyBorder="1" applyAlignment="1">
      <alignment horizontal="right"/>
    </xf>
    <xf numFmtId="193" fontId="38" fillId="3" borderId="15" xfId="4" applyNumberFormat="1" applyFont="1" applyFill="1" applyBorder="1" applyAlignment="1">
      <alignment horizontal="right"/>
    </xf>
    <xf numFmtId="193" fontId="10" fillId="0" borderId="0" xfId="3" applyNumberFormat="1"/>
    <xf numFmtId="193" fontId="43" fillId="3" borderId="16" xfId="4" applyNumberFormat="1" applyFont="1" applyFill="1" applyBorder="1" applyAlignment="1">
      <alignment horizontal="right"/>
    </xf>
    <xf numFmtId="193" fontId="43" fillId="3" borderId="0" xfId="4" applyNumberFormat="1" applyFont="1" applyFill="1" applyBorder="1" applyAlignment="1">
      <alignment horizontal="right"/>
    </xf>
    <xf numFmtId="193" fontId="43" fillId="3" borderId="17" xfId="4" applyNumberFormat="1" applyFont="1" applyFill="1" applyBorder="1" applyAlignment="1">
      <alignment horizontal="right"/>
    </xf>
    <xf numFmtId="193" fontId="38" fillId="3" borderId="35" xfId="4" applyNumberFormat="1" applyFont="1" applyFill="1" applyBorder="1" applyAlignment="1">
      <alignment horizontal="right"/>
    </xf>
    <xf numFmtId="193" fontId="38" fillId="3" borderId="36" xfId="4" applyNumberFormat="1" applyFont="1" applyFill="1" applyBorder="1" applyAlignment="1">
      <alignment horizontal="right"/>
    </xf>
    <xf numFmtId="193" fontId="38" fillId="3" borderId="37" xfId="4" applyNumberFormat="1" applyFont="1" applyFill="1" applyBorder="1" applyAlignment="1">
      <alignment horizontal="right"/>
    </xf>
    <xf numFmtId="193" fontId="38" fillId="3" borderId="38" xfId="4" applyNumberFormat="1" applyFont="1" applyFill="1" applyBorder="1" applyAlignment="1">
      <alignment horizontal="right"/>
    </xf>
    <xf numFmtId="193" fontId="43" fillId="3" borderId="15" xfId="4" applyNumberFormat="1" applyFont="1" applyFill="1" applyBorder="1" applyAlignment="1">
      <alignment horizontal="right"/>
    </xf>
    <xf numFmtId="193" fontId="69" fillId="3" borderId="15" xfId="4" applyNumberFormat="1" applyFont="1" applyFill="1" applyBorder="1" applyAlignment="1">
      <alignment horizontal="right"/>
    </xf>
    <xf numFmtId="193" fontId="5" fillId="0" borderId="0" xfId="3" applyNumberFormat="1" applyFont="1"/>
    <xf numFmtId="193" fontId="69" fillId="3" borderId="16" xfId="4" applyNumberFormat="1" applyFont="1" applyFill="1" applyBorder="1" applyAlignment="1">
      <alignment horizontal="right"/>
    </xf>
    <xf numFmtId="193" fontId="69" fillId="3" borderId="0" xfId="4" applyNumberFormat="1" applyFont="1" applyFill="1" applyBorder="1" applyAlignment="1">
      <alignment horizontal="right"/>
    </xf>
    <xf numFmtId="193" fontId="69" fillId="3" borderId="17" xfId="4" applyNumberFormat="1" applyFont="1" applyFill="1" applyBorder="1" applyAlignment="1">
      <alignment horizontal="right"/>
    </xf>
    <xf numFmtId="193" fontId="38" fillId="3" borderId="22" xfId="4" applyNumberFormat="1" applyFont="1" applyFill="1" applyBorder="1" applyAlignment="1">
      <alignment horizontal="right"/>
    </xf>
    <xf numFmtId="193" fontId="43" fillId="3" borderId="23" xfId="4" applyNumberFormat="1" applyFont="1" applyFill="1" applyBorder="1" applyAlignment="1">
      <alignment horizontal="right"/>
    </xf>
    <xf numFmtId="193" fontId="43" fillId="3" borderId="7" xfId="4" applyNumberFormat="1" applyFont="1" applyFill="1" applyBorder="1" applyAlignment="1">
      <alignment horizontal="right"/>
    </xf>
    <xf numFmtId="193" fontId="43" fillId="3" borderId="24" xfId="4" applyNumberFormat="1" applyFont="1" applyFill="1" applyBorder="1" applyAlignment="1">
      <alignment horizontal="right"/>
    </xf>
    <xf numFmtId="193" fontId="43" fillId="3" borderId="15" xfId="8" applyNumberFormat="1" applyFont="1" applyFill="1" applyBorder="1" applyAlignment="1">
      <alignment horizontal="right"/>
    </xf>
    <xf numFmtId="193" fontId="43" fillId="3" borderId="16" xfId="8" applyNumberFormat="1" applyFont="1" applyFill="1" applyBorder="1" applyAlignment="1">
      <alignment horizontal="right"/>
    </xf>
    <xf numFmtId="193" fontId="43" fillId="3" borderId="0" xfId="8" applyNumberFormat="1" applyFont="1" applyFill="1" applyBorder="1" applyAlignment="1">
      <alignment horizontal="right"/>
    </xf>
    <xf numFmtId="193" fontId="43" fillId="3" borderId="17" xfId="8" applyNumberFormat="1" applyFont="1" applyFill="1" applyBorder="1" applyAlignment="1">
      <alignment horizontal="right"/>
    </xf>
    <xf numFmtId="193" fontId="38" fillId="3" borderId="51" xfId="10" applyNumberFormat="1" applyFont="1" applyFill="1" applyBorder="1" applyAlignment="1">
      <alignment horizontal="right"/>
    </xf>
    <xf numFmtId="193" fontId="38" fillId="3" borderId="52" xfId="4" applyNumberFormat="1" applyFont="1" applyFill="1" applyBorder="1" applyAlignment="1">
      <alignment horizontal="right"/>
    </xf>
    <xf numFmtId="193" fontId="38" fillId="3" borderId="53" xfId="4" applyNumberFormat="1" applyFont="1" applyFill="1" applyBorder="1" applyAlignment="1">
      <alignment horizontal="right"/>
    </xf>
    <xf numFmtId="193" fontId="38" fillId="3" borderId="54" xfId="4" applyNumberFormat="1" applyFont="1" applyFill="1" applyBorder="1" applyAlignment="1">
      <alignment horizontal="right"/>
    </xf>
    <xf numFmtId="193" fontId="38" fillId="3" borderId="55" xfId="10" applyNumberFormat="1" applyFont="1" applyFill="1" applyBorder="1" applyAlignment="1">
      <alignment horizontal="right"/>
    </xf>
    <xf numFmtId="193" fontId="38" fillId="3" borderId="56" xfId="4" applyNumberFormat="1" applyFont="1" applyFill="1" applyBorder="1" applyAlignment="1">
      <alignment horizontal="right"/>
    </xf>
    <xf numFmtId="193" fontId="38" fillId="3" borderId="57" xfId="4" applyNumberFormat="1" applyFont="1" applyFill="1" applyBorder="1" applyAlignment="1">
      <alignment horizontal="right"/>
    </xf>
    <xf numFmtId="193" fontId="38" fillId="3" borderId="58" xfId="4" applyNumberFormat="1" applyFont="1" applyFill="1" applyBorder="1" applyAlignment="1">
      <alignment horizontal="right"/>
    </xf>
    <xf numFmtId="193" fontId="43" fillId="3" borderId="59" xfId="4" applyNumberFormat="1" applyFont="1" applyFill="1" applyBorder="1" applyAlignment="1">
      <alignment horizontal="right"/>
    </xf>
    <xf numFmtId="193" fontId="43" fillId="3" borderId="60" xfId="4" applyNumberFormat="1" applyFont="1" applyFill="1" applyBorder="1" applyAlignment="1">
      <alignment horizontal="right"/>
    </xf>
    <xf numFmtId="193" fontId="43" fillId="3" borderId="201" xfId="4" applyNumberFormat="1" applyFont="1" applyFill="1" applyBorder="1" applyAlignment="1">
      <alignment horizontal="right"/>
    </xf>
    <xf numFmtId="193" fontId="38" fillId="3" borderId="65" xfId="10" applyNumberFormat="1" applyFont="1" applyFill="1" applyBorder="1" applyAlignment="1">
      <alignment horizontal="right"/>
    </xf>
    <xf numFmtId="193" fontId="38" fillId="3" borderId="68" xfId="10" applyNumberFormat="1" applyFont="1" applyFill="1" applyBorder="1" applyAlignment="1">
      <alignment horizontal="right"/>
    </xf>
    <xf numFmtId="193" fontId="38" fillId="13" borderId="56" xfId="4" applyNumberFormat="1" applyFont="1" applyFill="1" applyBorder="1" applyAlignment="1">
      <alignment horizontal="right"/>
    </xf>
    <xf numFmtId="193" fontId="38" fillId="13" borderId="57" xfId="4" applyNumberFormat="1" applyFont="1" applyFill="1" applyBorder="1" applyAlignment="1">
      <alignment horizontal="right"/>
    </xf>
    <xf numFmtId="193" fontId="38" fillId="13" borderId="58" xfId="4" applyNumberFormat="1" applyFont="1" applyFill="1" applyBorder="1" applyAlignment="1">
      <alignment horizontal="right"/>
    </xf>
    <xf numFmtId="193" fontId="43" fillId="13" borderId="59" xfId="4" applyNumberFormat="1" applyFont="1" applyFill="1" applyBorder="1"/>
    <xf numFmtId="193" fontId="43" fillId="13" borderId="60" xfId="4" applyNumberFormat="1" applyFont="1" applyFill="1" applyBorder="1"/>
    <xf numFmtId="193" fontId="43" fillId="13" borderId="201" xfId="4" applyNumberFormat="1" applyFont="1" applyFill="1" applyBorder="1"/>
    <xf numFmtId="193" fontId="43" fillId="13" borderId="52" xfId="4" applyNumberFormat="1" applyFont="1" applyFill="1" applyBorder="1"/>
    <xf numFmtId="193" fontId="43" fillId="13" borderId="53" xfId="4" applyNumberFormat="1" applyFont="1" applyFill="1" applyBorder="1"/>
    <xf numFmtId="193" fontId="43" fillId="13" borderId="54" xfId="4" applyNumberFormat="1" applyFont="1" applyFill="1" applyBorder="1"/>
    <xf numFmtId="193" fontId="43" fillId="3" borderId="59" xfId="4" applyNumberFormat="1" applyFont="1" applyFill="1" applyBorder="1"/>
    <xf numFmtId="193" fontId="43" fillId="3" borderId="60" xfId="4" applyNumberFormat="1" applyFont="1" applyFill="1" applyBorder="1"/>
    <xf numFmtId="193" fontId="43" fillId="3" borderId="201" xfId="4" applyNumberFormat="1" applyFont="1" applyFill="1" applyBorder="1"/>
    <xf numFmtId="193" fontId="43" fillId="13" borderId="60" xfId="14" applyNumberFormat="1" applyFont="1" applyFill="1" applyBorder="1"/>
    <xf numFmtId="193" fontId="43" fillId="3" borderId="63" xfId="4" applyNumberFormat="1" applyFont="1" applyFill="1" applyBorder="1"/>
    <xf numFmtId="193" fontId="43" fillId="3" borderId="113" xfId="4" applyNumberFormat="1" applyFont="1" applyFill="1" applyBorder="1"/>
    <xf numFmtId="193" fontId="10" fillId="0" borderId="110" xfId="3" applyNumberFormat="1" applyBorder="1"/>
    <xf numFmtId="193" fontId="43" fillId="13" borderId="63" xfId="4" applyNumberFormat="1" applyFont="1" applyFill="1" applyBorder="1"/>
    <xf numFmtId="193" fontId="38" fillId="3" borderId="120" xfId="4" applyNumberFormat="1" applyFont="1" applyFill="1" applyBorder="1"/>
    <xf numFmtId="193" fontId="67" fillId="3" borderId="57" xfId="10" applyNumberFormat="1" applyFont="1" applyFill="1" applyBorder="1"/>
    <xf numFmtId="193" fontId="38" fillId="3" borderId="124" xfId="4" applyNumberFormat="1" applyFont="1" applyFill="1" applyBorder="1"/>
    <xf numFmtId="193" fontId="38" fillId="3" borderId="53" xfId="4" applyNumberFormat="1" applyFont="1" applyFill="1" applyBorder="1"/>
    <xf numFmtId="193" fontId="43" fillId="3" borderId="136" xfId="4" applyNumberFormat="1" applyFont="1" applyFill="1" applyBorder="1"/>
    <xf numFmtId="193" fontId="38" fillId="3" borderId="161" xfId="18" applyNumberFormat="1" applyFont="1" applyFill="1" applyBorder="1"/>
    <xf numFmtId="193" fontId="38" fillId="3" borderId="120" xfId="18" applyNumberFormat="1" applyFont="1" applyFill="1" applyBorder="1"/>
    <xf numFmtId="193" fontId="43" fillId="3" borderId="60" xfId="14" applyNumberFormat="1" applyFont="1" applyFill="1" applyBorder="1"/>
    <xf numFmtId="193" fontId="38" fillId="3" borderId="111" xfId="4" applyNumberFormat="1" applyFont="1" applyFill="1" applyBorder="1"/>
    <xf numFmtId="193" fontId="38" fillId="3" borderId="114" xfId="4" applyNumberFormat="1" applyFont="1" applyFill="1" applyBorder="1"/>
    <xf numFmtId="193" fontId="43" fillId="3" borderId="117" xfId="4" applyNumberFormat="1" applyFont="1" applyFill="1" applyBorder="1"/>
    <xf numFmtId="193" fontId="43" fillId="3" borderId="111" xfId="4" applyNumberFormat="1" applyFont="1" applyFill="1" applyBorder="1"/>
    <xf numFmtId="193" fontId="38" fillId="3" borderId="122" xfId="4" applyNumberFormat="1" applyFont="1" applyFill="1" applyBorder="1"/>
    <xf numFmtId="193" fontId="43" fillId="3" borderId="114" xfId="4" applyNumberFormat="1" applyFont="1" applyFill="1" applyBorder="1"/>
    <xf numFmtId="193" fontId="43" fillId="3" borderId="125" xfId="4" applyNumberFormat="1" applyFont="1" applyFill="1" applyBorder="1"/>
    <xf numFmtId="193" fontId="38" fillId="3" borderId="127" xfId="4" applyNumberFormat="1" applyFont="1" applyFill="1" applyBorder="1"/>
    <xf numFmtId="193" fontId="43" fillId="3" borderId="125" xfId="18" applyNumberFormat="1" applyFont="1" applyFill="1" applyBorder="1"/>
    <xf numFmtId="193" fontId="43" fillId="3" borderId="134" xfId="4" applyNumberFormat="1" applyFont="1" applyFill="1" applyBorder="1"/>
    <xf numFmtId="193" fontId="38" fillId="3" borderId="137" xfId="4" applyNumberFormat="1" applyFont="1" applyFill="1" applyBorder="1"/>
    <xf numFmtId="193" fontId="43" fillId="3" borderId="165" xfId="4" applyNumberFormat="1" applyFont="1" applyFill="1" applyBorder="1"/>
    <xf numFmtId="193" fontId="38" fillId="3" borderId="137" xfId="18" applyNumberFormat="1" applyFont="1" applyFill="1" applyBorder="1"/>
    <xf numFmtId="193" fontId="38" fillId="3" borderId="107" xfId="4" applyNumberFormat="1" applyFont="1" applyFill="1" applyBorder="1"/>
    <xf numFmtId="193" fontId="43" fillId="3" borderId="107" xfId="4" applyNumberFormat="1" applyFont="1" applyFill="1" applyBorder="1"/>
    <xf numFmtId="193" fontId="38" fillId="3" borderId="139" xfId="4" applyNumberFormat="1" applyFont="1" applyFill="1" applyBorder="1"/>
    <xf numFmtId="3" fontId="55" fillId="2" borderId="179" xfId="1" applyNumberFormat="1" applyFont="1" applyFill="1" applyBorder="1" applyProtection="1">
      <protection locked="0"/>
    </xf>
    <xf numFmtId="3" fontId="43" fillId="7" borderId="180" xfId="4" applyNumberFormat="1" applyFont="1" applyFill="1" applyBorder="1" applyAlignment="1">
      <alignment horizontal="right"/>
    </xf>
    <xf numFmtId="3" fontId="43" fillId="7" borderId="182" xfId="4" applyNumberFormat="1" applyFont="1" applyFill="1" applyBorder="1" applyAlignment="1">
      <alignment horizontal="right"/>
    </xf>
    <xf numFmtId="3" fontId="43" fillId="7" borderId="185" xfId="4" applyNumberFormat="1" applyFont="1" applyFill="1" applyBorder="1" applyAlignment="1">
      <alignment horizontal="right"/>
    </xf>
    <xf numFmtId="3" fontId="55" fillId="2" borderId="132" xfId="2" applyNumberFormat="1" applyFont="1" applyFill="1" applyBorder="1" applyProtection="1">
      <protection locked="0"/>
    </xf>
    <xf numFmtId="3" fontId="55" fillId="2" borderId="187" xfId="2" applyNumberFormat="1" applyFont="1" applyFill="1" applyBorder="1" applyProtection="1">
      <protection locked="0"/>
    </xf>
    <xf numFmtId="3" fontId="38" fillId="3" borderId="63" xfId="4" applyNumberFormat="1" applyFont="1" applyFill="1" applyBorder="1" applyAlignment="1">
      <alignment horizontal="right"/>
    </xf>
    <xf numFmtId="3" fontId="67" fillId="3" borderId="116" xfId="2" applyNumberFormat="1" applyFont="1" applyFill="1" applyBorder="1"/>
    <xf numFmtId="3" fontId="67" fillId="3" borderId="57" xfId="2" applyNumberFormat="1" applyFont="1" applyFill="1" applyBorder="1"/>
    <xf numFmtId="3" fontId="67" fillId="3" borderId="184" xfId="2" applyNumberFormat="1" applyFont="1" applyFill="1" applyBorder="1"/>
    <xf numFmtId="3" fontId="38" fillId="3" borderId="100" xfId="2" applyNumberFormat="1" applyFont="1" applyFill="1" applyBorder="1"/>
    <xf numFmtId="193" fontId="38" fillId="3" borderId="27" xfId="4" applyNumberFormat="1" applyFont="1" applyFill="1" applyBorder="1"/>
    <xf numFmtId="193" fontId="43" fillId="0" borderId="0" xfId="4" applyNumberFormat="1" applyFont="1"/>
    <xf numFmtId="193" fontId="38" fillId="3" borderId="3" xfId="4" applyNumberFormat="1" applyFont="1" applyFill="1" applyBorder="1"/>
    <xf numFmtId="193" fontId="38" fillId="3" borderId="45" xfId="4" applyNumberFormat="1" applyFont="1" applyFill="1" applyBorder="1"/>
    <xf numFmtId="193" fontId="43" fillId="3" borderId="15" xfId="4" applyNumberFormat="1" applyFont="1" applyFill="1" applyBorder="1"/>
    <xf numFmtId="193" fontId="38" fillId="3" borderId="19" xfId="4" applyNumberFormat="1" applyFont="1" applyFill="1" applyBorder="1"/>
    <xf numFmtId="193" fontId="43" fillId="0" borderId="15" xfId="4" applyNumberFormat="1" applyFont="1" applyBorder="1"/>
    <xf numFmtId="193" fontId="43" fillId="3" borderId="0" xfId="4" applyNumberFormat="1" applyFont="1" applyFill="1"/>
    <xf numFmtId="193" fontId="43" fillId="9" borderId="15" xfId="4" applyNumberFormat="1" applyFont="1" applyFill="1" applyBorder="1"/>
    <xf numFmtId="193" fontId="38" fillId="3" borderId="194" xfId="4" applyNumberFormat="1" applyFont="1" applyFill="1" applyBorder="1"/>
    <xf numFmtId="193" fontId="38" fillId="3" borderId="193" xfId="4" applyNumberFormat="1" applyFont="1" applyFill="1" applyBorder="1"/>
    <xf numFmtId="193" fontId="43" fillId="3" borderId="0" xfId="4" applyNumberFormat="1" applyFont="1" applyFill="1" applyBorder="1"/>
    <xf numFmtId="193" fontId="38" fillId="3" borderId="21" xfId="4" applyNumberFormat="1" applyFont="1" applyFill="1" applyBorder="1"/>
    <xf numFmtId="193" fontId="35" fillId="0" borderId="0" xfId="4" applyNumberFormat="1" applyFont="1" applyBorder="1" applyAlignment="1">
      <alignment horizontal="center"/>
    </xf>
    <xf numFmtId="193" fontId="35" fillId="0" borderId="17" xfId="4" applyNumberFormat="1" applyFont="1" applyBorder="1" applyAlignment="1">
      <alignment horizontal="center"/>
    </xf>
    <xf numFmtId="193" fontId="38" fillId="3" borderId="28" xfId="4" applyNumberFormat="1" applyFont="1" applyFill="1" applyBorder="1"/>
    <xf numFmtId="193" fontId="43" fillId="13" borderId="202" xfId="4" applyNumberFormat="1" applyFont="1" applyFill="1" applyBorder="1"/>
    <xf numFmtId="193" fontId="10" fillId="0" borderId="17" xfId="3" applyNumberFormat="1" applyBorder="1"/>
    <xf numFmtId="193" fontId="38" fillId="3" borderId="7" xfId="4" applyNumberFormat="1" applyFont="1" applyFill="1" applyBorder="1"/>
    <xf numFmtId="193" fontId="43" fillId="3" borderId="24" xfId="4" applyNumberFormat="1" applyFont="1" applyFill="1" applyBorder="1"/>
    <xf numFmtId="193" fontId="38" fillId="3" borderId="197" xfId="4" applyNumberFormat="1" applyFont="1" applyFill="1" applyBorder="1"/>
    <xf numFmtId="193" fontId="18" fillId="0" borderId="49" xfId="3" applyNumberFormat="1" applyFont="1" applyBorder="1"/>
    <xf numFmtId="193" fontId="18" fillId="0" borderId="50" xfId="3" applyNumberFormat="1" applyFont="1" applyBorder="1"/>
    <xf numFmtId="193" fontId="43" fillId="3" borderId="3" xfId="4" applyNumberFormat="1" applyFont="1" applyFill="1" applyBorder="1"/>
    <xf numFmtId="193" fontId="43" fillId="8" borderId="0" xfId="4" applyNumberFormat="1" applyFont="1" applyFill="1"/>
    <xf numFmtId="193" fontId="43" fillId="10" borderId="60" xfId="4" applyNumberFormat="1" applyFont="1" applyFill="1" applyBorder="1"/>
    <xf numFmtId="193" fontId="43" fillId="0" borderId="0" xfId="4" applyNumberFormat="1" applyFont="1" applyBorder="1" applyAlignment="1">
      <alignment horizontal="center"/>
    </xf>
    <xf numFmtId="193" fontId="43" fillId="10" borderId="0" xfId="4" applyNumberFormat="1" applyFont="1" applyFill="1"/>
    <xf numFmtId="193" fontId="43" fillId="0" borderId="60" xfId="14" applyNumberFormat="1" applyFont="1" applyFill="1" applyBorder="1"/>
    <xf numFmtId="193" fontId="43" fillId="0" borderId="63" xfId="14" applyNumberFormat="1" applyFont="1" applyFill="1" applyBorder="1"/>
    <xf numFmtId="193" fontId="43" fillId="3" borderId="35" xfId="4" applyNumberFormat="1" applyFont="1" applyFill="1" applyBorder="1" applyAlignment="1">
      <alignment horizontal="right"/>
    </xf>
    <xf numFmtId="193" fontId="47" fillId="0" borderId="0" xfId="3" applyNumberFormat="1" applyFont="1"/>
    <xf numFmtId="193" fontId="43" fillId="3" borderId="36" xfId="4" applyNumberFormat="1" applyFont="1" applyFill="1" applyBorder="1" applyAlignment="1">
      <alignment horizontal="right"/>
    </xf>
    <xf numFmtId="193" fontId="43" fillId="3" borderId="37" xfId="4" applyNumberFormat="1" applyFont="1" applyFill="1" applyBorder="1" applyAlignment="1">
      <alignment horizontal="right"/>
    </xf>
    <xf numFmtId="193" fontId="43" fillId="3" borderId="38" xfId="4" applyNumberFormat="1" applyFont="1" applyFill="1" applyBorder="1" applyAlignment="1">
      <alignment horizontal="right"/>
    </xf>
    <xf numFmtId="193" fontId="43" fillId="3" borderId="39" xfId="4" applyNumberFormat="1" applyFont="1" applyFill="1" applyBorder="1" applyAlignment="1">
      <alignment horizontal="right"/>
    </xf>
    <xf numFmtId="193" fontId="43" fillId="3" borderId="40" xfId="4" applyNumberFormat="1" applyFont="1" applyFill="1" applyBorder="1" applyAlignment="1">
      <alignment horizontal="right"/>
    </xf>
    <xf numFmtId="193" fontId="43" fillId="3" borderId="41" xfId="4" applyNumberFormat="1" applyFont="1" applyFill="1" applyBorder="1" applyAlignment="1">
      <alignment horizontal="right"/>
    </xf>
    <xf numFmtId="193" fontId="43" fillId="3" borderId="42" xfId="4" applyNumberFormat="1" applyFont="1" applyFill="1" applyBorder="1" applyAlignment="1">
      <alignment horizontal="right"/>
    </xf>
    <xf numFmtId="179" fontId="26" fillId="0" borderId="32" xfId="4" applyNumberFormat="1" applyFont="1" applyBorder="1"/>
    <xf numFmtId="179" fontId="26" fillId="0" borderId="33" xfId="4" applyNumberFormat="1" applyFont="1" applyBorder="1"/>
    <xf numFmtId="179" fontId="26" fillId="0" borderId="34" xfId="4" applyNumberFormat="1" applyFont="1" applyBorder="1"/>
    <xf numFmtId="193" fontId="38" fillId="3" borderId="262" xfId="4" applyNumberFormat="1" applyFont="1" applyFill="1" applyBorder="1" applyAlignment="1">
      <alignment horizontal="right"/>
    </xf>
    <xf numFmtId="193" fontId="43" fillId="3" borderId="263" xfId="4" applyNumberFormat="1" applyFont="1" applyFill="1" applyBorder="1" applyAlignment="1">
      <alignment horizontal="right"/>
    </xf>
    <xf numFmtId="193" fontId="43" fillId="3" borderId="264" xfId="4" applyNumberFormat="1" applyFont="1" applyFill="1" applyBorder="1" applyAlignment="1">
      <alignment horizontal="right"/>
    </xf>
    <xf numFmtId="193" fontId="43" fillId="3" borderId="265" xfId="4" applyNumberFormat="1" applyFont="1" applyFill="1" applyBorder="1" applyAlignment="1">
      <alignment horizontal="right"/>
    </xf>
    <xf numFmtId="193" fontId="38" fillId="3" borderId="43" xfId="4" applyNumberFormat="1" applyFont="1" applyFill="1" applyBorder="1" applyAlignment="1">
      <alignment horizontal="right"/>
    </xf>
    <xf numFmtId="193" fontId="43" fillId="3" borderId="44" xfId="4" applyNumberFormat="1" applyFont="1" applyFill="1" applyBorder="1" applyAlignment="1">
      <alignment horizontal="right"/>
    </xf>
    <xf numFmtId="193" fontId="43" fillId="3" borderId="45" xfId="4" applyNumberFormat="1" applyFont="1" applyFill="1" applyBorder="1" applyAlignment="1">
      <alignment horizontal="right"/>
    </xf>
    <xf numFmtId="193" fontId="43" fillId="3" borderId="46" xfId="4" applyNumberFormat="1" applyFont="1" applyFill="1" applyBorder="1" applyAlignment="1">
      <alignment horizontal="right"/>
    </xf>
    <xf numFmtId="193" fontId="38" fillId="0" borderId="19" xfId="4" applyNumberFormat="1" applyFont="1" applyBorder="1" applyAlignment="1">
      <alignment horizontal="right"/>
    </xf>
    <xf numFmtId="193" fontId="43" fillId="0" borderId="20" xfId="4" applyNumberFormat="1" applyFont="1" applyBorder="1" applyAlignment="1">
      <alignment horizontal="right"/>
    </xf>
    <xf numFmtId="193" fontId="43" fillId="0" borderId="3" xfId="4" applyNumberFormat="1" applyFont="1" applyBorder="1" applyAlignment="1">
      <alignment horizontal="right"/>
    </xf>
    <xf numFmtId="193" fontId="43" fillId="0" borderId="21" xfId="4" applyNumberFormat="1" applyFont="1" applyBorder="1" applyAlignment="1">
      <alignment horizontal="right"/>
    </xf>
    <xf numFmtId="193" fontId="38" fillId="3" borderId="25" xfId="4" applyNumberFormat="1" applyFont="1" applyFill="1" applyBorder="1" applyAlignment="1">
      <alignment horizontal="right"/>
    </xf>
    <xf numFmtId="193" fontId="43" fillId="3" borderId="26" xfId="4" applyNumberFormat="1" applyFont="1" applyFill="1" applyBorder="1" applyAlignment="1">
      <alignment horizontal="right"/>
    </xf>
    <xf numFmtId="193" fontId="43" fillId="3" borderId="27" xfId="4" applyNumberFormat="1" applyFont="1" applyFill="1" applyBorder="1" applyAlignment="1">
      <alignment horizontal="right"/>
    </xf>
    <xf numFmtId="193" fontId="43" fillId="3" borderId="28" xfId="4" applyNumberFormat="1" applyFont="1" applyFill="1" applyBorder="1" applyAlignment="1">
      <alignment horizontal="right"/>
    </xf>
    <xf numFmtId="193" fontId="38" fillId="0" borderId="15" xfId="4" applyNumberFormat="1" applyFont="1" applyBorder="1" applyAlignment="1">
      <alignment horizontal="right"/>
    </xf>
    <xf numFmtId="193" fontId="43" fillId="0" borderId="16" xfId="4" applyNumberFormat="1" applyFont="1" applyBorder="1" applyAlignment="1">
      <alignment horizontal="right"/>
    </xf>
    <xf numFmtId="193" fontId="43" fillId="0" borderId="0" xfId="4" applyNumberFormat="1" applyFont="1" applyBorder="1" applyAlignment="1">
      <alignment horizontal="right"/>
    </xf>
    <xf numFmtId="193" fontId="43" fillId="0" borderId="17" xfId="4" applyNumberFormat="1" applyFont="1" applyBorder="1" applyAlignment="1">
      <alignment horizontal="right"/>
    </xf>
    <xf numFmtId="179" fontId="55" fillId="2" borderId="1" xfId="4" applyNumberFormat="1" applyFont="1" applyFill="1" applyBorder="1" applyAlignment="1" applyProtection="1">
      <alignment horizontal="center"/>
      <protection locked="0"/>
    </xf>
    <xf numFmtId="9" fontId="5" fillId="0" borderId="0" xfId="2" applyFont="1"/>
    <xf numFmtId="184" fontId="38" fillId="3" borderId="74" xfId="4" applyNumberFormat="1" applyFont="1" applyFill="1" applyBorder="1" applyAlignment="1">
      <alignment horizontal="right"/>
    </xf>
    <xf numFmtId="182" fontId="55" fillId="2" borderId="71" xfId="4" applyNumberFormat="1" applyFont="1" applyFill="1" applyBorder="1" applyProtection="1">
      <protection locked="0"/>
    </xf>
    <xf numFmtId="177" fontId="57" fillId="3" borderId="72" xfId="14" applyFont="1" applyFill="1" applyBorder="1" applyAlignment="1">
      <alignment horizontal="right"/>
    </xf>
    <xf numFmtId="177" fontId="57" fillId="3" borderId="73" xfId="14" applyFont="1" applyFill="1" applyBorder="1" applyAlignment="1">
      <alignment horizontal="right"/>
    </xf>
    <xf numFmtId="193" fontId="43" fillId="3" borderId="93" xfId="4" applyNumberFormat="1" applyFont="1" applyFill="1" applyBorder="1"/>
    <xf numFmtId="193" fontId="43" fillId="3" borderId="94" xfId="4" applyNumberFormat="1" applyFont="1" applyFill="1" applyBorder="1"/>
    <xf numFmtId="193" fontId="43" fillId="3" borderId="95" xfId="4" applyNumberFormat="1" applyFont="1" applyFill="1" applyBorder="1"/>
    <xf numFmtId="193" fontId="43" fillId="3" borderId="96" xfId="4" applyNumberFormat="1" applyFont="1" applyFill="1" applyBorder="1"/>
    <xf numFmtId="193" fontId="43" fillId="3" borderId="97" xfId="4" applyNumberFormat="1" applyFont="1" applyFill="1" applyBorder="1"/>
    <xf numFmtId="193" fontId="43" fillId="3" borderId="98" xfId="4" applyNumberFormat="1" applyFont="1" applyFill="1" applyBorder="1"/>
    <xf numFmtId="193" fontId="43" fillId="3" borderId="99" xfId="4" applyNumberFormat="1" applyFont="1" applyFill="1" applyBorder="1"/>
    <xf numFmtId="193" fontId="43" fillId="3" borderId="100" xfId="4" applyNumberFormat="1" applyFont="1" applyFill="1" applyBorder="1"/>
    <xf numFmtId="193" fontId="43" fillId="3" borderId="101" xfId="4" applyNumberFormat="1" applyFont="1" applyFill="1" applyBorder="1"/>
    <xf numFmtId="193" fontId="43" fillId="3" borderId="79" xfId="4" applyNumberFormat="1" applyFont="1" applyFill="1" applyBorder="1"/>
    <xf numFmtId="193" fontId="43" fillId="3" borderId="102" xfId="4" applyNumberFormat="1" applyFont="1" applyFill="1" applyBorder="1"/>
    <xf numFmtId="193" fontId="43" fillId="3" borderId="103" xfId="4" applyNumberFormat="1" applyFont="1" applyFill="1" applyBorder="1"/>
    <xf numFmtId="193" fontId="43" fillId="3" borderId="104" xfId="4" applyNumberFormat="1" applyFont="1" applyFill="1" applyBorder="1"/>
    <xf numFmtId="193" fontId="43" fillId="3" borderId="105" xfId="4" applyNumberFormat="1" applyFont="1" applyFill="1" applyBorder="1"/>
    <xf numFmtId="193" fontId="43" fillId="3" borderId="52" xfId="4" applyNumberFormat="1" applyFont="1" applyFill="1" applyBorder="1"/>
    <xf numFmtId="193" fontId="43" fillId="3" borderId="106" xfId="4" applyNumberFormat="1" applyFont="1" applyFill="1" applyBorder="1"/>
    <xf numFmtId="193" fontId="43" fillId="3" borderId="67" xfId="4" applyNumberFormat="1" applyFont="1" applyFill="1" applyBorder="1"/>
    <xf numFmtId="195" fontId="43" fillId="3" borderId="63" xfId="18" applyNumberFormat="1" applyFont="1" applyFill="1" applyBorder="1"/>
    <xf numFmtId="195" fontId="24" fillId="0" borderId="41" xfId="3" applyNumberFormat="1" applyFont="1" applyBorder="1" applyAlignment="1">
      <alignment horizontal="left"/>
    </xf>
    <xf numFmtId="195" fontId="10" fillId="0" borderId="0" xfId="3" applyNumberFormat="1" applyProtection="1">
      <protection locked="0"/>
    </xf>
    <xf numFmtId="193" fontId="43" fillId="3" borderId="253" xfId="4" applyNumberFormat="1" applyFont="1" applyFill="1" applyBorder="1"/>
    <xf numFmtId="193" fontId="43" fillId="3" borderId="255" xfId="4" applyNumberFormat="1" applyFont="1" applyFill="1" applyBorder="1"/>
    <xf numFmtId="37" fontId="28" fillId="6" borderId="107" xfId="5" applyNumberFormat="1" applyFont="1" applyFill="1" applyBorder="1" applyAlignment="1">
      <alignment horizontal="center" vertical="center"/>
    </xf>
    <xf numFmtId="37" fontId="28" fillId="6" borderId="119" xfId="5" applyNumberFormat="1" applyFont="1" applyFill="1" applyBorder="1" applyAlignment="1">
      <alignment horizontal="center" vertical="center"/>
    </xf>
    <xf numFmtId="193" fontId="43" fillId="3" borderId="128" xfId="10" applyNumberFormat="1" applyFont="1" applyFill="1" applyBorder="1" applyAlignment="1">
      <alignment horizontal="center"/>
    </xf>
    <xf numFmtId="193" fontId="38" fillId="3" borderId="161" xfId="4" applyNumberFormat="1" applyFont="1" applyFill="1" applyBorder="1"/>
    <xf numFmtId="193" fontId="38" fillId="3" borderId="162" xfId="4" applyNumberFormat="1" applyFont="1" applyFill="1" applyBorder="1"/>
    <xf numFmtId="193" fontId="43" fillId="3" borderId="167" xfId="4" applyNumberFormat="1" applyFont="1" applyFill="1" applyBorder="1"/>
    <xf numFmtId="193" fontId="43" fillId="3" borderId="168" xfId="4" applyNumberFormat="1" applyFont="1" applyFill="1" applyBorder="1"/>
    <xf numFmtId="193" fontId="43" fillId="3" borderId="266" xfId="4" applyNumberFormat="1" applyFont="1" applyFill="1" applyBorder="1"/>
    <xf numFmtId="181" fontId="138" fillId="3" borderId="163" xfId="10" applyNumberFormat="1" applyFont="1" applyFill="1" applyBorder="1" applyAlignment="1">
      <alignment vertical="center"/>
    </xf>
    <xf numFmtId="181" fontId="138" fillId="3" borderId="141" xfId="10" applyNumberFormat="1" applyFont="1" applyFill="1" applyBorder="1" applyAlignment="1">
      <alignment vertical="center"/>
    </xf>
    <xf numFmtId="181" fontId="138" fillId="3" borderId="164" xfId="10" applyNumberFormat="1" applyFont="1" applyFill="1" applyBorder="1" applyAlignment="1">
      <alignment vertical="center"/>
    </xf>
    <xf numFmtId="193" fontId="43" fillId="3" borderId="138" xfId="10" applyNumberFormat="1" applyFont="1" applyFill="1" applyBorder="1" applyAlignment="1">
      <alignment horizontal="center"/>
    </xf>
    <xf numFmtId="193" fontId="43" fillId="3" borderId="175" xfId="4" applyNumberFormat="1" applyFont="1" applyFill="1" applyBorder="1"/>
    <xf numFmtId="193" fontId="43" fillId="3" borderId="176" xfId="4" applyNumberFormat="1" applyFont="1" applyFill="1" applyBorder="1"/>
    <xf numFmtId="193" fontId="38" fillId="3" borderId="247" xfId="4" applyNumberFormat="1" applyFont="1" applyFill="1" applyBorder="1"/>
    <xf numFmtId="181" fontId="43" fillId="3" borderId="248" xfId="10" applyNumberFormat="1" applyFont="1" applyFill="1" applyBorder="1" applyAlignment="1">
      <alignment horizontal="center"/>
    </xf>
    <xf numFmtId="193" fontId="38" fillId="3" borderId="249" xfId="4" applyNumberFormat="1" applyFont="1" applyFill="1" applyBorder="1"/>
    <xf numFmtId="193" fontId="38" fillId="3" borderId="250" xfId="4" applyNumberFormat="1" applyFont="1" applyFill="1" applyBorder="1"/>
    <xf numFmtId="193" fontId="38" fillId="3" borderId="251" xfId="4" applyNumberFormat="1" applyFont="1" applyFill="1" applyBorder="1"/>
    <xf numFmtId="3" fontId="38" fillId="3" borderId="113" xfId="1" applyNumberFormat="1" applyFont="1" applyFill="1" applyBorder="1"/>
    <xf numFmtId="3" fontId="10" fillId="0" borderId="0" xfId="3" applyNumberFormat="1" applyProtection="1">
      <protection locked="0"/>
    </xf>
    <xf numFmtId="193" fontId="43" fillId="9" borderId="0" xfId="4" applyNumberFormat="1" applyFont="1" applyFill="1"/>
    <xf numFmtId="193" fontId="43" fillId="3" borderId="17" xfId="4" applyNumberFormat="1" applyFont="1" applyFill="1" applyBorder="1"/>
    <xf numFmtId="193" fontId="43" fillId="8" borderId="0" xfId="4" applyNumberFormat="1" applyFont="1" applyFill="1" applyBorder="1"/>
    <xf numFmtId="193" fontId="81" fillId="3" borderId="0" xfId="4" applyNumberFormat="1" applyFont="1" applyFill="1"/>
    <xf numFmtId="193" fontId="81" fillId="11" borderId="0" xfId="4" applyNumberFormat="1" applyFont="1" applyFill="1"/>
    <xf numFmtId="193" fontId="82" fillId="2" borderId="76" xfId="4" applyNumberFormat="1" applyFont="1" applyFill="1" applyBorder="1" applyProtection="1">
      <protection locked="0"/>
    </xf>
    <xf numFmtId="193" fontId="81" fillId="0" borderId="0" xfId="4" applyNumberFormat="1" applyFont="1"/>
    <xf numFmtId="193" fontId="38" fillId="3" borderId="0" xfId="4" applyNumberFormat="1" applyFont="1" applyFill="1"/>
    <xf numFmtId="193" fontId="38" fillId="0" borderId="0" xfId="4" applyNumberFormat="1" applyFont="1" applyAlignment="1">
      <alignment horizontal="center"/>
    </xf>
    <xf numFmtId="193" fontId="79" fillId="3" borderId="0" xfId="4" applyNumberFormat="1" applyFont="1" applyFill="1"/>
    <xf numFmtId="193" fontId="79" fillId="3" borderId="0" xfId="9" applyNumberFormat="1" applyFont="1" applyFill="1"/>
    <xf numFmtId="193" fontId="81" fillId="3" borderId="0" xfId="9" applyNumberFormat="1" applyFont="1" applyFill="1"/>
    <xf numFmtId="193" fontId="86" fillId="12" borderId="0" xfId="4" applyNumberFormat="1" applyFont="1" applyFill="1"/>
    <xf numFmtId="193" fontId="86" fillId="12" borderId="0" xfId="4" applyNumberFormat="1" applyFont="1" applyFill="1" applyAlignment="1">
      <alignment horizontal="center"/>
    </xf>
    <xf numFmtId="196" fontId="55" fillId="2" borderId="87" xfId="31" applyNumberFormat="1" applyFont="1" applyFill="1" applyBorder="1" applyProtection="1">
      <protection locked="0"/>
    </xf>
    <xf numFmtId="196" fontId="55" fillId="2" borderId="88" xfId="31" applyNumberFormat="1" applyFont="1" applyFill="1" applyBorder="1" applyProtection="1">
      <protection locked="0"/>
    </xf>
    <xf numFmtId="196" fontId="55" fillId="2" borderId="89" xfId="31" applyNumberFormat="1" applyFont="1" applyFill="1" applyBorder="1" applyProtection="1">
      <protection locked="0"/>
    </xf>
    <xf numFmtId="179" fontId="26" fillId="0" borderId="0" xfId="7" applyNumberFormat="1" applyFont="1"/>
    <xf numFmtId="0" fontId="151" fillId="0" borderId="0" xfId="0" applyFont="1"/>
    <xf numFmtId="0" fontId="152" fillId="0" borderId="0" xfId="0" applyFont="1"/>
    <xf numFmtId="9" fontId="0" fillId="0" borderId="0" xfId="0" applyNumberFormat="1"/>
    <xf numFmtId="0" fontId="0" fillId="0" borderId="12" xfId="0" applyBorder="1"/>
    <xf numFmtId="0" fontId="0" fillId="0" borderId="13" xfId="0" applyBorder="1"/>
    <xf numFmtId="0" fontId="0" fillId="0" borderId="14" xfId="0" applyBorder="1"/>
    <xf numFmtId="0" fontId="0" fillId="0" borderId="16" xfId="0" applyBorder="1"/>
    <xf numFmtId="0" fontId="0" fillId="0" borderId="17" xfId="0" applyBorder="1"/>
    <xf numFmtId="0" fontId="0" fillId="0" borderId="48" xfId="0" applyBorder="1"/>
    <xf numFmtId="0" fontId="0" fillId="0" borderId="49" xfId="0" applyBorder="1"/>
    <xf numFmtId="0" fontId="0" fillId="0" borderId="50" xfId="0" applyBorder="1"/>
    <xf numFmtId="0" fontId="150" fillId="26" borderId="5" xfId="3" applyFont="1" applyFill="1" applyBorder="1"/>
    <xf numFmtId="0" fontId="13" fillId="26" borderId="3" xfId="3" applyFont="1" applyFill="1" applyBorder="1"/>
    <xf numFmtId="0" fontId="10" fillId="26" borderId="3" xfId="3" applyFill="1" applyBorder="1"/>
    <xf numFmtId="179" fontId="149" fillId="26" borderId="198" xfId="4" applyNumberFormat="1" applyFont="1" applyFill="1" applyBorder="1" applyProtection="1"/>
    <xf numFmtId="179" fontId="26" fillId="26" borderId="0" xfId="7" applyNumberFormat="1" applyFont="1" applyFill="1" applyBorder="1"/>
    <xf numFmtId="0" fontId="10" fillId="26" borderId="0" xfId="3" applyFill="1"/>
    <xf numFmtId="193" fontId="10" fillId="26" borderId="0" xfId="3" applyNumberFormat="1" applyFill="1"/>
    <xf numFmtId="193" fontId="10" fillId="26" borderId="199" xfId="3" applyNumberFormat="1" applyFill="1" applyBorder="1"/>
    <xf numFmtId="179" fontId="69" fillId="26" borderId="198" xfId="29" applyNumberFormat="1" applyFont="1" applyFill="1" applyBorder="1"/>
    <xf numFmtId="181" fontId="10" fillId="26" borderId="0" xfId="2" applyNumberFormat="1" applyFont="1" applyFill="1" applyBorder="1"/>
    <xf numFmtId="181" fontId="10" fillId="26" borderId="199" xfId="2" applyNumberFormat="1" applyFont="1" applyFill="1" applyBorder="1"/>
    <xf numFmtId="179" fontId="69" fillId="26" borderId="198" xfId="18" applyNumberFormat="1" applyFont="1" applyFill="1" applyBorder="1"/>
    <xf numFmtId="0" fontId="150" fillId="26" borderId="198" xfId="3" applyFont="1" applyFill="1" applyBorder="1"/>
    <xf numFmtId="0" fontId="13" fillId="26" borderId="0" xfId="3" applyFont="1" applyFill="1"/>
    <xf numFmtId="179" fontId="26" fillId="26" borderId="9" xfId="4" applyNumberFormat="1" applyFont="1" applyFill="1" applyBorder="1"/>
    <xf numFmtId="0" fontId="10" fillId="26" borderId="7" xfId="3" applyFill="1" applyBorder="1"/>
    <xf numFmtId="9" fontId="10" fillId="26" borderId="7" xfId="2" applyFont="1" applyFill="1" applyBorder="1"/>
    <xf numFmtId="9" fontId="10" fillId="26" borderId="10" xfId="2" applyFont="1" applyFill="1" applyBorder="1"/>
    <xf numFmtId="179" fontId="137" fillId="0" borderId="9" xfId="18" applyNumberFormat="1" applyFont="1" applyBorder="1"/>
    <xf numFmtId="179" fontId="26" fillId="0" borderId="7" xfId="7" applyNumberFormat="1" applyFont="1" applyBorder="1"/>
    <xf numFmtId="0" fontId="10" fillId="0" borderId="7" xfId="3" applyBorder="1"/>
    <xf numFmtId="193" fontId="10" fillId="0" borderId="7" xfId="3" applyNumberFormat="1" applyBorder="1"/>
    <xf numFmtId="193" fontId="10" fillId="0" borderId="10" xfId="3" applyNumberFormat="1" applyBorder="1"/>
    <xf numFmtId="193" fontId="10" fillId="26" borderId="3" xfId="3" applyNumberFormat="1" applyFill="1" applyBorder="1"/>
    <xf numFmtId="193" fontId="10" fillId="26" borderId="6" xfId="3" applyNumberFormat="1" applyFill="1" applyBorder="1"/>
    <xf numFmtId="179" fontId="149" fillId="0" borderId="9" xfId="4" applyNumberFormat="1" applyFont="1" applyBorder="1" applyProtection="1"/>
    <xf numFmtId="0" fontId="42" fillId="0" borderId="0" xfId="3" applyFont="1" applyAlignment="1">
      <alignment horizontal="left" vertical="center"/>
    </xf>
    <xf numFmtId="193" fontId="55" fillId="2" borderId="129" xfId="4" applyNumberFormat="1" applyFont="1" applyFill="1" applyBorder="1" applyProtection="1">
      <protection locked="0"/>
    </xf>
    <xf numFmtId="193" fontId="55" fillId="2" borderId="130" xfId="4" applyNumberFormat="1" applyFont="1" applyFill="1" applyBorder="1" applyProtection="1">
      <protection locked="0"/>
    </xf>
    <xf numFmtId="193" fontId="55" fillId="2" borderId="131" xfId="4" applyNumberFormat="1" applyFont="1" applyFill="1" applyBorder="1" applyProtection="1">
      <protection locked="0"/>
    </xf>
    <xf numFmtId="193" fontId="55" fillId="2" borderId="270" xfId="4" applyNumberFormat="1" applyFont="1" applyFill="1" applyBorder="1" applyProtection="1">
      <protection locked="0"/>
    </xf>
    <xf numFmtId="193" fontId="55" fillId="2" borderId="132" xfId="4" applyNumberFormat="1" applyFont="1" applyFill="1" applyBorder="1" applyProtection="1">
      <protection locked="0"/>
    </xf>
    <xf numFmtId="197" fontId="72" fillId="2" borderId="179" xfId="4" applyNumberFormat="1" applyFont="1" applyFill="1" applyBorder="1" applyProtection="1">
      <protection locked="0"/>
    </xf>
    <xf numFmtId="197" fontId="72" fillId="2" borderId="269" xfId="4" applyNumberFormat="1" applyFont="1" applyFill="1" applyBorder="1" applyProtection="1">
      <protection locked="0"/>
    </xf>
    <xf numFmtId="193" fontId="55" fillId="2" borderId="59" xfId="8" applyNumberFormat="1" applyFont="1" applyFill="1" applyBorder="1" applyProtection="1">
      <protection locked="0"/>
    </xf>
    <xf numFmtId="193" fontId="55" fillId="2" borderId="60" xfId="8" applyNumberFormat="1" applyFont="1" applyFill="1" applyBorder="1" applyProtection="1">
      <protection locked="0"/>
    </xf>
    <xf numFmtId="193" fontId="43" fillId="7" borderId="61" xfId="4" applyNumberFormat="1" applyFont="1" applyFill="1" applyBorder="1" applyAlignment="1">
      <alignment horizontal="right"/>
    </xf>
    <xf numFmtId="193" fontId="43" fillId="7" borderId="271" xfId="4" applyNumberFormat="1" applyFont="1" applyFill="1" applyBorder="1" applyAlignment="1">
      <alignment horizontal="right"/>
    </xf>
    <xf numFmtId="193" fontId="55" fillId="2" borderId="62" xfId="8" applyNumberFormat="1" applyFont="1" applyFill="1" applyBorder="1" applyProtection="1">
      <protection locked="0"/>
    </xf>
    <xf numFmtId="193" fontId="55" fillId="2" borderId="63" xfId="8" applyNumberFormat="1" applyFont="1" applyFill="1" applyBorder="1" applyProtection="1">
      <protection locked="0"/>
    </xf>
    <xf numFmtId="193" fontId="55" fillId="2" borderId="64" xfId="8" applyNumberFormat="1" applyFont="1" applyFill="1" applyBorder="1" applyProtection="1">
      <protection locked="0"/>
    </xf>
    <xf numFmtId="193" fontId="38" fillId="3" borderId="56" xfId="18" applyNumberFormat="1" applyFont="1" applyFill="1" applyBorder="1" applyAlignment="1">
      <alignment horizontal="right"/>
    </xf>
    <xf numFmtId="193" fontId="38" fillId="3" borderId="57" xfId="18" applyNumberFormat="1" applyFont="1" applyFill="1" applyBorder="1" applyAlignment="1">
      <alignment horizontal="right"/>
    </xf>
    <xf numFmtId="193" fontId="38" fillId="3" borderId="58" xfId="18" applyNumberFormat="1" applyFont="1" applyFill="1" applyBorder="1" applyAlignment="1">
      <alignment horizontal="right"/>
    </xf>
    <xf numFmtId="193" fontId="55" fillId="2" borderId="52" xfId="20" applyNumberFormat="1" applyFont="1" applyFill="1" applyBorder="1" applyProtection="1">
      <protection locked="0"/>
    </xf>
    <xf numFmtId="193" fontId="55" fillId="2" borderId="53" xfId="20" applyNumberFormat="1" applyFont="1" applyFill="1" applyBorder="1" applyProtection="1">
      <protection locked="0"/>
    </xf>
    <xf numFmtId="193" fontId="43" fillId="7" borderId="66" xfId="18" applyNumberFormat="1" applyFont="1" applyFill="1" applyBorder="1" applyAlignment="1">
      <alignment horizontal="right"/>
    </xf>
    <xf numFmtId="193" fontId="43" fillId="7" borderId="67" xfId="18" applyNumberFormat="1" applyFont="1" applyFill="1" applyBorder="1" applyAlignment="1">
      <alignment horizontal="right"/>
    </xf>
    <xf numFmtId="193" fontId="55" fillId="2" borderId="272" xfId="20" applyNumberFormat="1" applyFont="1" applyFill="1" applyBorder="1" applyProtection="1">
      <protection locked="0"/>
    </xf>
    <xf numFmtId="193" fontId="55" fillId="2" borderId="273" xfId="20" applyNumberFormat="1" applyFont="1" applyFill="1" applyBorder="1" applyProtection="1">
      <protection locked="0"/>
    </xf>
    <xf numFmtId="193" fontId="55" fillId="2" borderId="64" xfId="20" applyNumberFormat="1" applyFont="1" applyFill="1" applyBorder="1" applyProtection="1">
      <protection locked="0"/>
    </xf>
    <xf numFmtId="193" fontId="55" fillId="2" borderId="142" xfId="4" applyNumberFormat="1" applyFont="1" applyFill="1" applyBorder="1" applyProtection="1">
      <protection locked="0"/>
    </xf>
    <xf numFmtId="193" fontId="55" fillId="2" borderId="143" xfId="4" applyNumberFormat="1" applyFont="1" applyFill="1" applyBorder="1" applyProtection="1">
      <protection locked="0"/>
    </xf>
    <xf numFmtId="193" fontId="55" fillId="2" borderId="144" xfId="4" applyNumberFormat="1" applyFont="1" applyFill="1" applyBorder="1" applyProtection="1">
      <protection locked="0"/>
    </xf>
    <xf numFmtId="193" fontId="55" fillId="2" borderId="145" xfId="4" applyNumberFormat="1" applyFont="1" applyFill="1" applyBorder="1" applyProtection="1">
      <protection locked="0"/>
    </xf>
    <xf numFmtId="193" fontId="38" fillId="3" borderId="147" xfId="4" applyNumberFormat="1" applyFont="1" applyFill="1" applyBorder="1"/>
    <xf numFmtId="193" fontId="38" fillId="3" borderId="148" xfId="4" applyNumberFormat="1" applyFont="1" applyFill="1" applyBorder="1"/>
    <xf numFmtId="193" fontId="38" fillId="3" borderId="149" xfId="4" applyNumberFormat="1" applyFont="1" applyFill="1" applyBorder="1"/>
    <xf numFmtId="193" fontId="38" fillId="3" borderId="154" xfId="4" applyNumberFormat="1" applyFont="1" applyFill="1" applyBorder="1"/>
    <xf numFmtId="193" fontId="38" fillId="3" borderId="106" xfId="4" applyNumberFormat="1" applyFont="1" applyFill="1" applyBorder="1"/>
    <xf numFmtId="193" fontId="38" fillId="3" borderId="155" xfId="4" applyNumberFormat="1" applyFont="1" applyFill="1" applyBorder="1"/>
    <xf numFmtId="193" fontId="43" fillId="3" borderId="156" xfId="4" applyNumberFormat="1" applyFont="1" applyFill="1" applyBorder="1"/>
    <xf numFmtId="193" fontId="43" fillId="3" borderId="157" xfId="4" applyNumberFormat="1" applyFont="1" applyFill="1" applyBorder="1"/>
    <xf numFmtId="193" fontId="43" fillId="13" borderId="99" xfId="4" applyNumberFormat="1" applyFont="1" applyFill="1" applyBorder="1"/>
    <xf numFmtId="193" fontId="43" fillId="13" borderId="100" xfId="4" applyNumberFormat="1" applyFont="1" applyFill="1" applyBorder="1"/>
    <xf numFmtId="193" fontId="43" fillId="13" borderId="101" xfId="4" applyNumberFormat="1" applyFont="1" applyFill="1" applyBorder="1"/>
    <xf numFmtId="193" fontId="43" fillId="13" borderId="79" xfId="4" applyNumberFormat="1" applyFont="1" applyFill="1" applyBorder="1"/>
    <xf numFmtId="193" fontId="43" fillId="13" borderId="102" xfId="4" applyNumberFormat="1" applyFont="1" applyFill="1" applyBorder="1"/>
    <xf numFmtId="193" fontId="43" fillId="13" borderId="103" xfId="4" applyNumberFormat="1" applyFont="1" applyFill="1" applyBorder="1"/>
    <xf numFmtId="193" fontId="43" fillId="13" borderId="104" xfId="4" applyNumberFormat="1" applyFont="1" applyFill="1" applyBorder="1"/>
    <xf numFmtId="193" fontId="43" fillId="13" borderId="105" xfId="4" applyNumberFormat="1" applyFont="1" applyFill="1" applyBorder="1"/>
    <xf numFmtId="193" fontId="38" fillId="3" borderId="162" xfId="18" applyNumberFormat="1" applyFont="1" applyFill="1" applyBorder="1"/>
    <xf numFmtId="193" fontId="38" fillId="3" borderId="177" xfId="4" applyNumberFormat="1" applyFont="1" applyFill="1" applyBorder="1"/>
    <xf numFmtId="193" fontId="38" fillId="3" borderId="18" xfId="4" applyNumberFormat="1" applyFont="1" applyFill="1" applyBorder="1"/>
    <xf numFmtId="193" fontId="38" fillId="3" borderId="178" xfId="4" applyNumberFormat="1" applyFont="1" applyFill="1" applyBorder="1"/>
    <xf numFmtId="193" fontId="38" fillId="26" borderId="179" xfId="4" applyNumberFormat="1" applyFont="1" applyFill="1" applyBorder="1" applyProtection="1"/>
    <xf numFmtId="193" fontId="38" fillId="26" borderId="269" xfId="4" applyNumberFormat="1" applyFont="1" applyFill="1" applyBorder="1" applyProtection="1"/>
    <xf numFmtId="193" fontId="55" fillId="2" borderId="267" xfId="4" applyNumberFormat="1" applyFont="1" applyFill="1" applyBorder="1" applyProtection="1">
      <protection locked="0"/>
    </xf>
    <xf numFmtId="193" fontId="55" fillId="2" borderId="268" xfId="4" applyNumberFormat="1" applyFont="1" applyFill="1" applyBorder="1" applyProtection="1">
      <protection locked="0"/>
    </xf>
    <xf numFmtId="179" fontId="146" fillId="0" borderId="5" xfId="4" applyNumberFormat="1" applyFont="1" applyBorder="1" applyAlignment="1"/>
    <xf numFmtId="179" fontId="149" fillId="26" borderId="198" xfId="29" applyNumberFormat="1" applyFont="1" applyFill="1" applyBorder="1" applyProtection="1"/>
    <xf numFmtId="179" fontId="137" fillId="0" borderId="9" xfId="29" applyNumberFormat="1" applyFont="1" applyBorder="1"/>
    <xf numFmtId="179" fontId="149" fillId="0" borderId="9" xfId="29" applyNumberFormat="1" applyFont="1" applyBorder="1" applyProtection="1"/>
    <xf numFmtId="179" fontId="26" fillId="26" borderId="9" xfId="29" applyNumberFormat="1" applyFont="1" applyFill="1" applyBorder="1"/>
    <xf numFmtId="178" fontId="55" fillId="2" borderId="142" xfId="4" applyNumberFormat="1" applyFont="1" applyFill="1" applyBorder="1" applyProtection="1">
      <protection locked="0"/>
    </xf>
    <xf numFmtId="178" fontId="55" fillId="8" borderId="142" xfId="4" applyNumberFormat="1" applyFont="1" applyFill="1" applyBorder="1" applyProtection="1">
      <protection locked="0"/>
    </xf>
    <xf numFmtId="196" fontId="52" fillId="0" borderId="0" xfId="4" applyNumberFormat="1" applyFont="1" applyAlignment="1">
      <alignment horizontal="center" vertical="center" wrapText="1"/>
    </xf>
    <xf numFmtId="0" fontId="29" fillId="2" borderId="5" xfId="4" applyNumberFormat="1" applyFont="1" applyFill="1" applyBorder="1" applyAlignment="1" applyProtection="1">
      <alignment horizontal="centerContinuous"/>
      <protection locked="0"/>
    </xf>
    <xf numFmtId="0" fontId="2" fillId="0" borderId="0" xfId="39"/>
    <xf numFmtId="0" fontId="15" fillId="0" borderId="0" xfId="39" applyFont="1" applyAlignment="1">
      <alignment horizontal="left" vertical="center"/>
    </xf>
    <xf numFmtId="0" fontId="1" fillId="0" borderId="0" xfId="47">
      <alignment vertical="center"/>
    </xf>
    <xf numFmtId="193" fontId="43" fillId="3" borderId="15" xfId="43" applyNumberFormat="1" applyFont="1" applyFill="1" applyBorder="1" applyAlignment="1">
      <alignment horizontal="right"/>
    </xf>
    <xf numFmtId="178" fontId="53" fillId="0" borderId="0" xfId="39" applyNumberFormat="1" applyFont="1" applyAlignment="1">
      <alignment horizontal="right"/>
    </xf>
    <xf numFmtId="179" fontId="26" fillId="0" borderId="0" xfId="42" applyNumberFormat="1" applyFont="1"/>
    <xf numFmtId="193" fontId="38" fillId="3" borderId="22" xfId="42" applyNumberFormat="1" applyFont="1" applyFill="1" applyBorder="1" applyAlignment="1">
      <alignment horizontal="right"/>
    </xf>
    <xf numFmtId="0" fontId="13" fillId="0" borderId="0" xfId="39" applyFont="1"/>
    <xf numFmtId="179" fontId="26" fillId="0" borderId="0" xfId="42" applyNumberFormat="1" applyFont="1" applyAlignment="1">
      <alignment horizontal="left" indent="1"/>
    </xf>
    <xf numFmtId="43" fontId="38" fillId="3" borderId="15" xfId="48" applyFont="1" applyFill="1" applyBorder="1" applyAlignment="1">
      <alignment horizontal="right"/>
    </xf>
    <xf numFmtId="193" fontId="43" fillId="3" borderId="15" xfId="42" applyNumberFormat="1" applyFont="1" applyFill="1" applyBorder="1" applyAlignment="1">
      <alignment horizontal="right"/>
    </xf>
    <xf numFmtId="193" fontId="69" fillId="3" borderId="15" xfId="42" applyNumberFormat="1" applyFont="1" applyFill="1" applyBorder="1" applyAlignment="1">
      <alignment horizontal="right"/>
    </xf>
    <xf numFmtId="179" fontId="13" fillId="0" borderId="0" xfId="42" applyNumberFormat="1" applyFont="1" applyAlignment="1">
      <alignment horizontal="left" indent="2"/>
    </xf>
    <xf numFmtId="179" fontId="26" fillId="0" borderId="0" xfId="42" applyNumberFormat="1" applyFont="1" applyAlignment="1">
      <alignment horizontal="right"/>
    </xf>
    <xf numFmtId="193" fontId="38" fillId="3" borderId="35" xfId="42" applyNumberFormat="1" applyFont="1" applyFill="1" applyBorder="1" applyAlignment="1">
      <alignment horizontal="right"/>
    </xf>
    <xf numFmtId="179" fontId="33" fillId="0" borderId="0" xfId="42" applyNumberFormat="1" applyFont="1"/>
    <xf numFmtId="193" fontId="38" fillId="3" borderId="15" xfId="42" applyNumberFormat="1" applyFont="1" applyFill="1" applyBorder="1" applyAlignment="1">
      <alignment horizontal="right"/>
    </xf>
    <xf numFmtId="179" fontId="52" fillId="0" borderId="0" xfId="42" applyNumberFormat="1" applyFont="1" applyAlignment="1">
      <alignment horizontal="center" vertical="center" wrapText="1"/>
    </xf>
    <xf numFmtId="178" fontId="38" fillId="3" borderId="15" xfId="42" applyNumberFormat="1" applyFont="1" applyFill="1" applyBorder="1" applyAlignment="1">
      <alignment horizontal="right"/>
    </xf>
    <xf numFmtId="179" fontId="50" fillId="0" borderId="0" xfId="49" applyNumberFormat="1" applyFont="1" applyAlignment="1">
      <alignment vertical="center" wrapText="1"/>
    </xf>
    <xf numFmtId="179" fontId="17" fillId="0" borderId="11" xfId="42" applyNumberFormat="1" applyFont="1" applyBorder="1" applyAlignment="1">
      <alignment horizontal="center"/>
    </xf>
    <xf numFmtId="179" fontId="44" fillId="0" borderId="0" xfId="42" applyNumberFormat="1" applyFont="1"/>
    <xf numFmtId="193" fontId="43" fillId="3" borderId="39" xfId="42" applyNumberFormat="1" applyFont="1" applyFill="1" applyBorder="1" applyAlignment="1">
      <alignment horizontal="right"/>
    </xf>
    <xf numFmtId="179" fontId="13" fillId="0" borderId="0" xfId="42" applyNumberFormat="1" applyFont="1" applyAlignment="1">
      <alignment horizontal="right"/>
    </xf>
    <xf numFmtId="179" fontId="48" fillId="0" borderId="0" xfId="42" applyNumberFormat="1" applyFont="1" applyAlignment="1">
      <alignment horizontal="left" indent="1"/>
    </xf>
    <xf numFmtId="193" fontId="43" fillId="3" borderId="35" xfId="42" applyNumberFormat="1" applyFont="1" applyFill="1" applyBorder="1" applyAlignment="1">
      <alignment horizontal="right"/>
    </xf>
    <xf numFmtId="179" fontId="46" fillId="0" borderId="0" xfId="42" applyNumberFormat="1" applyFont="1" applyAlignment="1">
      <alignment horizontal="left" indent="1"/>
    </xf>
    <xf numFmtId="179" fontId="45" fillId="0" borderId="0" xfId="42" applyNumberFormat="1" applyFont="1"/>
    <xf numFmtId="0" fontId="1" fillId="0" borderId="0" xfId="47" applyAlignment="1">
      <alignment horizontal="left" vertical="center"/>
    </xf>
    <xf numFmtId="43" fontId="43" fillId="3" borderId="243" xfId="48" applyFont="1" applyFill="1" applyBorder="1" applyAlignment="1">
      <alignment horizontal="right"/>
    </xf>
    <xf numFmtId="193" fontId="43" fillId="3" borderId="243" xfId="48" applyNumberFormat="1" applyFont="1" applyFill="1" applyBorder="1" applyAlignment="1">
      <alignment horizontal="right"/>
    </xf>
    <xf numFmtId="179" fontId="40" fillId="0" borderId="0" xfId="42" applyNumberFormat="1" applyFont="1" applyFill="1"/>
    <xf numFmtId="43" fontId="43" fillId="3" borderId="239" xfId="48" applyFont="1" applyFill="1" applyBorder="1" applyAlignment="1">
      <alignment horizontal="right"/>
    </xf>
    <xf numFmtId="193" fontId="43" fillId="3" borderId="239" xfId="48" applyNumberFormat="1" applyFont="1" applyFill="1" applyBorder="1" applyAlignment="1">
      <alignment horizontal="right"/>
    </xf>
    <xf numFmtId="193" fontId="38" fillId="3" borderId="243" xfId="48" applyNumberFormat="1" applyFont="1" applyFill="1" applyBorder="1" applyAlignment="1">
      <alignment horizontal="right"/>
    </xf>
    <xf numFmtId="43" fontId="38" fillId="3" borderId="239" xfId="48" applyFont="1" applyFill="1" applyBorder="1" applyAlignment="1">
      <alignment horizontal="right"/>
    </xf>
    <xf numFmtId="193" fontId="38" fillId="3" borderId="239" xfId="48" applyNumberFormat="1" applyFont="1" applyFill="1" applyBorder="1" applyAlignment="1">
      <alignment horizontal="right"/>
    </xf>
    <xf numFmtId="0" fontId="37" fillId="0" borderId="0" xfId="39" applyFont="1" applyAlignment="1">
      <alignment horizontal="center"/>
    </xf>
    <xf numFmtId="43" fontId="38" fillId="3" borderId="31" xfId="48" applyFont="1" applyFill="1" applyBorder="1" applyAlignment="1">
      <alignment horizontal="right"/>
    </xf>
    <xf numFmtId="193" fontId="38" fillId="3" borderId="31" xfId="48" applyNumberFormat="1" applyFont="1" applyFill="1" applyBorder="1" applyAlignment="1">
      <alignment horizontal="right"/>
    </xf>
    <xf numFmtId="0" fontId="156" fillId="27" borderId="208" xfId="47" applyFont="1" applyFill="1" applyBorder="1" applyAlignment="1">
      <alignment horizontal="left" vertical="center" wrapText="1" readingOrder="1"/>
    </xf>
    <xf numFmtId="179" fontId="35" fillId="0" borderId="0" xfId="42" applyNumberFormat="1" applyFont="1" applyAlignment="1">
      <alignment horizontal="right"/>
    </xf>
    <xf numFmtId="179" fontId="137" fillId="0" borderId="0" xfId="42" applyNumberFormat="1" applyFont="1"/>
    <xf numFmtId="9" fontId="156" fillId="28" borderId="208" xfId="47" applyNumberFormat="1" applyFont="1" applyFill="1" applyBorder="1" applyAlignment="1">
      <alignment horizontal="left" vertical="center" wrapText="1" readingOrder="1"/>
    </xf>
    <xf numFmtId="0" fontId="156" fillId="28" borderId="208" xfId="47" applyFont="1" applyFill="1" applyBorder="1" applyAlignment="1">
      <alignment horizontal="left" vertical="center" wrapText="1" readingOrder="1"/>
    </xf>
    <xf numFmtId="179" fontId="43" fillId="0" borderId="0" xfId="42" applyNumberFormat="1" applyFont="1"/>
    <xf numFmtId="43" fontId="38" fillId="3" borderId="19" xfId="48" applyFont="1" applyFill="1" applyBorder="1" applyAlignment="1">
      <alignment horizontal="right"/>
    </xf>
    <xf numFmtId="193" fontId="38" fillId="3" borderId="19" xfId="48" applyNumberFormat="1" applyFont="1" applyFill="1" applyBorder="1" applyAlignment="1">
      <alignment horizontal="right"/>
    </xf>
    <xf numFmtId="179" fontId="36" fillId="0" borderId="0" xfId="42" applyNumberFormat="1" applyFont="1"/>
    <xf numFmtId="10" fontId="156" fillId="28" borderId="208" xfId="47" applyNumberFormat="1" applyFont="1" applyFill="1" applyBorder="1" applyAlignment="1">
      <alignment horizontal="center" vertical="center" wrapText="1" readingOrder="1"/>
    </xf>
    <xf numFmtId="198" fontId="156" fillId="28" borderId="208" xfId="47" applyNumberFormat="1" applyFont="1" applyFill="1" applyBorder="1" applyAlignment="1">
      <alignment horizontal="center" vertical="center" wrapText="1" readingOrder="1"/>
    </xf>
    <xf numFmtId="0" fontId="158" fillId="28" borderId="208" xfId="47" applyFont="1" applyFill="1" applyBorder="1" applyAlignment="1">
      <alignment horizontal="left" vertical="center" wrapText="1" indent="1" readingOrder="1"/>
    </xf>
    <xf numFmtId="179" fontId="40" fillId="0" borderId="0" xfId="42" applyNumberFormat="1" applyFont="1"/>
    <xf numFmtId="10" fontId="156" fillId="27" borderId="208" xfId="47" applyNumberFormat="1" applyFont="1" applyFill="1" applyBorder="1" applyAlignment="1">
      <alignment horizontal="center" vertical="center" wrapText="1" readingOrder="1"/>
    </xf>
    <xf numFmtId="198" fontId="156" fillId="27" borderId="208" xfId="47" applyNumberFormat="1" applyFont="1" applyFill="1" applyBorder="1" applyAlignment="1">
      <alignment horizontal="center" vertical="center" wrapText="1" readingOrder="1"/>
    </xf>
    <xf numFmtId="0" fontId="158" fillId="27" borderId="208" xfId="47" applyFont="1" applyFill="1" applyBorder="1" applyAlignment="1">
      <alignment horizontal="left" vertical="center" wrapText="1" indent="1" readingOrder="1"/>
    </xf>
    <xf numFmtId="43" fontId="43" fillId="3" borderId="15" xfId="48" applyFont="1" applyFill="1" applyBorder="1" applyAlignment="1">
      <alignment horizontal="right"/>
    </xf>
    <xf numFmtId="193" fontId="43" fillId="3" borderId="15" xfId="48" applyNumberFormat="1" applyFont="1" applyFill="1" applyBorder="1" applyAlignment="1">
      <alignment horizontal="right"/>
    </xf>
    <xf numFmtId="181" fontId="156" fillId="28" borderId="208" xfId="50" applyNumberFormat="1" applyFont="1" applyFill="1" applyBorder="1" applyAlignment="1">
      <alignment horizontal="center" vertical="center" wrapText="1" readingOrder="1"/>
    </xf>
    <xf numFmtId="198" fontId="156" fillId="28" borderId="208" xfId="48" applyNumberFormat="1" applyFont="1" applyFill="1" applyBorder="1" applyAlignment="1">
      <alignment horizontal="center" vertical="center" wrapText="1" readingOrder="1"/>
    </xf>
    <xf numFmtId="179" fontId="39" fillId="0" borderId="0" xfId="42" applyNumberFormat="1" applyFont="1" applyAlignment="1">
      <alignment horizontal="right"/>
    </xf>
    <xf numFmtId="179" fontId="40" fillId="0" borderId="0" xfId="42" applyNumberFormat="1" applyFont="1" applyAlignment="1"/>
    <xf numFmtId="181" fontId="156" fillId="27" borderId="208" xfId="50" applyNumberFormat="1" applyFont="1" applyFill="1" applyBorder="1" applyAlignment="1">
      <alignment horizontal="center" vertical="center" wrapText="1" readingOrder="1"/>
    </xf>
    <xf numFmtId="198" fontId="156" fillId="27" borderId="208" xfId="48" applyNumberFormat="1" applyFont="1" applyFill="1" applyBorder="1" applyAlignment="1">
      <alignment horizontal="center" vertical="center" wrapText="1" readingOrder="1"/>
    </xf>
    <xf numFmtId="43" fontId="38" fillId="3" borderId="257" xfId="48" applyFont="1" applyFill="1" applyBorder="1" applyAlignment="1">
      <alignment horizontal="right"/>
    </xf>
    <xf numFmtId="185" fontId="38" fillId="3" borderId="257" xfId="48" applyNumberFormat="1" applyFont="1" applyFill="1" applyBorder="1" applyAlignment="1">
      <alignment horizontal="right"/>
    </xf>
    <xf numFmtId="179" fontId="16" fillId="0" borderId="15" xfId="42" applyNumberFormat="1" applyFont="1" applyBorder="1" applyAlignment="1">
      <alignment horizontal="center"/>
    </xf>
    <xf numFmtId="37" fontId="30" fillId="5" borderId="11" xfId="41" applyNumberFormat="1" applyFont="1" applyFill="1" applyBorder="1" applyAlignment="1">
      <alignment horizontal="center" vertical="center"/>
    </xf>
    <xf numFmtId="37" fontId="30" fillId="5" borderId="0" xfId="41" applyNumberFormat="1" applyFont="1" applyFill="1" applyAlignment="1">
      <alignment vertical="center"/>
    </xf>
    <xf numFmtId="0" fontId="159" fillId="29" borderId="227" xfId="47" applyFont="1" applyFill="1" applyBorder="1">
      <alignment vertical="center"/>
    </xf>
    <xf numFmtId="0" fontId="160" fillId="0" borderId="2" xfId="47" applyFont="1" applyBorder="1" applyAlignment="1">
      <alignment horizontal="center" vertical="center"/>
    </xf>
    <xf numFmtId="0" fontId="156" fillId="27" borderId="1" xfId="47" applyFont="1" applyFill="1" applyBorder="1" applyAlignment="1">
      <alignment horizontal="left" vertical="center" wrapText="1" readingOrder="1"/>
    </xf>
    <xf numFmtId="9" fontId="156" fillId="28" borderId="1" xfId="47" applyNumberFormat="1" applyFont="1" applyFill="1" applyBorder="1" applyAlignment="1">
      <alignment horizontal="left" vertical="center" wrapText="1" readingOrder="1"/>
    </xf>
    <xf numFmtId="0" fontId="156" fillId="28" borderId="1" xfId="47" applyFont="1" applyFill="1" applyBorder="1" applyAlignment="1">
      <alignment horizontal="left" vertical="center" wrapText="1" readingOrder="1"/>
    </xf>
    <xf numFmtId="181" fontId="156" fillId="28" borderId="1" xfId="47" applyNumberFormat="1" applyFont="1" applyFill="1" applyBorder="1" applyAlignment="1">
      <alignment horizontal="center" vertical="center" wrapText="1" readingOrder="1"/>
    </xf>
    <xf numFmtId="198" fontId="156" fillId="28" borderId="1" xfId="47" applyNumberFormat="1" applyFont="1" applyFill="1" applyBorder="1" applyAlignment="1">
      <alignment horizontal="center" vertical="center" wrapText="1" readingOrder="1"/>
    </xf>
    <xf numFmtId="0" fontId="158" fillId="28" borderId="1" xfId="47" applyFont="1" applyFill="1" applyBorder="1" applyAlignment="1">
      <alignment horizontal="left" vertical="center" wrapText="1" indent="1" readingOrder="1"/>
    </xf>
    <xf numFmtId="181" fontId="156" fillId="27" borderId="1" xfId="47" applyNumberFormat="1" applyFont="1" applyFill="1" applyBorder="1" applyAlignment="1">
      <alignment horizontal="center" vertical="center" wrapText="1" readingOrder="1"/>
    </xf>
    <xf numFmtId="198" fontId="156" fillId="27" borderId="1" xfId="47" applyNumberFormat="1" applyFont="1" applyFill="1" applyBorder="1" applyAlignment="1">
      <alignment horizontal="center" vertical="center" wrapText="1" readingOrder="1"/>
    </xf>
    <xf numFmtId="0" fontId="158" fillId="27" borderId="1" xfId="47" applyFont="1" applyFill="1" applyBorder="1" applyAlignment="1">
      <alignment horizontal="left" vertical="center" wrapText="1" indent="1" readingOrder="1"/>
    </xf>
    <xf numFmtId="181" fontId="156" fillId="28" borderId="1" xfId="50" applyNumberFormat="1" applyFont="1" applyFill="1" applyBorder="1" applyAlignment="1">
      <alignment horizontal="center" vertical="center" wrapText="1" readingOrder="1"/>
    </xf>
    <xf numFmtId="198" fontId="156" fillId="28" borderId="1" xfId="48" applyNumberFormat="1" applyFont="1" applyFill="1" applyBorder="1" applyAlignment="1">
      <alignment horizontal="center" vertical="center" wrapText="1" readingOrder="1"/>
    </xf>
    <xf numFmtId="181" fontId="161" fillId="27" borderId="1" xfId="50" applyNumberFormat="1" applyFont="1" applyFill="1" applyBorder="1" applyAlignment="1">
      <alignment horizontal="center" vertical="center" wrapText="1" readingOrder="1"/>
    </xf>
    <xf numFmtId="198" fontId="161" fillId="27" borderId="1" xfId="48" applyNumberFormat="1" applyFont="1" applyFill="1" applyBorder="1" applyAlignment="1">
      <alignment horizontal="center" vertical="center" wrapText="1" readingOrder="1"/>
    </xf>
    <xf numFmtId="181" fontId="161" fillId="28" borderId="1" xfId="50" applyNumberFormat="1" applyFont="1" applyFill="1" applyBorder="1" applyAlignment="1">
      <alignment horizontal="center" vertical="center" wrapText="1" readingOrder="1"/>
    </xf>
    <xf numFmtId="198" fontId="161" fillId="28" borderId="1" xfId="48" applyNumberFormat="1" applyFont="1" applyFill="1" applyBorder="1" applyAlignment="1">
      <alignment horizontal="center" vertical="center" wrapText="1" readingOrder="1"/>
    </xf>
    <xf numFmtId="0" fontId="155" fillId="0" borderId="0" xfId="47" applyFont="1">
      <alignment vertical="center"/>
    </xf>
    <xf numFmtId="3" fontId="106" fillId="30" borderId="1" xfId="47" applyNumberFormat="1" applyFont="1" applyFill="1" applyBorder="1" applyAlignment="1">
      <alignment horizontal="center" vertical="center" wrapText="1"/>
    </xf>
    <xf numFmtId="181" fontId="106" fillId="30" borderId="1" xfId="47" applyNumberFormat="1" applyFont="1" applyFill="1" applyBorder="1" applyAlignment="1">
      <alignment horizontal="center" vertical="center" wrapText="1"/>
    </xf>
    <xf numFmtId="3" fontId="106" fillId="29" borderId="1" xfId="47" applyNumberFormat="1" applyFont="1" applyFill="1" applyBorder="1" applyAlignment="1">
      <alignment horizontal="center" vertical="center" wrapText="1"/>
    </xf>
    <xf numFmtId="181" fontId="106" fillId="29" borderId="1" xfId="47" applyNumberFormat="1" applyFont="1" applyFill="1" applyBorder="1" applyAlignment="1">
      <alignment horizontal="center" vertical="center" wrapText="1"/>
    </xf>
    <xf numFmtId="24" fontId="106" fillId="0" borderId="1" xfId="47" applyNumberFormat="1" applyFont="1" applyBorder="1" applyAlignment="1">
      <alignment horizontal="center" vertical="center" wrapText="1"/>
    </xf>
    <xf numFmtId="3" fontId="58" fillId="0" borderId="1" xfId="47" applyNumberFormat="1" applyFont="1" applyBorder="1" applyAlignment="1">
      <alignment horizontal="center" vertical="center" wrapText="1"/>
    </xf>
    <xf numFmtId="181" fontId="58" fillId="0" borderId="1" xfId="47" applyNumberFormat="1" applyFont="1" applyBorder="1" applyAlignment="1">
      <alignment horizontal="center" vertical="center" wrapText="1"/>
    </xf>
    <xf numFmtId="24" fontId="58" fillId="0" borderId="1" xfId="47" applyNumberFormat="1" applyFont="1" applyBorder="1" applyAlignment="1">
      <alignment horizontal="center" vertical="center" wrapText="1"/>
    </xf>
    <xf numFmtId="26" fontId="58" fillId="0" borderId="1" xfId="47" applyNumberFormat="1" applyFont="1" applyBorder="1" applyAlignment="1">
      <alignment horizontal="center" vertical="center" wrapText="1"/>
    </xf>
    <xf numFmtId="0" fontId="58" fillId="0" borderId="1" xfId="47" applyFont="1" applyBorder="1" applyAlignment="1">
      <alignment horizontal="center" vertical="center" wrapText="1"/>
    </xf>
    <xf numFmtId="1" fontId="106" fillId="30" borderId="1" xfId="51" applyNumberFormat="1" applyFont="1" applyFill="1" applyBorder="1" applyAlignment="1">
      <alignment horizontal="center" vertical="center" wrapText="1"/>
    </xf>
    <xf numFmtId="1" fontId="106" fillId="26" borderId="1" xfId="51" applyNumberFormat="1" applyFont="1" applyFill="1" applyBorder="1" applyAlignment="1">
      <alignment horizontal="center" vertical="center" wrapText="1"/>
    </xf>
    <xf numFmtId="1" fontId="106" fillId="3" borderId="1" xfId="51" applyNumberFormat="1" applyFont="1" applyFill="1" applyBorder="1" applyAlignment="1">
      <alignment horizontal="center" vertical="center" wrapText="1"/>
    </xf>
    <xf numFmtId="0" fontId="163" fillId="0" borderId="0" xfId="47" applyFont="1">
      <alignment vertical="center"/>
    </xf>
    <xf numFmtId="3" fontId="164" fillId="0" borderId="1" xfId="47" applyNumberFormat="1" applyFont="1" applyBorder="1" applyAlignment="1">
      <alignment horizontal="center" vertical="center"/>
    </xf>
    <xf numFmtId="181" fontId="164" fillId="0" borderId="1" xfId="47" applyNumberFormat="1" applyFont="1" applyBorder="1" applyAlignment="1">
      <alignment horizontal="center" vertical="center"/>
    </xf>
    <xf numFmtId="4" fontId="164" fillId="0" borderId="1" xfId="47" applyNumberFormat="1" applyFont="1" applyBorder="1" applyAlignment="1">
      <alignment horizontal="center" vertical="center"/>
    </xf>
    <xf numFmtId="2" fontId="164" fillId="0" borderId="1" xfId="47" applyNumberFormat="1" applyFont="1" applyBorder="1" applyAlignment="1">
      <alignment horizontal="center" vertical="center"/>
    </xf>
    <xf numFmtId="0" fontId="164" fillId="0" borderId="1" xfId="47" applyFont="1" applyBorder="1" applyAlignment="1">
      <alignment horizontal="center" vertical="center"/>
    </xf>
    <xf numFmtId="3" fontId="164" fillId="0" borderId="207" xfId="47" applyNumberFormat="1" applyFont="1" applyBorder="1" applyAlignment="1">
      <alignment horizontal="center" vertical="center"/>
    </xf>
    <xf numFmtId="181" fontId="164" fillId="0" borderId="207" xfId="47" applyNumberFormat="1" applyFont="1" applyBorder="1" applyAlignment="1">
      <alignment horizontal="center" vertical="center"/>
    </xf>
    <xf numFmtId="24" fontId="164" fillId="0" borderId="207" xfId="47" applyNumberFormat="1" applyFont="1" applyBorder="1" applyAlignment="1">
      <alignment horizontal="center" vertical="center"/>
    </xf>
    <xf numFmtId="26" fontId="164" fillId="0" borderId="207" xfId="47" applyNumberFormat="1" applyFont="1" applyBorder="1" applyAlignment="1">
      <alignment horizontal="center" vertical="center"/>
    </xf>
    <xf numFmtId="0" fontId="164" fillId="0" borderId="207" xfId="47" applyFont="1" applyBorder="1" applyAlignment="1">
      <alignment horizontal="center" vertical="center"/>
    </xf>
    <xf numFmtId="1" fontId="143" fillId="3" borderId="277" xfId="51" applyNumberFormat="1" applyFont="1" applyFill="1" applyBorder="1" applyAlignment="1">
      <alignment horizontal="center" vertical="center" wrapText="1"/>
    </xf>
    <xf numFmtId="0" fontId="108" fillId="0" borderId="0" xfId="0" applyFont="1" applyAlignment="1">
      <alignment vertical="top" wrapText="1"/>
    </xf>
    <xf numFmtId="0" fontId="109" fillId="0" borderId="0" xfId="0" applyFont="1" applyAlignment="1">
      <alignment horizontal="left" vertical="top" wrapText="1"/>
    </xf>
    <xf numFmtId="0" fontId="109" fillId="0" borderId="0" xfId="0" applyFont="1" applyAlignment="1">
      <alignment vertical="top" wrapText="1"/>
    </xf>
    <xf numFmtId="0" fontId="0" fillId="0" borderId="0" xfId="0" applyAlignment="1">
      <alignment vertical="top" wrapText="1"/>
    </xf>
    <xf numFmtId="0" fontId="113" fillId="18" borderId="209" xfId="0" applyFont="1" applyFill="1" applyBorder="1" applyAlignment="1">
      <alignment horizontal="center" vertical="center" wrapText="1" readingOrder="1"/>
    </xf>
    <xf numFmtId="0" fontId="113" fillId="18" borderId="210" xfId="0" applyFont="1" applyFill="1" applyBorder="1" applyAlignment="1">
      <alignment horizontal="center" vertical="center" wrapText="1" readingOrder="1"/>
    </xf>
    <xf numFmtId="0" fontId="113" fillId="18" borderId="211" xfId="0" applyFont="1" applyFill="1" applyBorder="1" applyAlignment="1">
      <alignment horizontal="center" vertical="center" wrapText="1" readingOrder="1"/>
    </xf>
    <xf numFmtId="0" fontId="143" fillId="0" borderId="0" xfId="16" applyFont="1" applyAlignment="1">
      <alignment horizontal="right" vertical="center" wrapText="1"/>
    </xf>
    <xf numFmtId="179" fontId="145" fillId="4" borderId="0" xfId="4" applyNumberFormat="1" applyFont="1" applyFill="1" applyAlignment="1" applyProtection="1">
      <alignment horizontal="left" vertical="center" wrapText="1" indent="1"/>
    </xf>
    <xf numFmtId="179" fontId="50" fillId="0" borderId="0" xfId="7" applyNumberFormat="1" applyFont="1" applyAlignment="1" applyProtection="1">
      <alignment horizontal="center" vertical="center" wrapText="1"/>
    </xf>
    <xf numFmtId="179" fontId="27" fillId="4" borderId="0" xfId="4" applyNumberFormat="1" applyFont="1" applyFill="1" applyAlignment="1">
      <alignment horizontal="left" vertical="center" wrapText="1"/>
    </xf>
    <xf numFmtId="179" fontId="50" fillId="0" borderId="0" xfId="7" applyNumberFormat="1" applyFont="1" applyAlignment="1">
      <alignment horizontal="center" vertical="center" wrapText="1"/>
    </xf>
    <xf numFmtId="179" fontId="44" fillId="0" borderId="0" xfId="4" applyNumberFormat="1" applyFont="1" applyBorder="1" applyAlignment="1">
      <alignment horizontal="center" wrapText="1"/>
    </xf>
    <xf numFmtId="179" fontId="44" fillId="0" borderId="121" xfId="4" applyNumberFormat="1" applyFont="1" applyBorder="1" applyAlignment="1">
      <alignment horizontal="center" wrapText="1"/>
    </xf>
    <xf numFmtId="0" fontId="142" fillId="0" borderId="0" xfId="3" applyFont="1" applyAlignment="1">
      <alignment horizontal="left" vertical="center" wrapText="1"/>
    </xf>
    <xf numFmtId="198" fontId="156" fillId="28" borderId="276" xfId="47" applyNumberFormat="1" applyFont="1" applyFill="1" applyBorder="1" applyAlignment="1">
      <alignment horizontal="center" vertical="center" wrapText="1" readingOrder="1"/>
    </xf>
    <xf numFmtId="198" fontId="156" fillId="28" borderId="275" xfId="47" applyNumberFormat="1" applyFont="1" applyFill="1" applyBorder="1" applyAlignment="1">
      <alignment horizontal="center" vertical="center" wrapText="1" readingOrder="1"/>
    </xf>
    <xf numFmtId="198" fontId="156" fillId="28" borderId="274" xfId="47" applyNumberFormat="1" applyFont="1" applyFill="1" applyBorder="1" applyAlignment="1">
      <alignment horizontal="center" vertical="center" wrapText="1" readingOrder="1"/>
    </xf>
    <xf numFmtId="0" fontId="156" fillId="27" borderId="276" xfId="47" applyFont="1" applyFill="1" applyBorder="1" applyAlignment="1">
      <alignment horizontal="left" vertical="center" wrapText="1" readingOrder="1"/>
    </xf>
    <xf numFmtId="0" fontId="156" fillId="27" borderId="275" xfId="47" applyFont="1" applyFill="1" applyBorder="1" applyAlignment="1">
      <alignment horizontal="left" vertical="center" wrapText="1" readingOrder="1"/>
    </xf>
    <xf numFmtId="0" fontId="156" fillId="27" borderId="274" xfId="47" applyFont="1" applyFill="1" applyBorder="1" applyAlignment="1">
      <alignment horizontal="left" vertical="center" wrapText="1" readingOrder="1"/>
    </xf>
    <xf numFmtId="0" fontId="156" fillId="27" borderId="1" xfId="47" applyFont="1" applyFill="1" applyBorder="1" applyAlignment="1">
      <alignment horizontal="left" vertical="center" wrapText="1" readingOrder="1"/>
    </xf>
    <xf numFmtId="198" fontId="156" fillId="28" borderId="1" xfId="47" applyNumberFormat="1" applyFont="1" applyFill="1" applyBorder="1" applyAlignment="1">
      <alignment horizontal="center" vertical="center" wrapText="1" readingOrder="1"/>
    </xf>
    <xf numFmtId="0" fontId="162" fillId="26" borderId="51" xfId="47" applyFont="1" applyFill="1" applyBorder="1" applyAlignment="1">
      <alignment horizontal="center" vertical="center"/>
    </xf>
    <xf numFmtId="0" fontId="162" fillId="30" borderId="51" xfId="47" applyFont="1" applyFill="1" applyBorder="1" applyAlignment="1">
      <alignment horizontal="center" vertical="center"/>
    </xf>
    <xf numFmtId="0" fontId="106" fillId="0" borderId="2" xfId="47" applyFont="1" applyBorder="1" applyAlignment="1">
      <alignment horizontal="center" vertical="center" wrapText="1"/>
    </xf>
    <xf numFmtId="0" fontId="106" fillId="0" borderId="45" xfId="47" applyFont="1" applyBorder="1" applyAlignment="1">
      <alignment horizontal="center" vertical="center" wrapText="1"/>
    </xf>
    <xf numFmtId="0" fontId="106" fillId="0" borderId="227" xfId="47" applyFont="1" applyBorder="1" applyAlignment="1">
      <alignment horizontal="center" vertical="center" wrapText="1"/>
    </xf>
    <xf numFmtId="0" fontId="117" fillId="5" borderId="3" xfId="0" applyFont="1" applyFill="1" applyBorder="1" applyAlignment="1">
      <alignment horizontal="center" vertical="top" wrapText="1"/>
    </xf>
    <xf numFmtId="0" fontId="117" fillId="5" borderId="0" xfId="0" applyFont="1" applyFill="1" applyAlignment="1">
      <alignment horizontal="center" vertical="top" wrapText="1"/>
    </xf>
    <xf numFmtId="0" fontId="132" fillId="5" borderId="21" xfId="0" applyFont="1" applyFill="1" applyBorder="1" applyAlignment="1">
      <alignment horizontal="center" vertical="top" wrapText="1"/>
    </xf>
    <xf numFmtId="0" fontId="132" fillId="5" borderId="17" xfId="0" applyFont="1" applyFill="1" applyBorder="1" applyAlignment="1">
      <alignment horizontal="center" vertical="top" wrapText="1"/>
    </xf>
    <xf numFmtId="0" fontId="129" fillId="0" borderId="51" xfId="0" applyFont="1" applyBorder="1" applyAlignment="1">
      <alignment horizontal="center" vertical="center" wrapText="1"/>
    </xf>
    <xf numFmtId="0" fontId="129" fillId="0" borderId="236" xfId="0" applyFont="1" applyBorder="1" applyAlignment="1">
      <alignment horizontal="center" vertical="center" wrapText="1"/>
    </xf>
    <xf numFmtId="0" fontId="123" fillId="13" borderId="44" xfId="0" applyFont="1" applyFill="1" applyBorder="1" applyAlignment="1">
      <alignment horizontal="left" vertical="center" indent="1"/>
    </xf>
    <xf numFmtId="0" fontId="123" fillId="13" borderId="45" xfId="0" applyFont="1" applyFill="1" applyBorder="1" applyAlignment="1">
      <alignment horizontal="left" vertical="center" indent="1"/>
    </xf>
    <xf numFmtId="0" fontId="123" fillId="13" borderId="227" xfId="0" applyFont="1" applyFill="1" applyBorder="1" applyAlignment="1">
      <alignment horizontal="left" vertical="center" indent="1"/>
    </xf>
    <xf numFmtId="0" fontId="117" fillId="22" borderId="3" xfId="0" applyFont="1" applyFill="1" applyBorder="1" applyAlignment="1">
      <alignment horizontal="center" vertical="top" wrapText="1"/>
    </xf>
    <xf numFmtId="0" fontId="117" fillId="22" borderId="0" xfId="0" applyFont="1" applyFill="1" applyAlignment="1">
      <alignment horizontal="center" vertical="top" wrapText="1"/>
    </xf>
    <xf numFmtId="0" fontId="120" fillId="0" borderId="32" xfId="0" applyFont="1" applyBorder="1" applyAlignment="1">
      <alignment horizontal="center" vertical="center" wrapText="1"/>
    </xf>
    <xf numFmtId="0" fontId="120" fillId="0" borderId="33" xfId="0" applyFont="1" applyBorder="1" applyAlignment="1">
      <alignment horizontal="center" vertical="center" wrapText="1"/>
    </xf>
    <xf numFmtId="0" fontId="120" fillId="0" borderId="219" xfId="0" applyFont="1" applyBorder="1" applyAlignment="1">
      <alignment horizontal="center" vertical="center" wrapText="1"/>
    </xf>
    <xf numFmtId="0" fontId="130" fillId="15" borderId="235" xfId="0" applyFont="1" applyFill="1" applyBorder="1" applyAlignment="1">
      <alignment horizontal="left" vertical="center"/>
    </xf>
    <xf numFmtId="0" fontId="130" fillId="15" borderId="228" xfId="0" applyFont="1" applyFill="1" applyBorder="1" applyAlignment="1">
      <alignment horizontal="left" vertical="center"/>
    </xf>
    <xf numFmtId="0" fontId="123" fillId="13" borderId="32" xfId="0" applyFont="1" applyFill="1" applyBorder="1" applyAlignment="1">
      <alignment horizontal="left" vertical="center" indent="1"/>
    </xf>
    <xf numFmtId="0" fontId="123" fillId="13" borderId="33" xfId="0" applyFont="1" applyFill="1" applyBorder="1" applyAlignment="1">
      <alignment horizontal="left" vertical="center" indent="1"/>
    </xf>
    <xf numFmtId="0" fontId="123" fillId="13" borderId="219" xfId="0" applyFont="1" applyFill="1" applyBorder="1" applyAlignment="1">
      <alignment horizontal="left" vertical="center" indent="1"/>
    </xf>
    <xf numFmtId="0" fontId="124" fillId="23" borderId="230" xfId="0" applyFont="1" applyFill="1" applyBorder="1" applyAlignment="1">
      <alignment horizontal="right" vertical="center" indent="2"/>
    </xf>
    <xf numFmtId="0" fontId="124" fillId="23" borderId="231" xfId="0" applyFont="1" applyFill="1" applyBorder="1" applyAlignment="1">
      <alignment horizontal="right" vertical="center" indent="2"/>
    </xf>
    <xf numFmtId="0" fontId="124" fillId="23" borderId="232" xfId="0" applyFont="1" applyFill="1" applyBorder="1" applyAlignment="1">
      <alignment horizontal="right" vertical="center" indent="2"/>
    </xf>
    <xf numFmtId="0" fontId="121" fillId="15" borderId="220" xfId="0" applyFont="1" applyFill="1" applyBorder="1" applyAlignment="1">
      <alignment horizontal="left" vertical="center"/>
    </xf>
    <xf numFmtId="0" fontId="121" fillId="15" borderId="221" xfId="0" applyFont="1" applyFill="1" applyBorder="1" applyAlignment="1">
      <alignment horizontal="left" vertical="center"/>
    </xf>
    <xf numFmtId="0" fontId="121" fillId="15" borderId="222" xfId="0" applyFont="1" applyFill="1" applyBorder="1" applyAlignment="1">
      <alignment horizontal="left" vertical="center"/>
    </xf>
    <xf numFmtId="0" fontId="123" fillId="13" borderId="23" xfId="0" applyFont="1" applyFill="1" applyBorder="1" applyAlignment="1">
      <alignment horizontal="left" vertical="center" indent="1"/>
    </xf>
    <xf numFmtId="0" fontId="123" fillId="13" borderId="7" xfId="0" applyFont="1" applyFill="1" applyBorder="1" applyAlignment="1">
      <alignment horizontal="left" vertical="center" indent="1"/>
    </xf>
    <xf numFmtId="0" fontId="123" fillId="13" borderId="10" xfId="0" applyFont="1" applyFill="1" applyBorder="1" applyAlignment="1">
      <alignment horizontal="left" vertical="center" indent="1"/>
    </xf>
    <xf numFmtId="0" fontId="116" fillId="2" borderId="218" xfId="15" applyFont="1" applyFill="1" applyBorder="1" applyAlignment="1">
      <alignment horizontal="center" vertical="center"/>
    </xf>
    <xf numFmtId="0" fontId="116" fillId="2" borderId="29" xfId="15" applyFont="1" applyFill="1" applyBorder="1" applyAlignment="1">
      <alignment horizontal="center" vertical="center"/>
    </xf>
    <xf numFmtId="0" fontId="116" fillId="2" borderId="30" xfId="15" applyFont="1" applyFill="1" applyBorder="1" applyAlignment="1">
      <alignment horizontal="center" vertical="center"/>
    </xf>
    <xf numFmtId="0" fontId="11" fillId="2" borderId="20" xfId="0" applyFont="1" applyFill="1" applyBorder="1" applyAlignment="1">
      <alignment horizontal="left" vertical="center" wrapText="1" indent="1"/>
    </xf>
    <xf numFmtId="0" fontId="11" fillId="2" borderId="3" xfId="0" applyFont="1" applyFill="1" applyBorder="1" applyAlignment="1">
      <alignment horizontal="left" vertical="center" wrapText="1" indent="1"/>
    </xf>
    <xf numFmtId="0" fontId="11" fillId="2" borderId="6" xfId="0" applyFont="1" applyFill="1" applyBorder="1" applyAlignment="1">
      <alignment horizontal="left" vertical="center" wrapText="1" indent="1"/>
    </xf>
    <xf numFmtId="0" fontId="11" fillId="2" borderId="23" xfId="0" applyFont="1" applyFill="1" applyBorder="1" applyAlignment="1">
      <alignment horizontal="left" vertical="center" wrapText="1" indent="1"/>
    </xf>
    <xf numFmtId="0" fontId="11" fillId="2" borderId="7" xfId="0" applyFont="1" applyFill="1" applyBorder="1" applyAlignment="1">
      <alignment horizontal="left" vertical="center" wrapText="1" indent="1"/>
    </xf>
    <xf numFmtId="0" fontId="11" fillId="2" borderId="10" xfId="0" applyFont="1" applyFill="1" applyBorder="1" applyAlignment="1">
      <alignment horizontal="left" vertical="center" wrapText="1" indent="1"/>
    </xf>
    <xf numFmtId="192" fontId="120" fillId="15" borderId="5" xfId="16" applyNumberFormat="1" applyFont="1" applyFill="1" applyBorder="1" applyAlignment="1">
      <alignment horizontal="center" vertical="center" wrapText="1"/>
    </xf>
    <xf numFmtId="192" fontId="120" fillId="15" borderId="6" xfId="16" applyNumberFormat="1" applyFont="1" applyFill="1" applyBorder="1" applyAlignment="1">
      <alignment horizontal="center" vertical="center" wrapText="1"/>
    </xf>
    <xf numFmtId="192" fontId="120" fillId="15" borderId="9" xfId="16" applyNumberFormat="1" applyFont="1" applyFill="1" applyBorder="1" applyAlignment="1">
      <alignment horizontal="center" vertical="center" wrapText="1"/>
    </xf>
    <xf numFmtId="192" fontId="120" fillId="15" borderId="10" xfId="16" applyNumberFormat="1" applyFont="1" applyFill="1" applyBorder="1" applyAlignment="1">
      <alignment horizontal="center" vertical="center" wrapText="1"/>
    </xf>
    <xf numFmtId="192" fontId="120" fillId="15" borderId="21" xfId="16" applyNumberFormat="1" applyFont="1" applyFill="1" applyBorder="1" applyAlignment="1">
      <alignment horizontal="center" vertical="center" wrapText="1"/>
    </xf>
    <xf numFmtId="192" fontId="120" fillId="15" borderId="24" xfId="16" applyNumberFormat="1" applyFont="1" applyFill="1" applyBorder="1" applyAlignment="1">
      <alignment horizontal="center" vertical="center" wrapText="1"/>
    </xf>
    <xf numFmtId="0" fontId="123" fillId="13" borderId="237" xfId="0" applyFont="1" applyFill="1" applyBorder="1" applyAlignment="1">
      <alignment horizontal="left" vertical="center" indent="1"/>
    </xf>
    <xf numFmtId="0" fontId="123" fillId="13" borderId="207" xfId="0" applyFont="1" applyFill="1" applyBorder="1" applyAlignment="1">
      <alignment horizontal="left" vertical="center" indent="1"/>
    </xf>
  </cellXfs>
  <cellStyles count="52">
    <cellStyle name="Comma 2" xfId="7" xr:uid="{2EDD7A65-294B-48EB-A8CC-789E26A99DA2}"/>
    <cellStyle name="Comma 2 2" xfId="46" xr:uid="{876FA1DC-65DB-4141-B4F7-F8006BA01ACC}"/>
    <cellStyle name="Comma 2 2 2" xfId="4" xr:uid="{42796B6A-A4E7-4FB7-90DF-0583AA9C231A}"/>
    <cellStyle name="Comma 2 2 2 2" xfId="18" xr:uid="{6E0815FA-061D-4F04-8DF6-BD0C3CB0FD85}"/>
    <cellStyle name="Comma 2 2 2 2 2" xfId="29" xr:uid="{F3B1B298-7C33-47D5-8BF8-84140BC4733A}"/>
    <cellStyle name="Comma 2 2 2 2 2 2" xfId="42" xr:uid="{176021AF-948F-4577-8B21-FF1D87DEC5C6}"/>
    <cellStyle name="Comma 2 2 2 2 3" xfId="38" xr:uid="{F9E7D4D4-311E-4E2D-92A1-A4A9786A8A7B}"/>
    <cellStyle name="Comma 2 2 2 3" xfId="24" xr:uid="{82D8807B-26AA-4B1F-AE3D-59A5EF6056CB}"/>
    <cellStyle name="Comma 2 2 2 4" xfId="31" xr:uid="{28A1446D-308B-4054-A3E2-39EBD1F57256}"/>
    <cellStyle name="Comma 2 2 2 4 2" xfId="33" xr:uid="{D5D383DE-FE5E-4168-A5AE-D1D6718A000C}"/>
    <cellStyle name="Comma 2 2 2 5" xfId="40" xr:uid="{B8269308-45D4-4B26-8B77-167910DAD878}"/>
    <cellStyle name="Comma 2 3" xfId="49" xr:uid="{E63B2C86-A6A0-414F-A131-4B75B7253C71}"/>
    <cellStyle name="Comma 3 2 2" xfId="13" xr:uid="{932609E0-1FE0-4536-A436-E46FF3B2AB7F}"/>
    <cellStyle name="Currency 3" xfId="8" xr:uid="{4C835DEE-E5D9-4760-9FEC-B93418D35208}"/>
    <cellStyle name="Currency 3 2" xfId="20" xr:uid="{890EF5BE-5300-4157-A41F-4E380FC4A305}"/>
    <cellStyle name="Currency 3 3" xfId="26" xr:uid="{67FDD2C6-35C2-45FE-9787-4C2875EC2D15}"/>
    <cellStyle name="Currency 3 4" xfId="35" xr:uid="{A47B40F3-97B9-429D-A7E8-658C15D33A71}"/>
    <cellStyle name="Currency 3 5" xfId="43" xr:uid="{57C07FBB-3BDD-41A1-A72A-2B0E32A65FB9}"/>
    <cellStyle name="Hyperlink 3" xfId="12" xr:uid="{DBA7D62E-9580-403E-BD81-3214D04A5CFD}"/>
    <cellStyle name="Normal 2 3" xfId="5" xr:uid="{E04F7276-C0A3-4A5C-8804-E969B8E248B7}"/>
    <cellStyle name="Normal 2 3 2" xfId="19" xr:uid="{37D6D1A6-8CC6-41AE-928B-45BF9B35A49F}"/>
    <cellStyle name="Normal 2 3 3" xfId="25" xr:uid="{CF5C0C47-47C8-4AD0-9A55-B15E74DA55CC}"/>
    <cellStyle name="Normal 2 3 4" xfId="34" xr:uid="{7AF8FCCE-55D2-4F3D-85D7-E87BD4FED4E2}"/>
    <cellStyle name="Normal 2 3 5" xfId="41" xr:uid="{F734D076-2C8C-4519-B447-C85876C723FE}"/>
    <cellStyle name="Normal 3" xfId="15" xr:uid="{9D2B24D2-FE7C-4F70-BCAD-841035D38254}"/>
    <cellStyle name="Normal 3 2" xfId="9" xr:uid="{50067A51-2335-4BBF-8A10-9A72312994C7}"/>
    <cellStyle name="Normal 6" xfId="3" xr:uid="{E0E1D459-45D5-483A-8734-7B3C47D257C6}"/>
    <cellStyle name="Normal 6 2" xfId="17" xr:uid="{B6BB00B8-CA60-45E8-A85C-7487763DFB8D}"/>
    <cellStyle name="Normal 6 3" xfId="23" xr:uid="{29298815-E22D-4CE5-9DDB-23239C754E32}"/>
    <cellStyle name="Normal 6 4" xfId="32" xr:uid="{34BA1862-E632-44D0-8FEB-E6F24496ECEB}"/>
    <cellStyle name="Normal 6 5" xfId="39" xr:uid="{C1D5BBE3-5FCB-40EB-848E-A37E9B3D3F5B}"/>
    <cellStyle name="Normal 6 5 2" xfId="51" xr:uid="{08FCA500-B15B-41AD-A370-E46C871BD1C9}"/>
    <cellStyle name="Normal_TRW COST BREAKDOWN 7 12 07 w Matrix (7-30-07)_TRW Break sheet- TRW _EBC 460_2010.07.15" xfId="16" xr:uid="{CD9D9A2F-8F67-4562-BF67-E72B80D59A5B}"/>
    <cellStyle name="Normal_TRW COST BREAKDOWN 7 12 07 w Matrix (7-30-07)_TRW Break sheet- TRW _EBC 460_2010.07.15 2" xfId="30" xr:uid="{837D73D9-64A9-4996-9143-0AFFF31DB766}"/>
    <cellStyle name="Percent 2 2" xfId="6" xr:uid="{9E7BA50A-89B8-432E-9C3E-CD4D7CCD9EC1}"/>
    <cellStyle name="Percent 2 2 2" xfId="11" xr:uid="{00B2CE5A-AFE2-472D-A8D9-5E598AFD9A43}"/>
    <cellStyle name="Percent 2 2 2 2" xfId="22" xr:uid="{824710A2-2E37-4A32-BB11-F6C0932A3C06}"/>
    <cellStyle name="Percent 2 2 2 3" xfId="28" xr:uid="{FC955C68-6A5D-4100-BEA9-5FEA2CCF4EA8}"/>
    <cellStyle name="Percent 2 2 2 4" xfId="37" xr:uid="{C70C17AE-1A15-46DB-AC46-6CCC9B1F6680}"/>
    <cellStyle name="Percent 2 2 2 5" xfId="45" xr:uid="{02A825DE-91DB-4647-8626-4E8C921A9D21}"/>
    <cellStyle name="Percent 5" xfId="10" xr:uid="{11D2B272-6A37-4F2F-AB30-6E3E00ED123B}"/>
    <cellStyle name="Percent 5 2" xfId="21" xr:uid="{E8E3F5FD-9BDF-4CDC-8479-4989A6EC9962}"/>
    <cellStyle name="Percent 5 3" xfId="27" xr:uid="{1ACA3C25-54A6-416D-8425-023C88CEE3B8}"/>
    <cellStyle name="Percent 5 4" xfId="36" xr:uid="{2D7313DE-BE81-42A6-80B7-C750FC0D4EEC}"/>
    <cellStyle name="Percent 5 5" xfId="44" xr:uid="{B9B27E9E-02DF-432B-9B17-C4CE0A01112A}"/>
    <cellStyle name="百分比" xfId="2" builtinId="5"/>
    <cellStyle name="百分比 2" xfId="50" xr:uid="{91E99A7E-448F-4800-A25C-2AD1A95D0FC5}"/>
    <cellStyle name="常规" xfId="0" builtinId="0"/>
    <cellStyle name="常规 2" xfId="47" xr:uid="{DE9A8BFE-FBD4-4127-88F9-F9839F2C914D}"/>
    <cellStyle name="货币" xfId="1" builtinId="4"/>
    <cellStyle name="千位分隔" xfId="14" builtinId="3"/>
    <cellStyle name="千位分隔 2" xfId="48" xr:uid="{AF706123-BD7C-459C-8AB5-7E76B415271E}"/>
  </cellStyles>
  <dxfs count="4202">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rgb="FFFF0000"/>
      </font>
    </dxf>
    <dxf>
      <font>
        <color theme="0" tint="-0.24994659260841701"/>
      </font>
    </dxf>
    <dxf>
      <font>
        <color rgb="FFFF0000"/>
      </font>
    </dxf>
    <dxf>
      <font>
        <color theme="0" tint="-0.24994659260841701"/>
      </font>
    </dxf>
    <dxf>
      <font>
        <color rgb="FFFF0000"/>
      </font>
    </dxf>
    <dxf>
      <font>
        <color rgb="FF006100"/>
      </font>
      <fill>
        <patternFill patternType="none">
          <bgColor auto="1"/>
        </patternFill>
      </fill>
    </dxf>
    <dxf>
      <font>
        <color rgb="FFFF0000"/>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rgb="FFFF0000"/>
      </font>
    </dxf>
    <dxf>
      <font>
        <color theme="0" tint="-0.24994659260841701"/>
      </font>
    </dxf>
    <dxf>
      <font>
        <color rgb="FFFF0000"/>
      </font>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rgb="FFFF0000"/>
      </font>
    </dxf>
    <dxf>
      <font>
        <color theme="0" tint="-0.24994659260841701"/>
      </font>
    </dxf>
    <dxf>
      <font>
        <color rgb="FFFF0000"/>
      </font>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ill>
        <patternFill>
          <bgColor rgb="FF99FF99"/>
        </patternFill>
      </fill>
    </dxf>
    <dxf>
      <fill>
        <patternFill>
          <bgColor theme="9" tint="0.59996337778862885"/>
        </patternFill>
      </fill>
    </dxf>
    <dxf>
      <font>
        <color theme="0"/>
      </font>
      <fill>
        <patternFill>
          <bgColor rgb="FFFF0000"/>
        </patternFill>
      </fill>
    </dxf>
    <dxf>
      <font>
        <color rgb="FFFF0000"/>
      </font>
    </dxf>
    <dxf>
      <font>
        <color theme="0" tint="-0.24994659260841701"/>
      </font>
    </dxf>
    <dxf>
      <font>
        <color auto="1"/>
      </font>
      <fill>
        <patternFill>
          <bgColor rgb="FF99FF99"/>
        </patternFill>
      </fill>
    </dxf>
    <dxf>
      <font>
        <color theme="0"/>
      </font>
      <fill>
        <patternFill>
          <bgColor rgb="FFFF0000"/>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rgb="FFFF0000"/>
      </font>
    </dxf>
    <dxf>
      <font>
        <color theme="0" tint="-0.24994659260841701"/>
      </font>
    </dxf>
    <dxf>
      <font>
        <color rgb="FFFF0000"/>
      </font>
    </dxf>
    <dxf>
      <font>
        <color theme="0" tint="-0.24994659260841701"/>
      </font>
    </dxf>
    <dxf>
      <font>
        <color rgb="FFFF0000"/>
      </font>
    </dxf>
    <dxf>
      <font>
        <color rgb="FFFF0000"/>
      </font>
    </dxf>
    <dxf>
      <font>
        <color theme="0" tint="-0.24994659260841701"/>
      </font>
    </dxf>
    <dxf>
      <font>
        <color theme="0" tint="-0.24994659260841701"/>
      </font>
    </dxf>
    <dxf>
      <font>
        <color rgb="FFFF0000"/>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fill>
        <patternFill patternType="solid"/>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dxf>
    <dxf>
      <font>
        <color rgb="FFFF0000"/>
      </font>
    </dxf>
    <dxf>
      <font>
        <color rgb="FF9C0006"/>
      </font>
      <fill>
        <patternFill>
          <bgColor rgb="FFFFC7CE"/>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rgb="FFFF0000"/>
      </font>
    </dxf>
    <dxf>
      <font>
        <color rgb="FFFF0000"/>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dxf>
    <dxf>
      <font>
        <color rgb="FFFF0000"/>
      </font>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FF0000"/>
      </font>
    </dxf>
    <dxf>
      <font>
        <color theme="0" tint="-0.24994659260841701"/>
      </font>
      <fill>
        <patternFill patternType="solid"/>
      </fill>
    </dxf>
    <dxf>
      <font>
        <color theme="0" tint="-0.24994659260841701"/>
      </font>
    </dxf>
    <dxf>
      <font>
        <color rgb="FFFF0000"/>
      </font>
    </dxf>
    <dxf>
      <fill>
        <patternFill>
          <bgColor rgb="FFFF0000"/>
        </patternFill>
      </fill>
    </dxf>
    <dxf>
      <fill>
        <patternFill>
          <bgColor theme="9" tint="0.59996337778862885"/>
        </patternFill>
      </fill>
    </dxf>
    <dxf>
      <fill>
        <patternFill>
          <bgColor theme="6" tint="0.59996337778862885"/>
        </patternFill>
      </fill>
    </dxf>
    <dxf>
      <font>
        <color auto="1"/>
      </font>
      <fill>
        <patternFill>
          <bgColor rgb="FF99FF99"/>
        </patternFill>
      </fill>
    </dxf>
    <dxf>
      <fill>
        <patternFill>
          <bgColor rgb="FF99FF99"/>
        </patternFill>
      </fill>
    </dxf>
    <dxf>
      <fill>
        <patternFill>
          <bgColor theme="9" tint="0.59996337778862885"/>
        </patternFill>
      </fill>
    </dxf>
    <dxf>
      <font>
        <color theme="0"/>
      </font>
      <fill>
        <patternFill>
          <bgColor rgb="FFFF0000"/>
        </patternFill>
      </fill>
    </dxf>
    <dxf>
      <font>
        <color rgb="FFFF0000"/>
      </font>
    </dxf>
    <dxf>
      <font>
        <color theme="0" tint="-0.24994659260841701"/>
      </font>
    </dxf>
    <dxf>
      <font>
        <color auto="1"/>
      </font>
      <fill>
        <patternFill>
          <bgColor rgb="FF99FF99"/>
        </patternFill>
      </fill>
    </dxf>
    <dxf>
      <font>
        <color theme="0"/>
      </font>
      <fill>
        <patternFill>
          <bgColor rgb="FFFF0000"/>
        </patternFill>
      </fill>
    </dxf>
    <dxf>
      <font>
        <color rgb="FFFF0000"/>
      </font>
    </dxf>
    <dxf>
      <font>
        <color theme="0" tint="-0.24994659260841701"/>
      </font>
    </dxf>
    <dxf>
      <font>
        <color rgb="FFFF0000"/>
      </font>
    </dxf>
    <dxf>
      <font>
        <color theme="0" tint="-0.24994659260841701"/>
      </font>
    </dxf>
    <dxf>
      <font>
        <color theme="0" tint="-0.24994659260841701"/>
      </font>
      <fill>
        <patternFill patternType="solid"/>
      </fill>
    </dxf>
    <dxf>
      <font>
        <color theme="0" tint="-0.24994659260841701"/>
      </font>
      <fill>
        <patternFill patternType="solid"/>
      </fill>
    </dxf>
    <dxf>
      <font>
        <color theme="0" tint="-0.24994659260841701"/>
      </font>
      <fill>
        <patternFill patternType="solid"/>
      </fill>
    </dxf>
    <dxf>
      <font>
        <color theme="0" tint="-0.24994659260841701"/>
      </font>
      <fill>
        <patternFill patternType="solid"/>
      </fill>
    </dxf>
    <dxf>
      <font>
        <color theme="0" tint="-0.24994659260841701"/>
      </font>
      <fill>
        <patternFill patternType="solid"/>
      </fill>
    </dxf>
    <dxf>
      <font>
        <color theme="0" tint="-0.24994659260841701"/>
      </font>
      <fill>
        <patternFill patternType="solid"/>
      </fill>
    </dxf>
    <dxf>
      <font>
        <color theme="0" tint="-0.24994659260841701"/>
      </font>
      <fill>
        <patternFill patternType="solid"/>
      </fill>
    </dxf>
    <dxf>
      <font>
        <strike val="0"/>
        <color auto="1"/>
      </font>
      <fill>
        <patternFill>
          <bgColor rgb="FFFF0000"/>
        </patternFill>
      </fill>
    </dxf>
    <dxf>
      <font>
        <strike val="0"/>
        <color auto="1"/>
      </font>
      <fill>
        <patternFill>
          <bgColor theme="6" tint="0.59996337778862885"/>
        </patternFill>
      </fill>
    </dxf>
    <dxf>
      <fill>
        <patternFill>
          <bgColor rgb="FF99FF99"/>
        </patternFill>
      </fill>
    </dxf>
    <dxf>
      <fill>
        <patternFill>
          <bgColor rgb="FFFFEFAB"/>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dxf>
    <dxf>
      <font>
        <color rgb="FFFF0000"/>
      </font>
    </dxf>
    <dxf>
      <font>
        <color theme="0" tint="-0.24994659260841701"/>
      </font>
    </dxf>
    <dxf>
      <font>
        <color rgb="FF9C0006"/>
      </font>
      <fill>
        <patternFill>
          <bgColor rgb="FFFFC7CE"/>
        </patternFill>
      </fill>
    </dxf>
    <dxf>
      <font>
        <color rgb="FFFF0000"/>
      </font>
    </dxf>
    <dxf>
      <font>
        <color theme="0" tint="-0.24994659260841701"/>
      </font>
      <fill>
        <patternFill patternType="solid"/>
      </fill>
    </dxf>
    <dxf>
      <font>
        <color theme="0" tint="-0.24994659260841701"/>
      </font>
      <fill>
        <patternFill patternType="solid"/>
      </fill>
    </dxf>
    <dxf>
      <font>
        <color rgb="FFFF0000"/>
      </font>
    </dxf>
    <dxf>
      <font>
        <color theme="0" tint="-0.24994659260841701"/>
      </font>
      <fill>
        <patternFill patternType="solid"/>
      </fill>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ill>
        <patternFill>
          <bgColor rgb="FF99FF99"/>
        </patternFill>
      </fill>
    </dxf>
    <dxf>
      <fill>
        <patternFill>
          <bgColor theme="6" tint="0.79998168889431442"/>
        </patternFill>
      </fill>
    </dxf>
    <dxf>
      <fill>
        <patternFill>
          <bgColor theme="9" tint="0.59996337778862885"/>
        </patternFill>
      </fill>
    </dxf>
    <dxf>
      <fill>
        <patternFill>
          <bgColor rgb="FFFF0000"/>
        </patternFill>
      </fill>
    </dxf>
    <dxf>
      <font>
        <color rgb="FFFF0000"/>
      </font>
    </dxf>
    <dxf>
      <font>
        <color theme="0" tint="-0.24994659260841701"/>
      </font>
    </dxf>
    <dxf>
      <font>
        <color rgb="FFFF0000"/>
      </font>
    </dxf>
    <dxf>
      <font>
        <color theme="0" tint="-0.24994659260841701"/>
      </font>
    </dxf>
    <dxf>
      <font>
        <color theme="0" tint="-0.24994659260841701"/>
      </font>
    </dxf>
    <dxf>
      <font>
        <color rgb="FFFF0000"/>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fill>
        <patternFill patternType="solid"/>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9C0006"/>
      </font>
      <fill>
        <patternFill>
          <bgColor rgb="FFFFC7CE"/>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rgb="FFFF0000"/>
      </font>
    </dxf>
    <dxf>
      <font>
        <color theme="0" tint="-0.24994659260841701"/>
      </font>
    </dxf>
    <dxf>
      <font>
        <color rgb="FFFF0000"/>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ill>
        <patternFill>
          <bgColor theme="5" tint="0.79998168889431442"/>
        </patternFill>
      </fill>
    </dxf>
    <dxf>
      <fill>
        <patternFill>
          <bgColor rgb="FFFF0000"/>
        </patternFill>
      </fill>
    </dxf>
    <dxf>
      <fill>
        <patternFill>
          <bgColor rgb="FFCCFFCC"/>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theme="0" tint="-0.24994659260841701"/>
      </font>
      <fill>
        <patternFill patternType="solid"/>
      </fill>
    </dxf>
    <dxf>
      <font>
        <color rgb="FFFF0000"/>
      </font>
    </dxf>
    <dxf>
      <font>
        <color rgb="FF9C0006"/>
      </font>
      <fill>
        <patternFill>
          <bgColor rgb="FFFFC7CE"/>
        </patternFill>
      </fill>
    </dxf>
    <dxf>
      <font>
        <color rgb="FF006100"/>
      </font>
      <fill>
        <patternFill patternType="none">
          <bgColor auto="1"/>
        </patternFill>
      </fill>
    </dxf>
    <dxf>
      <font>
        <color theme="0" tint="-0.24994659260841701"/>
      </font>
      <fill>
        <patternFill patternType="solid"/>
      </fill>
    </dxf>
    <dxf>
      <font>
        <color rgb="FF9C0006"/>
      </font>
      <fill>
        <patternFill>
          <bgColor rgb="FFFFC7CE"/>
        </patternFill>
      </fill>
    </dxf>
    <dxf>
      <font>
        <color rgb="FF006100"/>
      </font>
      <fill>
        <patternFill patternType="none">
          <bgColor auto="1"/>
        </patternFill>
      </fill>
    </dxf>
    <dxf>
      <font>
        <color rgb="FFFF0000"/>
      </font>
    </dxf>
    <dxf>
      <font>
        <color rgb="FF9C0006"/>
      </font>
      <fill>
        <patternFill>
          <bgColor rgb="FFFFC7CE"/>
        </patternFill>
      </fill>
    </dxf>
    <dxf>
      <font>
        <color rgb="FF006100"/>
      </font>
      <fill>
        <patternFill patternType="none">
          <bgColor auto="1"/>
        </patternFill>
      </fill>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fill>
        <patternFill patternType="solid"/>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006100"/>
      </font>
      <fill>
        <patternFill patternType="none">
          <bgColor auto="1"/>
        </patternFill>
      </fill>
    </dxf>
    <dxf>
      <font>
        <color rgb="FF9C0006"/>
      </font>
      <fill>
        <patternFill>
          <bgColor rgb="FFFFC7CE"/>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theme="0" tint="-0.499984740745262"/>
      </font>
    </dxf>
    <dxf>
      <font>
        <color rgb="FFFF0000"/>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rgb="FFFF0000"/>
      </font>
    </dxf>
    <dxf>
      <font>
        <color rgb="FFFF0000"/>
      </font>
    </dxf>
    <dxf>
      <font>
        <color theme="0" tint="-0.24994659260841701"/>
      </font>
    </dxf>
    <dxf>
      <font>
        <color rgb="FFFF0000"/>
      </font>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fill>
        <patternFill patternType="solid"/>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rgb="FF9C0006"/>
      </font>
      <fill>
        <patternFill>
          <bgColor rgb="FFFFC7CE"/>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fill>
        <patternFill patternType="solid"/>
      </fill>
    </dxf>
    <dxf>
      <font>
        <color rgb="FFC00000"/>
      </font>
    </dxf>
    <dxf>
      <font>
        <color theme="0" tint="-0.24994659260841701"/>
      </font>
    </dxf>
    <dxf>
      <font>
        <color rgb="FFFF0000"/>
      </font>
    </dxf>
    <dxf>
      <font>
        <color theme="0" tint="-0.24994659260841701"/>
      </font>
      <fill>
        <patternFill patternType="solid"/>
      </fill>
    </dxf>
    <dxf>
      <font>
        <color theme="0" tint="-0.24994659260841701"/>
      </font>
    </dxf>
    <dxf>
      <font>
        <color rgb="FFFF0000"/>
      </font>
    </dxf>
    <dxf>
      <font>
        <color theme="0" tint="-0.24994659260841701"/>
      </font>
      <fill>
        <patternFill patternType="solid"/>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strike val="0"/>
        <color theme="0"/>
      </font>
      <fill>
        <patternFill>
          <bgColor rgb="FFFF0000"/>
        </patternFill>
      </fill>
    </dxf>
    <dxf>
      <font>
        <color rgb="FFFF0000"/>
      </font>
    </dxf>
    <dxf>
      <font>
        <color theme="0" tint="-0.24994659260841701"/>
      </font>
      <fill>
        <patternFill patternType="solid"/>
      </fill>
    </dxf>
    <dxf>
      <font>
        <color rgb="FFFF0000"/>
      </font>
    </dxf>
    <dxf>
      <font>
        <color theme="0" tint="-0.24994659260841701"/>
      </font>
    </dxf>
    <dxf>
      <font>
        <color rgb="FFFF0000"/>
      </font>
    </dxf>
    <dxf>
      <font>
        <color theme="0" tint="-0.24994659260841701"/>
      </font>
      <fill>
        <patternFill patternType="solid"/>
      </fill>
    </dxf>
    <dxf>
      <font>
        <color theme="0" tint="-0.499984740745262"/>
      </font>
    </dxf>
    <dxf>
      <font>
        <color rgb="FF9C0006"/>
      </font>
      <fill>
        <patternFill>
          <bgColor rgb="FFFFC7CE"/>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fill>
        <patternFill patternType="solid"/>
      </fill>
    </dxf>
    <dxf>
      <font>
        <color rgb="FFFF0000"/>
      </font>
    </dxf>
    <dxf>
      <font>
        <color theme="0" tint="-0.24994659260841701"/>
      </font>
      <fill>
        <patternFill patternType="solid"/>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00B050"/>
      </font>
    </dxf>
    <dxf>
      <font>
        <b/>
        <i val="0"/>
        <color theme="0"/>
      </font>
      <fill>
        <patternFill>
          <bgColor rgb="FFFF0000"/>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strike val="0"/>
        <color theme="0"/>
      </font>
      <fill>
        <patternFill>
          <bgColor rgb="FFFF0000"/>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fill>
        <patternFill patternType="solid"/>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fill>
        <patternFill patternType="solid"/>
      </fill>
    </dxf>
    <dxf>
      <font>
        <color theme="0" tint="-0.499984740745262"/>
      </font>
    </dxf>
    <dxf>
      <font>
        <color rgb="FFFF0000"/>
      </font>
    </dxf>
    <dxf>
      <font>
        <color rgb="FF9C0006"/>
      </font>
      <fill>
        <patternFill>
          <bgColor rgb="FFFFC7CE"/>
        </patternFill>
      </fill>
    </dxf>
    <dxf>
      <font>
        <color theme="0" tint="-0.24994659260841701"/>
      </font>
      <fill>
        <patternFill patternType="solid"/>
      </fill>
    </dxf>
    <dxf>
      <font>
        <color rgb="FFFF0000"/>
      </font>
    </dxf>
    <dxf>
      <font>
        <color theme="0" tint="-0.24994659260841701"/>
      </font>
    </dxf>
    <dxf>
      <font>
        <color rgb="FFFF0000"/>
      </font>
    </dxf>
    <dxf>
      <font>
        <color theme="0" tint="-0.24994659260841701"/>
      </font>
    </dxf>
    <dxf>
      <font>
        <color theme="0" tint="-0.499984740745262"/>
      </font>
    </dxf>
    <dxf>
      <font>
        <color rgb="FFFF0000"/>
      </font>
    </dxf>
    <dxf>
      <font>
        <color theme="0" tint="-0.24994659260841701"/>
      </font>
      <fill>
        <patternFill patternType="solid"/>
      </fill>
    </dxf>
    <dxf>
      <font>
        <color rgb="FFFF0000"/>
      </font>
    </dxf>
    <dxf>
      <font>
        <color theme="0" tint="-0.24994659260841701"/>
      </font>
    </dxf>
    <dxf>
      <font>
        <color rgb="FF9C0006"/>
      </font>
      <fill>
        <patternFill>
          <bgColor rgb="FFFFC7CE"/>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strike val="0"/>
        <color theme="0"/>
      </font>
      <fill>
        <patternFill>
          <bgColor rgb="FFFF0000"/>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b/>
        <i val="0"/>
        <color rgb="FFFF0000"/>
      </font>
      <fill>
        <patternFill>
          <bgColor rgb="FFFFFF0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fill>
        <patternFill patternType="solid"/>
      </fill>
    </dxf>
    <dxf>
      <font>
        <color theme="0" tint="-0.24994659260841701"/>
      </font>
      <fill>
        <patternFill patternType="solid"/>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fill>
        <patternFill patternType="solid"/>
      </fill>
    </dxf>
    <dxf>
      <font>
        <color rgb="FFFF0000"/>
      </font>
    </dxf>
    <dxf>
      <font>
        <color theme="0" tint="-0.24994659260841701"/>
      </font>
    </dxf>
    <dxf>
      <font>
        <color theme="0" tint="-0.24994659260841701"/>
      </font>
      <fill>
        <patternFill patternType="solid"/>
      </fill>
    </dxf>
    <dxf>
      <font>
        <color rgb="FFFF0000"/>
      </font>
    </dxf>
    <dxf>
      <font>
        <color theme="0" tint="-0.24994659260841701"/>
      </font>
    </dxf>
    <dxf>
      <font>
        <color rgb="FFFF0000"/>
      </font>
    </dxf>
    <dxf>
      <font>
        <color theme="0" tint="-0.24994659260841701"/>
      </font>
      <fill>
        <patternFill patternType="solid"/>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theme="0" tint="-0.24994659260841701"/>
      </font>
    </dxf>
    <dxf>
      <font>
        <color rgb="FFFF0000"/>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rgb="FFFF0000"/>
      </font>
    </dxf>
    <dxf>
      <font>
        <color theme="0" tint="-0.24994659260841701"/>
      </font>
    </dxf>
    <dxf>
      <font>
        <color rgb="FFFF0000"/>
      </font>
    </dxf>
    <dxf>
      <font>
        <color theme="0" tint="-0.24994659260841701"/>
      </font>
    </dxf>
    <dxf>
      <font>
        <color rgb="FFFF0000"/>
      </font>
    </dxf>
    <dxf>
      <font>
        <color rgb="FF006100"/>
      </font>
      <fill>
        <patternFill patternType="none">
          <bgColor auto="1"/>
        </patternFill>
      </fill>
    </dxf>
    <dxf>
      <font>
        <color rgb="FFFF0000"/>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rgb="FFFF0000"/>
      </font>
    </dxf>
    <dxf>
      <font>
        <color theme="0" tint="-0.24994659260841701"/>
      </font>
    </dxf>
    <dxf>
      <font>
        <color rgb="FFFF0000"/>
      </font>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rgb="FFFF0000"/>
      </font>
    </dxf>
    <dxf>
      <font>
        <color theme="0" tint="-0.24994659260841701"/>
      </font>
    </dxf>
    <dxf>
      <font>
        <color rgb="FFFF0000"/>
      </font>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ill>
        <patternFill>
          <bgColor rgb="FF99FF99"/>
        </patternFill>
      </fill>
    </dxf>
    <dxf>
      <fill>
        <patternFill>
          <bgColor theme="9" tint="0.59996337778862885"/>
        </patternFill>
      </fill>
    </dxf>
    <dxf>
      <font>
        <color theme="0"/>
      </font>
      <fill>
        <patternFill>
          <bgColor rgb="FFFF0000"/>
        </patternFill>
      </fill>
    </dxf>
    <dxf>
      <font>
        <color rgb="FFFF0000"/>
      </font>
    </dxf>
    <dxf>
      <font>
        <color theme="0" tint="-0.24994659260841701"/>
      </font>
    </dxf>
    <dxf>
      <font>
        <color auto="1"/>
      </font>
      <fill>
        <patternFill>
          <bgColor rgb="FF99FF99"/>
        </patternFill>
      </fill>
    </dxf>
    <dxf>
      <font>
        <color theme="0"/>
      </font>
      <fill>
        <patternFill>
          <bgColor rgb="FFFF0000"/>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rgb="FFFF0000"/>
      </font>
    </dxf>
    <dxf>
      <font>
        <color theme="0" tint="-0.24994659260841701"/>
      </font>
    </dxf>
    <dxf>
      <font>
        <color rgb="FFFF0000"/>
      </font>
    </dxf>
    <dxf>
      <font>
        <color theme="0" tint="-0.24994659260841701"/>
      </font>
    </dxf>
    <dxf>
      <font>
        <color rgb="FFFF0000"/>
      </font>
    </dxf>
    <dxf>
      <font>
        <color rgb="FFFF0000"/>
      </font>
    </dxf>
    <dxf>
      <font>
        <color theme="0" tint="-0.24994659260841701"/>
      </font>
    </dxf>
    <dxf>
      <font>
        <color theme="0" tint="-0.24994659260841701"/>
      </font>
    </dxf>
    <dxf>
      <font>
        <color rgb="FFFF0000"/>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fill>
        <patternFill patternType="solid"/>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dxf>
    <dxf>
      <font>
        <color rgb="FFFF0000"/>
      </font>
    </dxf>
    <dxf>
      <font>
        <color rgb="FF9C0006"/>
      </font>
      <fill>
        <patternFill>
          <bgColor rgb="FFFFC7CE"/>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rgb="FFFF0000"/>
      </font>
    </dxf>
    <dxf>
      <font>
        <color rgb="FFFF0000"/>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dxf>
    <dxf>
      <font>
        <color rgb="FFFF0000"/>
      </font>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FF0000"/>
      </font>
    </dxf>
    <dxf>
      <font>
        <color theme="0" tint="-0.24994659260841701"/>
      </font>
      <fill>
        <patternFill patternType="solid"/>
      </fill>
    </dxf>
    <dxf>
      <font>
        <color theme="0" tint="-0.24994659260841701"/>
      </font>
    </dxf>
    <dxf>
      <font>
        <color rgb="FFFF0000"/>
      </font>
    </dxf>
    <dxf>
      <fill>
        <patternFill>
          <bgColor rgb="FFFF0000"/>
        </patternFill>
      </fill>
    </dxf>
    <dxf>
      <fill>
        <patternFill>
          <bgColor theme="9" tint="0.59996337778862885"/>
        </patternFill>
      </fill>
    </dxf>
    <dxf>
      <fill>
        <patternFill>
          <bgColor theme="6" tint="0.59996337778862885"/>
        </patternFill>
      </fill>
    </dxf>
    <dxf>
      <font>
        <color auto="1"/>
      </font>
      <fill>
        <patternFill>
          <bgColor rgb="FF99FF99"/>
        </patternFill>
      </fill>
    </dxf>
    <dxf>
      <fill>
        <patternFill>
          <bgColor rgb="FF99FF99"/>
        </patternFill>
      </fill>
    </dxf>
    <dxf>
      <fill>
        <patternFill>
          <bgColor theme="9" tint="0.59996337778862885"/>
        </patternFill>
      </fill>
    </dxf>
    <dxf>
      <font>
        <color theme="0"/>
      </font>
      <fill>
        <patternFill>
          <bgColor rgb="FFFF0000"/>
        </patternFill>
      </fill>
    </dxf>
    <dxf>
      <font>
        <color rgb="FFFF0000"/>
      </font>
    </dxf>
    <dxf>
      <font>
        <color theme="0" tint="-0.24994659260841701"/>
      </font>
    </dxf>
    <dxf>
      <font>
        <color auto="1"/>
      </font>
      <fill>
        <patternFill>
          <bgColor rgb="FF99FF99"/>
        </patternFill>
      </fill>
    </dxf>
    <dxf>
      <font>
        <color theme="0"/>
      </font>
      <fill>
        <patternFill>
          <bgColor rgb="FFFF0000"/>
        </patternFill>
      </fill>
    </dxf>
    <dxf>
      <font>
        <color rgb="FFFF0000"/>
      </font>
    </dxf>
    <dxf>
      <font>
        <color theme="0" tint="-0.24994659260841701"/>
      </font>
    </dxf>
    <dxf>
      <font>
        <color rgb="FFFF0000"/>
      </font>
    </dxf>
    <dxf>
      <font>
        <color theme="0" tint="-0.24994659260841701"/>
      </font>
    </dxf>
    <dxf>
      <font>
        <color theme="0" tint="-0.24994659260841701"/>
      </font>
      <fill>
        <patternFill patternType="solid"/>
      </fill>
    </dxf>
    <dxf>
      <font>
        <color theme="0" tint="-0.24994659260841701"/>
      </font>
      <fill>
        <patternFill patternType="solid"/>
      </fill>
    </dxf>
    <dxf>
      <font>
        <color theme="0" tint="-0.24994659260841701"/>
      </font>
      <fill>
        <patternFill patternType="solid"/>
      </fill>
    </dxf>
    <dxf>
      <font>
        <color theme="0" tint="-0.24994659260841701"/>
      </font>
      <fill>
        <patternFill patternType="solid"/>
      </fill>
    </dxf>
    <dxf>
      <font>
        <color theme="0" tint="-0.24994659260841701"/>
      </font>
      <fill>
        <patternFill patternType="solid"/>
      </fill>
    </dxf>
    <dxf>
      <font>
        <color theme="0" tint="-0.24994659260841701"/>
      </font>
      <fill>
        <patternFill patternType="solid"/>
      </fill>
    </dxf>
    <dxf>
      <font>
        <color theme="0" tint="-0.24994659260841701"/>
      </font>
      <fill>
        <patternFill patternType="solid"/>
      </fill>
    </dxf>
    <dxf>
      <font>
        <strike val="0"/>
        <color auto="1"/>
      </font>
      <fill>
        <patternFill>
          <bgColor rgb="FFFF0000"/>
        </patternFill>
      </fill>
    </dxf>
    <dxf>
      <font>
        <strike val="0"/>
        <color auto="1"/>
      </font>
      <fill>
        <patternFill>
          <bgColor theme="6" tint="0.59996337778862885"/>
        </patternFill>
      </fill>
    </dxf>
    <dxf>
      <fill>
        <patternFill>
          <bgColor rgb="FF99FF99"/>
        </patternFill>
      </fill>
    </dxf>
    <dxf>
      <fill>
        <patternFill>
          <bgColor rgb="FFFFEFAB"/>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dxf>
    <dxf>
      <font>
        <color rgb="FFFF0000"/>
      </font>
    </dxf>
    <dxf>
      <font>
        <color theme="0" tint="-0.24994659260841701"/>
      </font>
    </dxf>
    <dxf>
      <font>
        <color rgb="FF9C0006"/>
      </font>
      <fill>
        <patternFill>
          <bgColor rgb="FFFFC7CE"/>
        </patternFill>
      </fill>
    </dxf>
    <dxf>
      <font>
        <color rgb="FFFF0000"/>
      </font>
    </dxf>
    <dxf>
      <font>
        <color theme="0" tint="-0.24994659260841701"/>
      </font>
      <fill>
        <patternFill patternType="solid"/>
      </fill>
    </dxf>
    <dxf>
      <font>
        <color theme="0" tint="-0.24994659260841701"/>
      </font>
      <fill>
        <patternFill patternType="solid"/>
      </fill>
    </dxf>
    <dxf>
      <font>
        <color rgb="FFFF0000"/>
      </font>
    </dxf>
    <dxf>
      <font>
        <color theme="0" tint="-0.24994659260841701"/>
      </font>
      <fill>
        <patternFill patternType="solid"/>
      </fill>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ill>
        <patternFill>
          <bgColor rgb="FF99FF99"/>
        </patternFill>
      </fill>
    </dxf>
    <dxf>
      <fill>
        <patternFill>
          <bgColor theme="6" tint="0.79998168889431442"/>
        </patternFill>
      </fill>
    </dxf>
    <dxf>
      <fill>
        <patternFill>
          <bgColor theme="9" tint="0.59996337778862885"/>
        </patternFill>
      </fill>
    </dxf>
    <dxf>
      <fill>
        <patternFill>
          <bgColor rgb="FFFF0000"/>
        </patternFill>
      </fill>
    </dxf>
    <dxf>
      <font>
        <color rgb="FFFF0000"/>
      </font>
    </dxf>
    <dxf>
      <font>
        <color theme="0" tint="-0.24994659260841701"/>
      </font>
    </dxf>
    <dxf>
      <font>
        <color rgb="FFFF0000"/>
      </font>
    </dxf>
    <dxf>
      <font>
        <color theme="0" tint="-0.24994659260841701"/>
      </font>
    </dxf>
    <dxf>
      <font>
        <color theme="0" tint="-0.24994659260841701"/>
      </font>
    </dxf>
    <dxf>
      <font>
        <color rgb="FFFF0000"/>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fill>
        <patternFill patternType="solid"/>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9C0006"/>
      </font>
      <fill>
        <patternFill>
          <bgColor rgb="FFFFC7CE"/>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rgb="FFFF0000"/>
      </font>
    </dxf>
    <dxf>
      <font>
        <color theme="0" tint="-0.24994659260841701"/>
      </font>
    </dxf>
    <dxf>
      <font>
        <color rgb="FFFF0000"/>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ill>
        <patternFill>
          <bgColor theme="5" tint="0.79998168889431442"/>
        </patternFill>
      </fill>
    </dxf>
    <dxf>
      <fill>
        <patternFill>
          <bgColor rgb="FFFF0000"/>
        </patternFill>
      </fill>
    </dxf>
    <dxf>
      <fill>
        <patternFill>
          <bgColor rgb="FFCCFFCC"/>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theme="0" tint="-0.24994659260841701"/>
      </font>
      <fill>
        <patternFill patternType="solid"/>
      </fill>
    </dxf>
    <dxf>
      <font>
        <color rgb="FFFF0000"/>
      </font>
    </dxf>
    <dxf>
      <font>
        <color rgb="FF9C0006"/>
      </font>
      <fill>
        <patternFill>
          <bgColor rgb="FFFFC7CE"/>
        </patternFill>
      </fill>
    </dxf>
    <dxf>
      <font>
        <color rgb="FF006100"/>
      </font>
      <fill>
        <patternFill patternType="none">
          <bgColor auto="1"/>
        </patternFill>
      </fill>
    </dxf>
    <dxf>
      <font>
        <color theme="0" tint="-0.24994659260841701"/>
      </font>
      <fill>
        <patternFill patternType="solid"/>
      </fill>
    </dxf>
    <dxf>
      <font>
        <color rgb="FF9C0006"/>
      </font>
      <fill>
        <patternFill>
          <bgColor rgb="FFFFC7CE"/>
        </patternFill>
      </fill>
    </dxf>
    <dxf>
      <font>
        <color rgb="FF006100"/>
      </font>
      <fill>
        <patternFill patternType="none">
          <bgColor auto="1"/>
        </patternFill>
      </fill>
    </dxf>
    <dxf>
      <font>
        <color rgb="FFFF0000"/>
      </font>
    </dxf>
    <dxf>
      <font>
        <color rgb="FF9C0006"/>
      </font>
      <fill>
        <patternFill>
          <bgColor rgb="FFFFC7CE"/>
        </patternFill>
      </fill>
    </dxf>
    <dxf>
      <font>
        <color rgb="FF006100"/>
      </font>
      <fill>
        <patternFill patternType="none">
          <bgColor auto="1"/>
        </patternFill>
      </fill>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fill>
        <patternFill patternType="solid"/>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006100"/>
      </font>
      <fill>
        <patternFill patternType="none">
          <bgColor auto="1"/>
        </patternFill>
      </fill>
    </dxf>
    <dxf>
      <font>
        <color rgb="FF9C0006"/>
      </font>
      <fill>
        <patternFill>
          <bgColor rgb="FFFFC7CE"/>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theme="0" tint="-0.499984740745262"/>
      </font>
    </dxf>
    <dxf>
      <font>
        <color rgb="FFFF0000"/>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rgb="FFFF0000"/>
      </font>
    </dxf>
    <dxf>
      <font>
        <color rgb="FFFF0000"/>
      </font>
    </dxf>
    <dxf>
      <font>
        <color theme="0" tint="-0.24994659260841701"/>
      </font>
    </dxf>
    <dxf>
      <font>
        <color rgb="FFFF0000"/>
      </font>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fill>
        <patternFill patternType="solid"/>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rgb="FF9C0006"/>
      </font>
      <fill>
        <patternFill>
          <bgColor rgb="FFFFC7CE"/>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fill>
        <patternFill patternType="solid"/>
      </fill>
    </dxf>
    <dxf>
      <font>
        <color rgb="FFC00000"/>
      </font>
    </dxf>
    <dxf>
      <font>
        <color theme="0" tint="-0.24994659260841701"/>
      </font>
    </dxf>
    <dxf>
      <font>
        <color rgb="FFFF0000"/>
      </font>
    </dxf>
    <dxf>
      <font>
        <color theme="0" tint="-0.24994659260841701"/>
      </font>
      <fill>
        <patternFill patternType="solid"/>
      </fill>
    </dxf>
    <dxf>
      <font>
        <color theme="0" tint="-0.24994659260841701"/>
      </font>
    </dxf>
    <dxf>
      <font>
        <color rgb="FFFF0000"/>
      </font>
    </dxf>
    <dxf>
      <font>
        <color theme="0" tint="-0.24994659260841701"/>
      </font>
      <fill>
        <patternFill patternType="solid"/>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strike val="0"/>
        <color theme="0"/>
      </font>
      <fill>
        <patternFill>
          <bgColor rgb="FFFF0000"/>
        </patternFill>
      </fill>
    </dxf>
    <dxf>
      <font>
        <color rgb="FFFF0000"/>
      </font>
    </dxf>
    <dxf>
      <font>
        <color theme="0" tint="-0.24994659260841701"/>
      </font>
      <fill>
        <patternFill patternType="solid"/>
      </fill>
    </dxf>
    <dxf>
      <font>
        <color rgb="FFFF0000"/>
      </font>
    </dxf>
    <dxf>
      <font>
        <color theme="0" tint="-0.24994659260841701"/>
      </font>
    </dxf>
    <dxf>
      <font>
        <color rgb="FFFF0000"/>
      </font>
    </dxf>
    <dxf>
      <font>
        <color theme="0" tint="-0.24994659260841701"/>
      </font>
      <fill>
        <patternFill patternType="solid"/>
      </fill>
    </dxf>
    <dxf>
      <font>
        <color theme="0" tint="-0.499984740745262"/>
      </font>
    </dxf>
    <dxf>
      <font>
        <color rgb="FF9C0006"/>
      </font>
      <fill>
        <patternFill>
          <bgColor rgb="FFFFC7CE"/>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fill>
        <patternFill patternType="solid"/>
      </fill>
    </dxf>
    <dxf>
      <font>
        <color rgb="FFFF0000"/>
      </font>
    </dxf>
    <dxf>
      <font>
        <color theme="0" tint="-0.24994659260841701"/>
      </font>
      <fill>
        <patternFill patternType="solid"/>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00B050"/>
      </font>
    </dxf>
    <dxf>
      <font>
        <b/>
        <i val="0"/>
        <color theme="0"/>
      </font>
      <fill>
        <patternFill>
          <bgColor rgb="FFFF0000"/>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strike val="0"/>
        <color theme="0"/>
      </font>
      <fill>
        <patternFill>
          <bgColor rgb="FFFF0000"/>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fill>
        <patternFill patternType="solid"/>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fill>
        <patternFill patternType="solid"/>
      </fill>
    </dxf>
    <dxf>
      <font>
        <color theme="0" tint="-0.499984740745262"/>
      </font>
    </dxf>
    <dxf>
      <font>
        <color rgb="FFFF0000"/>
      </font>
    </dxf>
    <dxf>
      <font>
        <color rgb="FF9C0006"/>
      </font>
      <fill>
        <patternFill>
          <bgColor rgb="FFFFC7CE"/>
        </patternFill>
      </fill>
    </dxf>
    <dxf>
      <font>
        <color theme="0" tint="-0.24994659260841701"/>
      </font>
      <fill>
        <patternFill patternType="solid"/>
      </fill>
    </dxf>
    <dxf>
      <font>
        <color rgb="FFFF0000"/>
      </font>
    </dxf>
    <dxf>
      <font>
        <color theme="0" tint="-0.24994659260841701"/>
      </font>
    </dxf>
    <dxf>
      <font>
        <color rgb="FFFF0000"/>
      </font>
    </dxf>
    <dxf>
      <font>
        <color theme="0" tint="-0.24994659260841701"/>
      </font>
    </dxf>
    <dxf>
      <font>
        <color theme="0" tint="-0.499984740745262"/>
      </font>
    </dxf>
    <dxf>
      <font>
        <color rgb="FFFF0000"/>
      </font>
    </dxf>
    <dxf>
      <font>
        <color theme="0" tint="-0.24994659260841701"/>
      </font>
      <fill>
        <patternFill patternType="solid"/>
      </fill>
    </dxf>
    <dxf>
      <font>
        <color rgb="FFFF0000"/>
      </font>
    </dxf>
    <dxf>
      <font>
        <color theme="0" tint="-0.24994659260841701"/>
      </font>
    </dxf>
    <dxf>
      <font>
        <color rgb="FF9C0006"/>
      </font>
      <fill>
        <patternFill>
          <bgColor rgb="FFFFC7CE"/>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strike val="0"/>
        <color theme="0"/>
      </font>
      <fill>
        <patternFill>
          <bgColor rgb="FFFF0000"/>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b/>
        <i val="0"/>
        <color rgb="FFFF0000"/>
      </font>
      <fill>
        <patternFill>
          <bgColor rgb="FFFFFF0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fill>
        <patternFill patternType="solid"/>
      </fill>
    </dxf>
    <dxf>
      <font>
        <color theme="0" tint="-0.24994659260841701"/>
      </font>
      <fill>
        <patternFill patternType="solid"/>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fill>
        <patternFill patternType="solid"/>
      </fill>
    </dxf>
    <dxf>
      <font>
        <color rgb="FFFF0000"/>
      </font>
    </dxf>
    <dxf>
      <font>
        <color theme="0" tint="-0.24994659260841701"/>
      </font>
    </dxf>
    <dxf>
      <font>
        <color theme="0" tint="-0.24994659260841701"/>
      </font>
      <fill>
        <patternFill patternType="solid"/>
      </fill>
    </dxf>
    <dxf>
      <font>
        <color rgb="FFFF0000"/>
      </font>
    </dxf>
    <dxf>
      <font>
        <color theme="0" tint="-0.24994659260841701"/>
      </font>
    </dxf>
    <dxf>
      <font>
        <color rgb="FFFF0000"/>
      </font>
    </dxf>
    <dxf>
      <font>
        <color theme="0" tint="-0.24994659260841701"/>
      </font>
      <fill>
        <patternFill patternType="solid"/>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theme="0" tint="-0.24994659260841701"/>
      </font>
    </dxf>
    <dxf>
      <font>
        <color rgb="FFFF0000"/>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rgb="FFFF0000"/>
      </font>
    </dxf>
    <dxf>
      <font>
        <color theme="0" tint="-0.24994659260841701"/>
      </font>
    </dxf>
    <dxf>
      <font>
        <color rgb="FFFF0000"/>
      </font>
    </dxf>
    <dxf>
      <font>
        <color theme="0" tint="-0.24994659260841701"/>
      </font>
    </dxf>
    <dxf>
      <font>
        <color rgb="FFFF0000"/>
      </font>
    </dxf>
    <dxf>
      <font>
        <color rgb="FF006100"/>
      </font>
      <fill>
        <patternFill patternType="none">
          <bgColor auto="1"/>
        </patternFill>
      </fill>
    </dxf>
    <dxf>
      <font>
        <color rgb="FFFF0000"/>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rgb="FFFF0000"/>
      </font>
    </dxf>
    <dxf>
      <font>
        <color theme="0" tint="-0.24994659260841701"/>
      </font>
    </dxf>
    <dxf>
      <font>
        <color rgb="FFFF0000"/>
      </font>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rgb="FFFF0000"/>
      </font>
    </dxf>
    <dxf>
      <font>
        <color theme="0" tint="-0.24994659260841701"/>
      </font>
    </dxf>
    <dxf>
      <font>
        <color rgb="FFFF0000"/>
      </font>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ill>
        <patternFill>
          <bgColor rgb="FF99FF99"/>
        </patternFill>
      </fill>
    </dxf>
    <dxf>
      <fill>
        <patternFill>
          <bgColor theme="9" tint="0.59996337778862885"/>
        </patternFill>
      </fill>
    </dxf>
    <dxf>
      <font>
        <color theme="0"/>
      </font>
      <fill>
        <patternFill>
          <bgColor rgb="FFFF0000"/>
        </patternFill>
      </fill>
    </dxf>
    <dxf>
      <font>
        <color rgb="FFFF0000"/>
      </font>
    </dxf>
    <dxf>
      <font>
        <color theme="0" tint="-0.24994659260841701"/>
      </font>
    </dxf>
    <dxf>
      <font>
        <color auto="1"/>
      </font>
      <fill>
        <patternFill>
          <bgColor rgb="FF99FF99"/>
        </patternFill>
      </fill>
    </dxf>
    <dxf>
      <font>
        <color theme="0"/>
      </font>
      <fill>
        <patternFill>
          <bgColor rgb="FFFF0000"/>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rgb="FFFF0000"/>
      </font>
    </dxf>
    <dxf>
      <font>
        <color theme="0" tint="-0.24994659260841701"/>
      </font>
    </dxf>
    <dxf>
      <font>
        <color rgb="FFFF0000"/>
      </font>
    </dxf>
    <dxf>
      <font>
        <color theme="0" tint="-0.24994659260841701"/>
      </font>
    </dxf>
    <dxf>
      <font>
        <color rgb="FFFF0000"/>
      </font>
    </dxf>
    <dxf>
      <font>
        <color rgb="FFFF0000"/>
      </font>
    </dxf>
    <dxf>
      <font>
        <color theme="0" tint="-0.24994659260841701"/>
      </font>
    </dxf>
    <dxf>
      <font>
        <color theme="0" tint="-0.24994659260841701"/>
      </font>
    </dxf>
    <dxf>
      <font>
        <color rgb="FFFF0000"/>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fill>
        <patternFill patternType="solid"/>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dxf>
    <dxf>
      <font>
        <color rgb="FFFF0000"/>
      </font>
    </dxf>
    <dxf>
      <font>
        <color rgb="FF9C0006"/>
      </font>
      <fill>
        <patternFill>
          <bgColor rgb="FFFFC7CE"/>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rgb="FFFF0000"/>
      </font>
    </dxf>
    <dxf>
      <font>
        <color rgb="FFFF0000"/>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dxf>
    <dxf>
      <font>
        <color rgb="FFFF0000"/>
      </font>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FF0000"/>
      </font>
    </dxf>
    <dxf>
      <font>
        <color theme="0" tint="-0.24994659260841701"/>
      </font>
      <fill>
        <patternFill patternType="solid"/>
      </fill>
    </dxf>
    <dxf>
      <font>
        <color theme="0" tint="-0.24994659260841701"/>
      </font>
    </dxf>
    <dxf>
      <font>
        <color rgb="FFFF0000"/>
      </font>
    </dxf>
    <dxf>
      <fill>
        <patternFill>
          <bgColor rgb="FFFF0000"/>
        </patternFill>
      </fill>
    </dxf>
    <dxf>
      <fill>
        <patternFill>
          <bgColor theme="9" tint="0.59996337778862885"/>
        </patternFill>
      </fill>
    </dxf>
    <dxf>
      <fill>
        <patternFill>
          <bgColor theme="6" tint="0.59996337778862885"/>
        </patternFill>
      </fill>
    </dxf>
    <dxf>
      <font>
        <color auto="1"/>
      </font>
      <fill>
        <patternFill>
          <bgColor rgb="FF99FF99"/>
        </patternFill>
      </fill>
    </dxf>
    <dxf>
      <fill>
        <patternFill>
          <bgColor rgb="FF99FF99"/>
        </patternFill>
      </fill>
    </dxf>
    <dxf>
      <fill>
        <patternFill>
          <bgColor theme="9" tint="0.59996337778862885"/>
        </patternFill>
      </fill>
    </dxf>
    <dxf>
      <font>
        <color theme="0"/>
      </font>
      <fill>
        <patternFill>
          <bgColor rgb="FFFF0000"/>
        </patternFill>
      </fill>
    </dxf>
    <dxf>
      <font>
        <color rgb="FFFF0000"/>
      </font>
    </dxf>
    <dxf>
      <font>
        <color theme="0" tint="-0.24994659260841701"/>
      </font>
    </dxf>
    <dxf>
      <font>
        <color auto="1"/>
      </font>
      <fill>
        <patternFill>
          <bgColor rgb="FF99FF99"/>
        </patternFill>
      </fill>
    </dxf>
    <dxf>
      <font>
        <color theme="0"/>
      </font>
      <fill>
        <patternFill>
          <bgColor rgb="FFFF0000"/>
        </patternFill>
      </fill>
    </dxf>
    <dxf>
      <font>
        <color rgb="FFFF0000"/>
      </font>
    </dxf>
    <dxf>
      <font>
        <color theme="0" tint="-0.24994659260841701"/>
      </font>
    </dxf>
    <dxf>
      <font>
        <color rgb="FFFF0000"/>
      </font>
    </dxf>
    <dxf>
      <font>
        <color theme="0" tint="-0.24994659260841701"/>
      </font>
    </dxf>
    <dxf>
      <font>
        <color theme="0" tint="-0.24994659260841701"/>
      </font>
      <fill>
        <patternFill patternType="solid"/>
      </fill>
    </dxf>
    <dxf>
      <font>
        <color theme="0" tint="-0.24994659260841701"/>
      </font>
      <fill>
        <patternFill patternType="solid"/>
      </fill>
    </dxf>
    <dxf>
      <font>
        <color theme="0" tint="-0.24994659260841701"/>
      </font>
      <fill>
        <patternFill patternType="solid"/>
      </fill>
    </dxf>
    <dxf>
      <font>
        <color theme="0" tint="-0.24994659260841701"/>
      </font>
      <fill>
        <patternFill patternType="solid"/>
      </fill>
    </dxf>
    <dxf>
      <font>
        <color theme="0" tint="-0.24994659260841701"/>
      </font>
      <fill>
        <patternFill patternType="solid"/>
      </fill>
    </dxf>
    <dxf>
      <font>
        <color theme="0" tint="-0.24994659260841701"/>
      </font>
      <fill>
        <patternFill patternType="solid"/>
      </fill>
    </dxf>
    <dxf>
      <font>
        <color theme="0" tint="-0.24994659260841701"/>
      </font>
      <fill>
        <patternFill patternType="solid"/>
      </fill>
    </dxf>
    <dxf>
      <font>
        <strike val="0"/>
        <color auto="1"/>
      </font>
      <fill>
        <patternFill>
          <bgColor rgb="FFFF0000"/>
        </patternFill>
      </fill>
    </dxf>
    <dxf>
      <font>
        <strike val="0"/>
        <color auto="1"/>
      </font>
      <fill>
        <patternFill>
          <bgColor theme="6" tint="0.59996337778862885"/>
        </patternFill>
      </fill>
    </dxf>
    <dxf>
      <fill>
        <patternFill>
          <bgColor rgb="FF99FF99"/>
        </patternFill>
      </fill>
    </dxf>
    <dxf>
      <fill>
        <patternFill>
          <bgColor rgb="FFFFEFAB"/>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dxf>
    <dxf>
      <font>
        <color rgb="FFFF0000"/>
      </font>
    </dxf>
    <dxf>
      <font>
        <color theme="0" tint="-0.24994659260841701"/>
      </font>
    </dxf>
    <dxf>
      <font>
        <color rgb="FF9C0006"/>
      </font>
      <fill>
        <patternFill>
          <bgColor rgb="FFFFC7CE"/>
        </patternFill>
      </fill>
    </dxf>
    <dxf>
      <font>
        <color rgb="FFFF0000"/>
      </font>
    </dxf>
    <dxf>
      <font>
        <color theme="0" tint="-0.24994659260841701"/>
      </font>
      <fill>
        <patternFill patternType="solid"/>
      </fill>
    </dxf>
    <dxf>
      <font>
        <color theme="0" tint="-0.24994659260841701"/>
      </font>
      <fill>
        <patternFill patternType="solid"/>
      </fill>
    </dxf>
    <dxf>
      <font>
        <color rgb="FFFF0000"/>
      </font>
    </dxf>
    <dxf>
      <font>
        <color theme="0" tint="-0.24994659260841701"/>
      </font>
      <fill>
        <patternFill patternType="solid"/>
      </fill>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ill>
        <patternFill>
          <bgColor rgb="FF99FF99"/>
        </patternFill>
      </fill>
    </dxf>
    <dxf>
      <fill>
        <patternFill>
          <bgColor theme="6" tint="0.79998168889431442"/>
        </patternFill>
      </fill>
    </dxf>
    <dxf>
      <fill>
        <patternFill>
          <bgColor theme="9" tint="0.59996337778862885"/>
        </patternFill>
      </fill>
    </dxf>
    <dxf>
      <fill>
        <patternFill>
          <bgColor rgb="FFFF0000"/>
        </patternFill>
      </fill>
    </dxf>
    <dxf>
      <font>
        <color rgb="FFFF0000"/>
      </font>
    </dxf>
    <dxf>
      <font>
        <color theme="0" tint="-0.24994659260841701"/>
      </font>
    </dxf>
    <dxf>
      <font>
        <color rgb="FFFF0000"/>
      </font>
    </dxf>
    <dxf>
      <font>
        <color theme="0" tint="-0.24994659260841701"/>
      </font>
    </dxf>
    <dxf>
      <font>
        <color theme="0" tint="-0.24994659260841701"/>
      </font>
    </dxf>
    <dxf>
      <font>
        <color rgb="FFFF0000"/>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fill>
        <patternFill patternType="solid"/>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9C0006"/>
      </font>
      <fill>
        <patternFill>
          <bgColor rgb="FFFFC7CE"/>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rgb="FFFF0000"/>
      </font>
    </dxf>
    <dxf>
      <font>
        <color theme="0" tint="-0.24994659260841701"/>
      </font>
    </dxf>
    <dxf>
      <font>
        <color rgb="FFFF0000"/>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ill>
        <patternFill>
          <bgColor theme="5" tint="0.79998168889431442"/>
        </patternFill>
      </fill>
    </dxf>
    <dxf>
      <fill>
        <patternFill>
          <bgColor rgb="FFFF0000"/>
        </patternFill>
      </fill>
    </dxf>
    <dxf>
      <fill>
        <patternFill>
          <bgColor rgb="FFCCFFCC"/>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theme="0" tint="-0.24994659260841701"/>
      </font>
      <fill>
        <patternFill patternType="solid"/>
      </fill>
    </dxf>
    <dxf>
      <font>
        <color rgb="FFFF0000"/>
      </font>
    </dxf>
    <dxf>
      <font>
        <color rgb="FF9C0006"/>
      </font>
      <fill>
        <patternFill>
          <bgColor rgb="FFFFC7CE"/>
        </patternFill>
      </fill>
    </dxf>
    <dxf>
      <font>
        <color rgb="FF006100"/>
      </font>
      <fill>
        <patternFill patternType="none">
          <bgColor auto="1"/>
        </patternFill>
      </fill>
    </dxf>
    <dxf>
      <font>
        <color theme="0" tint="-0.24994659260841701"/>
      </font>
      <fill>
        <patternFill patternType="solid"/>
      </fill>
    </dxf>
    <dxf>
      <font>
        <color rgb="FF9C0006"/>
      </font>
      <fill>
        <patternFill>
          <bgColor rgb="FFFFC7CE"/>
        </patternFill>
      </fill>
    </dxf>
    <dxf>
      <font>
        <color rgb="FF006100"/>
      </font>
      <fill>
        <patternFill patternType="none">
          <bgColor auto="1"/>
        </patternFill>
      </fill>
    </dxf>
    <dxf>
      <font>
        <color rgb="FFFF0000"/>
      </font>
    </dxf>
    <dxf>
      <font>
        <color rgb="FF9C0006"/>
      </font>
      <fill>
        <patternFill>
          <bgColor rgb="FFFFC7CE"/>
        </patternFill>
      </fill>
    </dxf>
    <dxf>
      <font>
        <color rgb="FF006100"/>
      </font>
      <fill>
        <patternFill patternType="none">
          <bgColor auto="1"/>
        </patternFill>
      </fill>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fill>
        <patternFill patternType="solid"/>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006100"/>
      </font>
      <fill>
        <patternFill patternType="none">
          <bgColor auto="1"/>
        </patternFill>
      </fill>
    </dxf>
    <dxf>
      <font>
        <color rgb="FF9C0006"/>
      </font>
      <fill>
        <patternFill>
          <bgColor rgb="FFFFC7CE"/>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theme="0" tint="-0.499984740745262"/>
      </font>
    </dxf>
    <dxf>
      <font>
        <color rgb="FFFF0000"/>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rgb="FFFF0000"/>
      </font>
    </dxf>
    <dxf>
      <font>
        <color rgb="FFFF0000"/>
      </font>
    </dxf>
    <dxf>
      <font>
        <color theme="0" tint="-0.24994659260841701"/>
      </font>
    </dxf>
    <dxf>
      <font>
        <color rgb="FFFF0000"/>
      </font>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fill>
        <patternFill patternType="solid"/>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rgb="FF9C0006"/>
      </font>
      <fill>
        <patternFill>
          <bgColor rgb="FFFFC7CE"/>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fill>
        <patternFill patternType="solid"/>
      </fill>
    </dxf>
    <dxf>
      <font>
        <color rgb="FFC00000"/>
      </font>
    </dxf>
    <dxf>
      <font>
        <color theme="0" tint="-0.24994659260841701"/>
      </font>
    </dxf>
    <dxf>
      <font>
        <color rgb="FFFF0000"/>
      </font>
    </dxf>
    <dxf>
      <font>
        <color theme="0" tint="-0.24994659260841701"/>
      </font>
      <fill>
        <patternFill patternType="solid"/>
      </fill>
    </dxf>
    <dxf>
      <font>
        <color theme="0" tint="-0.24994659260841701"/>
      </font>
    </dxf>
    <dxf>
      <font>
        <color rgb="FFFF0000"/>
      </font>
    </dxf>
    <dxf>
      <font>
        <color theme="0" tint="-0.24994659260841701"/>
      </font>
      <fill>
        <patternFill patternType="solid"/>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strike val="0"/>
        <color theme="0"/>
      </font>
      <fill>
        <patternFill>
          <bgColor rgb="FFFF0000"/>
        </patternFill>
      </fill>
    </dxf>
    <dxf>
      <font>
        <color rgb="FFFF0000"/>
      </font>
    </dxf>
    <dxf>
      <font>
        <color theme="0" tint="-0.24994659260841701"/>
      </font>
      <fill>
        <patternFill patternType="solid"/>
      </fill>
    </dxf>
    <dxf>
      <font>
        <color rgb="FFFF0000"/>
      </font>
    </dxf>
    <dxf>
      <font>
        <color theme="0" tint="-0.24994659260841701"/>
      </font>
    </dxf>
    <dxf>
      <font>
        <color rgb="FFFF0000"/>
      </font>
    </dxf>
    <dxf>
      <font>
        <color theme="0" tint="-0.24994659260841701"/>
      </font>
      <fill>
        <patternFill patternType="solid"/>
      </fill>
    </dxf>
    <dxf>
      <font>
        <color theme="0" tint="-0.499984740745262"/>
      </font>
    </dxf>
    <dxf>
      <font>
        <color rgb="FF9C0006"/>
      </font>
      <fill>
        <patternFill>
          <bgColor rgb="FFFFC7CE"/>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fill>
        <patternFill patternType="solid"/>
      </fill>
    </dxf>
    <dxf>
      <font>
        <color rgb="FFFF0000"/>
      </font>
    </dxf>
    <dxf>
      <font>
        <color theme="0" tint="-0.24994659260841701"/>
      </font>
      <fill>
        <patternFill patternType="solid"/>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00B050"/>
      </font>
    </dxf>
    <dxf>
      <font>
        <b/>
        <i val="0"/>
        <color theme="0"/>
      </font>
      <fill>
        <patternFill>
          <bgColor rgb="FFFF0000"/>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strike val="0"/>
        <color theme="0"/>
      </font>
      <fill>
        <patternFill>
          <bgColor rgb="FFFF0000"/>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fill>
        <patternFill patternType="solid"/>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fill>
        <patternFill patternType="solid"/>
      </fill>
    </dxf>
    <dxf>
      <font>
        <color theme="0" tint="-0.499984740745262"/>
      </font>
    </dxf>
    <dxf>
      <font>
        <color rgb="FFFF0000"/>
      </font>
    </dxf>
    <dxf>
      <font>
        <color rgb="FF9C0006"/>
      </font>
      <fill>
        <patternFill>
          <bgColor rgb="FFFFC7CE"/>
        </patternFill>
      </fill>
    </dxf>
    <dxf>
      <font>
        <color theme="0" tint="-0.24994659260841701"/>
      </font>
      <fill>
        <patternFill patternType="solid"/>
      </fill>
    </dxf>
    <dxf>
      <font>
        <color rgb="FFFF0000"/>
      </font>
    </dxf>
    <dxf>
      <font>
        <color theme="0" tint="-0.24994659260841701"/>
      </font>
    </dxf>
    <dxf>
      <font>
        <color rgb="FFFF0000"/>
      </font>
    </dxf>
    <dxf>
      <font>
        <color theme="0" tint="-0.24994659260841701"/>
      </font>
    </dxf>
    <dxf>
      <font>
        <color theme="0" tint="-0.499984740745262"/>
      </font>
    </dxf>
    <dxf>
      <font>
        <color rgb="FFFF0000"/>
      </font>
    </dxf>
    <dxf>
      <font>
        <color theme="0" tint="-0.24994659260841701"/>
      </font>
      <fill>
        <patternFill patternType="solid"/>
      </fill>
    </dxf>
    <dxf>
      <font>
        <color rgb="FFFF0000"/>
      </font>
    </dxf>
    <dxf>
      <font>
        <color theme="0" tint="-0.24994659260841701"/>
      </font>
    </dxf>
    <dxf>
      <font>
        <color rgb="FF9C0006"/>
      </font>
      <fill>
        <patternFill>
          <bgColor rgb="FFFFC7CE"/>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strike val="0"/>
        <color theme="0"/>
      </font>
      <fill>
        <patternFill>
          <bgColor rgb="FFFF0000"/>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b/>
        <i val="0"/>
        <color rgb="FFFF0000"/>
      </font>
      <fill>
        <patternFill>
          <bgColor rgb="FFFFFF0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fill>
        <patternFill patternType="solid"/>
      </fill>
    </dxf>
    <dxf>
      <font>
        <color theme="0" tint="-0.24994659260841701"/>
      </font>
      <fill>
        <patternFill patternType="solid"/>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fill>
        <patternFill patternType="solid"/>
      </fill>
    </dxf>
    <dxf>
      <font>
        <color rgb="FFFF0000"/>
      </font>
    </dxf>
    <dxf>
      <font>
        <color theme="0" tint="-0.24994659260841701"/>
      </font>
    </dxf>
    <dxf>
      <font>
        <color theme="0" tint="-0.24994659260841701"/>
      </font>
      <fill>
        <patternFill patternType="solid"/>
      </fill>
    </dxf>
    <dxf>
      <font>
        <color rgb="FFFF0000"/>
      </font>
    </dxf>
    <dxf>
      <font>
        <color theme="0" tint="-0.24994659260841701"/>
      </font>
    </dxf>
    <dxf>
      <font>
        <color rgb="FFFF0000"/>
      </font>
    </dxf>
    <dxf>
      <font>
        <color theme="0" tint="-0.24994659260841701"/>
      </font>
      <fill>
        <patternFill patternType="solid"/>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theme="0" tint="-0.24994659260841701"/>
      </font>
    </dxf>
    <dxf>
      <font>
        <color rgb="FFFF0000"/>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006100"/>
      </font>
      <fill>
        <patternFill patternType="none">
          <bgColor auto="1"/>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strike val="0"/>
        <color theme="0"/>
      </font>
      <fill>
        <patternFill>
          <bgColor rgb="FFFF0000"/>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fill>
        <patternFill patternType="solid"/>
      </fill>
    </dxf>
    <dxf>
      <font>
        <color theme="0" tint="-0.24994659260841701"/>
      </font>
      <fill>
        <patternFill patternType="solid"/>
      </fill>
    </dxf>
    <dxf>
      <font>
        <color rgb="FFFF0000"/>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006100"/>
      </font>
      <fill>
        <patternFill patternType="none">
          <bgColor auto="1"/>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strike val="0"/>
        <color theme="0"/>
      </font>
      <fill>
        <patternFill>
          <bgColor rgb="FFFF0000"/>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fill>
        <patternFill patternType="solid"/>
      </fill>
    </dxf>
    <dxf>
      <font>
        <color theme="0" tint="-0.24994659260841701"/>
      </font>
      <fill>
        <patternFill patternType="solid"/>
      </fill>
    </dxf>
    <dxf>
      <font>
        <color rgb="FFFF0000"/>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fill>
        <patternFill patternType="solid"/>
      </fill>
    </dxf>
    <dxf>
      <font>
        <color rgb="FFFF0000"/>
      </font>
    </dxf>
    <dxf>
      <font>
        <color theme="0" tint="-0.24994659260841701"/>
      </font>
    </dxf>
    <dxf>
      <font>
        <color theme="0" tint="-0.24994659260841701"/>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rgb="FFFF0000"/>
      </font>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rgb="FFFF0000"/>
      </font>
    </dxf>
    <dxf>
      <font>
        <color theme="0" tint="-0.24994659260841701"/>
      </font>
    </dxf>
    <dxf>
      <font>
        <color rgb="FFFF0000"/>
      </font>
    </dxf>
    <dxf>
      <font>
        <color rgb="FFFF0000"/>
      </font>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ill>
        <patternFill>
          <bgColor rgb="FF99FF99"/>
        </patternFill>
      </fill>
    </dxf>
    <dxf>
      <fill>
        <patternFill>
          <bgColor theme="9" tint="0.59996337778862885"/>
        </patternFill>
      </fill>
    </dxf>
    <dxf>
      <font>
        <color theme="0"/>
      </font>
      <fill>
        <patternFill>
          <bgColor rgb="FFFF0000"/>
        </patternFill>
      </fill>
    </dxf>
    <dxf>
      <font>
        <color rgb="FFFF0000"/>
      </font>
    </dxf>
    <dxf>
      <font>
        <color theme="0" tint="-0.24994659260841701"/>
      </font>
    </dxf>
    <dxf>
      <font>
        <color auto="1"/>
      </font>
      <fill>
        <patternFill>
          <bgColor rgb="FF99FF99"/>
        </patternFill>
      </fill>
    </dxf>
    <dxf>
      <font>
        <color theme="0"/>
      </font>
      <fill>
        <patternFill>
          <bgColor rgb="FFFF0000"/>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rgb="FFFF0000"/>
      </font>
    </dxf>
    <dxf>
      <font>
        <color theme="0" tint="-0.24994659260841701"/>
      </font>
    </dxf>
    <dxf>
      <font>
        <color rgb="FFFF0000"/>
      </font>
    </dxf>
    <dxf>
      <font>
        <color theme="0" tint="-0.24994659260841701"/>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theme="0" tint="-0.24994659260841701"/>
      </font>
    </dxf>
    <dxf>
      <font>
        <color theme="0" tint="-0.24994659260841701"/>
      </font>
      <fill>
        <patternFill patternType="solid"/>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FF0000"/>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rgb="FF9C0006"/>
      </font>
      <fill>
        <patternFill>
          <bgColor rgb="FFFFC7CE"/>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rgb="FFFF0000"/>
      </font>
    </dxf>
    <dxf>
      <font>
        <color rgb="FF9C0006"/>
      </font>
      <fill>
        <patternFill>
          <bgColor rgb="FFFFC7CE"/>
        </patternFill>
      </fill>
    </dxf>
    <dxf>
      <font>
        <color rgb="FF006100"/>
      </font>
      <fill>
        <patternFill patternType="none">
          <bgColor auto="1"/>
        </patternFill>
      </fill>
    </dxf>
    <dxf>
      <font>
        <color theme="0" tint="-0.24994659260841701"/>
      </font>
    </dxf>
    <dxf>
      <font>
        <color rgb="FFFF0000"/>
      </font>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rgb="FF006100"/>
      </font>
      <fill>
        <patternFill patternType="none">
          <bgColor auto="1"/>
        </patternFill>
      </fill>
    </dxf>
    <dxf>
      <font>
        <color theme="0" tint="-0.24994659260841701"/>
      </font>
    </dxf>
    <dxf>
      <font>
        <color rgb="FFFF0000"/>
      </font>
    </dxf>
    <dxf>
      <font>
        <color theme="0" tint="-0.24994659260841701"/>
      </font>
    </dxf>
    <dxf>
      <font>
        <color rgb="FF9C0006"/>
      </font>
      <fill>
        <patternFill>
          <bgColor rgb="FFFFC7CE"/>
        </patternFill>
      </fill>
    </dxf>
    <dxf>
      <font>
        <color rgb="FFFF0000"/>
      </font>
    </dxf>
    <dxf>
      <font>
        <color theme="0" tint="-0.24994659260841701"/>
      </font>
      <fill>
        <patternFill patternType="solid"/>
      </fill>
    </dxf>
    <dxf>
      <font>
        <color theme="0" tint="-0.24994659260841701"/>
      </font>
    </dxf>
    <dxf>
      <font>
        <color rgb="FFFF0000"/>
      </font>
    </dxf>
    <dxf>
      <fill>
        <patternFill>
          <bgColor rgb="FFFF0000"/>
        </patternFill>
      </fill>
    </dxf>
    <dxf>
      <fill>
        <patternFill>
          <bgColor theme="9" tint="0.59996337778862885"/>
        </patternFill>
      </fill>
    </dxf>
    <dxf>
      <fill>
        <patternFill>
          <bgColor theme="6" tint="0.59996337778862885"/>
        </patternFill>
      </fill>
    </dxf>
    <dxf>
      <font>
        <color auto="1"/>
      </font>
      <fill>
        <patternFill>
          <bgColor rgb="FF99FF99"/>
        </patternFill>
      </fill>
    </dxf>
    <dxf>
      <fill>
        <patternFill>
          <bgColor rgb="FF99FF99"/>
        </patternFill>
      </fill>
    </dxf>
    <dxf>
      <fill>
        <patternFill>
          <bgColor theme="9" tint="0.59996337778862885"/>
        </patternFill>
      </fill>
    </dxf>
    <dxf>
      <font>
        <color theme="0"/>
      </font>
      <fill>
        <patternFill>
          <bgColor rgb="FFFF0000"/>
        </patternFill>
      </fill>
    </dxf>
    <dxf>
      <font>
        <color rgb="FFFF0000"/>
      </font>
    </dxf>
    <dxf>
      <font>
        <color theme="0" tint="-0.24994659260841701"/>
      </font>
    </dxf>
    <dxf>
      <font>
        <color auto="1"/>
      </font>
      <fill>
        <patternFill>
          <bgColor rgb="FF99FF99"/>
        </patternFill>
      </fill>
    </dxf>
    <dxf>
      <font>
        <color theme="0"/>
      </font>
      <fill>
        <patternFill>
          <bgColor rgb="FFFF0000"/>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fill>
        <patternFill patternType="solid"/>
      </fill>
    </dxf>
    <dxf>
      <font>
        <color theme="0" tint="-0.24994659260841701"/>
      </font>
      <fill>
        <patternFill patternType="solid"/>
      </fill>
    </dxf>
    <dxf>
      <font>
        <strike val="0"/>
        <color auto="1"/>
      </font>
      <fill>
        <patternFill>
          <bgColor rgb="FFFF0000"/>
        </patternFill>
      </fill>
    </dxf>
    <dxf>
      <font>
        <strike val="0"/>
        <color auto="1"/>
      </font>
      <fill>
        <patternFill>
          <bgColor theme="6" tint="0.59996337778862885"/>
        </patternFill>
      </fill>
    </dxf>
    <dxf>
      <fill>
        <patternFill>
          <bgColor rgb="FF99FF99"/>
        </patternFill>
      </fill>
    </dxf>
    <dxf>
      <fill>
        <patternFill>
          <bgColor rgb="FFFFEFAB"/>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dxf>
    <dxf>
      <font>
        <color rgb="FFFF0000"/>
      </font>
    </dxf>
    <dxf>
      <font>
        <color theme="0" tint="-0.24994659260841701"/>
      </font>
    </dxf>
    <dxf>
      <font>
        <color rgb="FF9C0006"/>
      </font>
      <fill>
        <patternFill>
          <bgColor rgb="FFFFC7CE"/>
        </patternFill>
      </fill>
    </dxf>
    <dxf>
      <font>
        <color rgb="FFFF0000"/>
      </font>
    </dxf>
    <dxf>
      <font>
        <color theme="0" tint="-0.24994659260841701"/>
      </font>
      <fill>
        <patternFill patternType="solid"/>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theme="0" tint="-0.24994659260841701"/>
      </font>
      <fill>
        <patternFill patternType="solid"/>
      </fill>
    </dxf>
    <dxf>
      <font>
        <color rgb="FFFF0000"/>
      </font>
    </dxf>
    <dxf>
      <font>
        <color theme="0" tint="-0.24994659260841701"/>
      </font>
      <fill>
        <patternFill patternType="solid"/>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ill>
        <patternFill>
          <bgColor rgb="FF99FF99"/>
        </patternFill>
      </fill>
    </dxf>
    <dxf>
      <fill>
        <patternFill>
          <bgColor theme="6" tint="0.79998168889431442"/>
        </patternFill>
      </fill>
    </dxf>
    <dxf>
      <fill>
        <patternFill>
          <bgColor theme="9" tint="0.59996337778862885"/>
        </patternFill>
      </fill>
    </dxf>
    <dxf>
      <fill>
        <patternFill>
          <bgColor rgb="FFFF0000"/>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theme="0" tint="-0.24994659260841701"/>
      </font>
    </dxf>
    <dxf>
      <font>
        <color rgb="FFFF0000"/>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fill>
        <patternFill patternType="solid"/>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rgb="FFFF0000"/>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theme="0" tint="-0.24994659260841701"/>
      </font>
    </dxf>
    <dxf>
      <font>
        <color rgb="FFFF0000"/>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ill>
        <patternFill>
          <bgColor theme="5" tint="0.79998168889431442"/>
        </patternFill>
      </fill>
    </dxf>
    <dxf>
      <fill>
        <patternFill>
          <bgColor rgb="FFFF0000"/>
        </patternFill>
      </fill>
    </dxf>
    <dxf>
      <fill>
        <patternFill>
          <bgColor rgb="FFCCFFCC"/>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fill>
        <patternFill patternType="solid"/>
      </fill>
    </dxf>
    <dxf>
      <font>
        <color rgb="FFFF0000"/>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theme="0" tint="-0.24994659260841701"/>
      </font>
      <fill>
        <patternFill patternType="solid"/>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fill>
        <patternFill patternType="solid"/>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theme="0" tint="-0.499984740745262"/>
      </font>
    </dxf>
    <dxf>
      <font>
        <color rgb="FFFF0000"/>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rgb="FF006100"/>
      </font>
      <fill>
        <patternFill patternType="none">
          <bgColor auto="1"/>
        </patternFill>
      </fill>
    </dxf>
    <dxf>
      <font>
        <color rgb="FF9C0006"/>
      </font>
      <fill>
        <patternFill>
          <bgColor rgb="FFFFC7CE"/>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fill>
        <patternFill patternType="solid"/>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rgb="FF9C0006"/>
      </font>
      <fill>
        <patternFill>
          <bgColor rgb="FFFFC7CE"/>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fill>
        <patternFill patternType="solid"/>
      </fill>
    </dxf>
    <dxf>
      <font>
        <color rgb="FFC00000"/>
      </font>
    </dxf>
    <dxf>
      <font>
        <color theme="0" tint="-0.24994659260841701"/>
      </font>
    </dxf>
    <dxf>
      <font>
        <color rgb="FFFF0000"/>
      </font>
    </dxf>
    <dxf>
      <font>
        <color theme="0" tint="-0.24994659260841701"/>
      </font>
      <fill>
        <patternFill patternType="solid"/>
      </fill>
    </dxf>
    <dxf>
      <font>
        <color theme="0" tint="-0.24994659260841701"/>
      </font>
    </dxf>
    <dxf>
      <font>
        <color rgb="FFFF0000"/>
      </font>
    </dxf>
    <dxf>
      <font>
        <color theme="0" tint="-0.24994659260841701"/>
      </font>
      <fill>
        <patternFill patternType="solid"/>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strike val="0"/>
        <color theme="0"/>
      </font>
      <fill>
        <patternFill>
          <bgColor rgb="FFFF0000"/>
        </patternFill>
      </fill>
    </dxf>
    <dxf>
      <font>
        <color theme="0" tint="-0.24994659260841701"/>
      </font>
      <fill>
        <patternFill patternType="solid"/>
      </fill>
    </dxf>
    <dxf>
      <font>
        <color rgb="FFFF0000"/>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theme="0" tint="-0.24994659260841701"/>
      </font>
      <fill>
        <patternFill patternType="solid"/>
      </fill>
    </dxf>
    <dxf>
      <font>
        <color rgb="FFFF0000"/>
      </font>
    </dxf>
    <dxf>
      <font>
        <color theme="0" tint="-0.24994659260841701"/>
      </font>
    </dxf>
    <dxf>
      <font>
        <color theme="0" tint="-0.499984740745262"/>
      </font>
    </dxf>
    <dxf>
      <font>
        <color rgb="FFFF0000"/>
      </font>
    </dxf>
    <dxf>
      <font>
        <color rgb="FF9C0006"/>
      </font>
      <fill>
        <patternFill>
          <bgColor rgb="FFFFC7CE"/>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fill>
        <patternFill patternType="solid"/>
      </fill>
    </dxf>
    <dxf>
      <font>
        <color theme="0" tint="-0.499984740745262"/>
      </font>
    </dxf>
    <dxf>
      <font>
        <color rgb="FFFF0000"/>
      </font>
    </dxf>
    <dxf>
      <font>
        <color rgb="FF9C0006"/>
      </font>
      <fill>
        <patternFill>
          <bgColor rgb="FFFFC7CE"/>
        </patternFill>
      </fill>
    </dxf>
    <dxf>
      <font>
        <strike val="0"/>
        <color theme="0"/>
      </font>
      <fill>
        <patternFill>
          <bgColor rgb="FFFF0000"/>
        </patternFill>
      </fill>
    </dxf>
    <dxf>
      <font>
        <color rgb="FFFF0000"/>
      </font>
    </dxf>
    <dxf>
      <font>
        <color theme="0" tint="-0.24994659260841701"/>
      </font>
      <fill>
        <patternFill patternType="solid"/>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theme="0" tint="-0.24994659260841701"/>
      </font>
    </dxf>
    <dxf>
      <font>
        <color rgb="FFFF0000"/>
      </font>
    </dxf>
    <dxf>
      <font>
        <color rgb="FF9C0006"/>
      </font>
      <fill>
        <patternFill>
          <bgColor rgb="FFFFC7CE"/>
        </patternFill>
      </fill>
    </dxf>
    <dxf>
      <font>
        <color rgb="FF006100"/>
      </font>
      <fill>
        <patternFill patternType="none">
          <bgColor auto="1"/>
        </patternFill>
      </fill>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00B050"/>
      </font>
    </dxf>
    <dxf>
      <font>
        <b/>
        <i val="0"/>
        <color theme="0"/>
      </font>
      <fill>
        <patternFill>
          <bgColor rgb="FFFF0000"/>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strike val="0"/>
        <color theme="0"/>
      </font>
      <fill>
        <patternFill>
          <bgColor rgb="FFFF0000"/>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fill>
        <patternFill patternType="solid"/>
      </fill>
    </dxf>
    <dxf>
      <font>
        <color rgb="FF9C0006"/>
      </font>
      <fill>
        <patternFill>
          <bgColor rgb="FFFFC7CE"/>
        </patternFill>
      </fill>
    </dxf>
    <dxf>
      <font>
        <color rgb="FF006100"/>
      </font>
      <fill>
        <patternFill patternType="none">
          <bgColor auto="1"/>
        </patternFill>
      </fill>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fill>
        <patternFill patternType="solid"/>
      </fill>
    </dxf>
    <dxf>
      <font>
        <color theme="0" tint="-0.499984740745262"/>
      </font>
    </dxf>
    <dxf>
      <font>
        <color rgb="FFFF0000"/>
      </font>
    </dxf>
    <dxf>
      <font>
        <color rgb="FF9C0006"/>
      </font>
      <fill>
        <patternFill>
          <bgColor rgb="FFFFC7CE"/>
        </patternFill>
      </fill>
    </dxf>
    <dxf>
      <font>
        <color theme="0" tint="-0.24994659260841701"/>
      </font>
      <fill>
        <patternFill patternType="solid"/>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strike val="0"/>
        <color theme="0"/>
      </font>
      <fill>
        <patternFill>
          <bgColor rgb="FFFF0000"/>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fill>
        <patternFill patternType="solid"/>
      </fill>
    </dxf>
    <dxf>
      <font>
        <color theme="0" tint="-0.24994659260841701"/>
      </font>
      <fill>
        <patternFill patternType="solid"/>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9C0006"/>
      </font>
      <fill>
        <patternFill>
          <bgColor rgb="FFFFC7CE"/>
        </patternFill>
      </fill>
    </dxf>
    <dxf>
      <font>
        <color rgb="FF006100"/>
      </font>
      <fill>
        <patternFill patternType="none">
          <bgColor auto="1"/>
        </patternFill>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fill>
        <patternFill patternType="solid"/>
      </fill>
    </dxf>
    <dxf>
      <font>
        <color rgb="FFFF0000"/>
      </font>
    </dxf>
    <dxf>
      <font>
        <color theme="0" tint="-0.24994659260841701"/>
      </font>
    </dxf>
    <dxf>
      <font>
        <color theme="0" tint="-0.24994659260841701"/>
      </font>
      <fill>
        <patternFill patternType="solid"/>
      </fill>
    </dxf>
    <dxf>
      <font>
        <color rgb="FFFF0000"/>
      </font>
    </dxf>
    <dxf>
      <font>
        <color theme="0" tint="-0.24994659260841701"/>
      </font>
    </dxf>
    <dxf>
      <font>
        <color rgb="FFFF0000"/>
      </font>
    </dxf>
    <dxf>
      <font>
        <color theme="0" tint="-0.24994659260841701"/>
      </font>
    </dxf>
    <dxf>
      <font>
        <color rgb="FFFF0000"/>
      </font>
    </dxf>
    <dxf>
      <font>
        <color theme="0" tint="-0.24994659260841701"/>
      </font>
      <fill>
        <patternFill patternType="solid"/>
      </fill>
    </dxf>
    <dxf>
      <font>
        <color theme="0" tint="-0.24994659260841701"/>
      </font>
      <fill>
        <patternFill patternType="solid"/>
      </fill>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rgb="FFFF0000"/>
      </font>
    </dxf>
    <dxf>
      <font>
        <color theme="0" tint="-0.24994659260841701"/>
      </font>
    </dxf>
    <dxf>
      <font>
        <color rgb="FFFF0000"/>
      </font>
    </dxf>
    <dxf>
      <font>
        <color theme="0" tint="-0.24994659260841701"/>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theme="0" tint="-0.24994659260841701"/>
      </font>
    </dxf>
    <dxf>
      <font>
        <color rgb="FFFF0000"/>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theme="0" tint="-0.24994659260841701"/>
      </font>
    </dxf>
    <dxf>
      <font>
        <color rgb="FFFF0000"/>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
      <font>
        <color rgb="FFFF0000"/>
      </font>
    </dxf>
    <dxf>
      <font>
        <color theme="0" tint="-0.24994659260841701"/>
      </font>
    </dxf>
  </dxfs>
  <tableStyles count="0" defaultTableStyle="TableStyleMedium2" defaultPivotStyle="PivotStyleLight16"/>
  <colors>
    <mruColors>
      <color rgb="FFFFFF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externalLink" Target="externalLinks/externalLink8.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1.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6.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theme" Target="theme/theme1.xml"/><Relationship Id="rId30" Type="http://schemas.openxmlformats.org/officeDocument/2006/relationships/sheetMetadata" Target="metadata.xml"/><Relationship Id="rId35" Type="http://schemas.openxmlformats.org/officeDocument/2006/relationships/customXml" Target="../customXml/item4.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t>Project PNL &amp; EBIT%</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zh-CN"/>
        </a:p>
      </c:txPr>
    </c:title>
    <c:autoTitleDeleted val="0"/>
    <c:plotArea>
      <c:layout>
        <c:manualLayout>
          <c:layoutTarget val="inner"/>
          <c:xMode val="edge"/>
          <c:yMode val="edge"/>
          <c:x val="0.15261898512685915"/>
          <c:y val="0.11562393300020643"/>
          <c:w val="0.7210214348206474"/>
          <c:h val="0.63982161665794857"/>
        </c:manualLayout>
      </c:layout>
      <c:barChart>
        <c:barDir val="col"/>
        <c:grouping val="clustered"/>
        <c:varyColors val="0"/>
        <c:ser>
          <c:idx val="1"/>
          <c:order val="1"/>
          <c:tx>
            <c:strRef>
              <c:f>SFP254v1.5_CONSOLIDATION!$J$434</c:f>
              <c:strCache>
                <c:ptCount val="1"/>
                <c:pt idx="0">
                  <c:v> REVENUE - Parts only </c:v>
                </c:pt>
              </c:strCache>
            </c:strRef>
          </c:tx>
          <c:spPr>
            <a:solidFill>
              <a:schemeClr val="accent1">
                <a:lumMod val="75000"/>
              </a:schemeClr>
            </a:solidFill>
            <a:ln>
              <a:noFill/>
            </a:ln>
            <a:effectLst/>
          </c:spPr>
          <c:invertIfNegative val="0"/>
          <c:cat>
            <c:numRef>
              <c:f>SFP254v1.5_CONSOLIDATION!$N$433:$AC$433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SFP254v1.5_CONSOLIDATION!$N$434:$AC$434</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29FD-497F-B13B-241D37E38FC7}"/>
            </c:ext>
          </c:extLst>
        </c:ser>
        <c:ser>
          <c:idx val="2"/>
          <c:order val="2"/>
          <c:tx>
            <c:strRef>
              <c:f>SFP254v1.5_CONSOLIDATION!$J$435</c:f>
              <c:strCache>
                <c:ptCount val="1"/>
                <c:pt idx="0">
                  <c:v> EBITDA (Parts + Tooling) </c:v>
                </c:pt>
              </c:strCache>
            </c:strRef>
          </c:tx>
          <c:spPr>
            <a:solidFill>
              <a:srgbClr val="00B050"/>
            </a:solidFill>
            <a:ln>
              <a:noFill/>
            </a:ln>
            <a:effectLst/>
          </c:spPr>
          <c:invertIfNegative val="0"/>
          <c:cat>
            <c:numRef>
              <c:f>SFP254v1.5_CONSOLIDATION!$N$433:$AC$433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SFP254v1.5_CONSOLIDATION!$N$435:$AC$435</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29FD-497F-B13B-241D37E38FC7}"/>
            </c:ext>
          </c:extLst>
        </c:ser>
        <c:dLbls>
          <c:showLegendKey val="0"/>
          <c:showVal val="0"/>
          <c:showCatName val="0"/>
          <c:showSerName val="0"/>
          <c:showPercent val="0"/>
          <c:showBubbleSize val="0"/>
        </c:dLbls>
        <c:gapWidth val="219"/>
        <c:overlap val="-27"/>
        <c:axId val="641354559"/>
        <c:axId val="641353311"/>
        <c:extLst>
          <c:ext xmlns:c15="http://schemas.microsoft.com/office/drawing/2012/chart" uri="{02D57815-91ED-43cb-92C2-25804820EDAC}">
            <c15:filteredBarSeries>
              <c15:ser>
                <c:idx val="0"/>
                <c:order val="0"/>
                <c:tx>
                  <c:strRef>
                    <c:extLst>
                      <c:ext uri="{02D57815-91ED-43cb-92C2-25804820EDAC}">
                        <c15:formulaRef>
                          <c15:sqref>SFP254v1.5_CONSOLIDATION!$J$433</c15:sqref>
                        </c15:formulaRef>
                      </c:ext>
                    </c:extLst>
                    <c:strCache>
                      <c:ptCount val="1"/>
                      <c:pt idx="0">
                        <c:v>Project PNL (USD)</c:v>
                      </c:pt>
                    </c:strCache>
                  </c:strRef>
                </c:tx>
                <c:spPr>
                  <a:solidFill>
                    <a:schemeClr val="accent1"/>
                  </a:solidFill>
                  <a:ln>
                    <a:noFill/>
                  </a:ln>
                  <a:effectLst/>
                </c:spPr>
                <c:invertIfNegative val="0"/>
                <c:cat>
                  <c:numRef>
                    <c:extLst>
                      <c:ext uri="{02D57815-91ED-43cb-92C2-25804820EDAC}">
                        <c15:formulaRef>
                          <c15:sqref>SFP254v1.5_CONSOLIDATION!$N$433:$AC$433</c15:sqref>
                        </c15:formulaRef>
                      </c:ext>
                    </c:extLst>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extLst>
                      <c:ext uri="{02D57815-91ED-43cb-92C2-25804820EDAC}">
                        <c15:formulaRef>
                          <c15:sqref>SFP254v1.5_CONSOLIDATION!$N$433:$AC$433</c15:sqref>
                        </c15:formulaRef>
                      </c:ext>
                    </c:extLst>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val>
                <c:extLst>
                  <c:ext xmlns:c16="http://schemas.microsoft.com/office/drawing/2014/chart" uri="{C3380CC4-5D6E-409C-BE32-E72D297353CC}">
                    <c16:uniqueId val="{00000000-29FD-497F-B13B-241D37E38FC7}"/>
                  </c:ext>
                </c:extLst>
              </c15:ser>
            </c15:filteredBarSeries>
          </c:ext>
        </c:extLst>
      </c:barChart>
      <c:lineChart>
        <c:grouping val="standard"/>
        <c:varyColors val="0"/>
        <c:ser>
          <c:idx val="3"/>
          <c:order val="3"/>
          <c:tx>
            <c:strRef>
              <c:f>SFP254v1.5_CONSOLIDATION!$J$436</c:f>
              <c:strCache>
                <c:ptCount val="1"/>
                <c:pt idx="0">
                  <c:v> EBITDA% of total revenue (Parts + Tooling) </c:v>
                </c:pt>
              </c:strCache>
            </c:strRef>
          </c:tx>
          <c:spPr>
            <a:ln w="28575" cap="rnd">
              <a:solidFill>
                <a:srgbClr val="FFC000"/>
              </a:solidFill>
              <a:round/>
            </a:ln>
            <a:effectLst/>
          </c:spPr>
          <c:marker>
            <c:symbol val="none"/>
          </c:marker>
          <c:val>
            <c:numRef>
              <c:f>SFP254v1.5_CONSOLIDATION!$N$436:$AC$436</c:f>
              <c:numCache>
                <c:formatCode>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3-29FD-497F-B13B-241D37E38FC7}"/>
            </c:ext>
          </c:extLst>
        </c:ser>
        <c:ser>
          <c:idx val="4"/>
          <c:order val="4"/>
          <c:tx>
            <c:strRef>
              <c:f>SFP254v1.5_CONSOLIDATION!$J$437</c:f>
              <c:strCache>
                <c:ptCount val="1"/>
                <c:pt idx="0">
                  <c:v> EBIT% of total revenue (Parts + Tooling) </c:v>
                </c:pt>
              </c:strCache>
            </c:strRef>
          </c:tx>
          <c:spPr>
            <a:ln w="28575" cap="rnd">
              <a:solidFill>
                <a:sysClr val="windowText" lastClr="00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SFP254v1.5_CONSOLIDATION!$N$437:$AC$437</c:f>
              <c:numCache>
                <c:formatCode>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4-29FD-497F-B13B-241D37E38FC7}"/>
            </c:ext>
          </c:extLst>
        </c:ser>
        <c:dLbls>
          <c:showLegendKey val="0"/>
          <c:showVal val="0"/>
          <c:showCatName val="0"/>
          <c:showSerName val="0"/>
          <c:showPercent val="0"/>
          <c:showBubbleSize val="0"/>
        </c:dLbls>
        <c:marker val="1"/>
        <c:smooth val="0"/>
        <c:axId val="641342911"/>
        <c:axId val="641357471"/>
      </c:lineChart>
      <c:catAx>
        <c:axId val="64135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crossAx val="641353311"/>
        <c:crosses val="autoZero"/>
        <c:auto val="1"/>
        <c:lblAlgn val="ctr"/>
        <c:lblOffset val="100"/>
        <c:noMultiLvlLbl val="0"/>
      </c:catAx>
      <c:valAx>
        <c:axId val="641353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 Revenue &amp; EBITDA</a:t>
                </a:r>
              </a:p>
            </c:rich>
          </c:tx>
          <c:layout>
            <c:manualLayout>
              <c:xMode val="edge"/>
              <c:yMode val="edge"/>
              <c:x val="1.2583260425780111E-2"/>
              <c:y val="0.3817752569206634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zh-CN"/>
            </a:p>
          </c:txPr>
        </c:title>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crossAx val="641354559"/>
        <c:crosses val="autoZero"/>
        <c:crossBetween val="between"/>
      </c:valAx>
      <c:valAx>
        <c:axId val="641357471"/>
        <c:scaling>
          <c:orientation val="minMax"/>
        </c:scaling>
        <c:delete val="0"/>
        <c:axPos val="r"/>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 Total Revenue</a:t>
                </a:r>
              </a:p>
            </c:rich>
          </c:tx>
          <c:layout>
            <c:manualLayout>
              <c:xMode val="edge"/>
              <c:yMode val="edge"/>
              <c:x val="0.94814814814814818"/>
              <c:y val="0.3207603580136394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zh-CN"/>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crossAx val="641342911"/>
        <c:crosses val="max"/>
        <c:crossBetween val="between"/>
      </c:valAx>
      <c:catAx>
        <c:axId val="641342911"/>
        <c:scaling>
          <c:orientation val="minMax"/>
        </c:scaling>
        <c:delete val="1"/>
        <c:axPos val="b"/>
        <c:majorTickMark val="out"/>
        <c:minorTickMark val="none"/>
        <c:tickLblPos val="nextTo"/>
        <c:crossAx val="641357471"/>
        <c:crosses val="autoZero"/>
        <c:auto val="1"/>
        <c:lblAlgn val="ctr"/>
        <c:lblOffset val="100"/>
        <c:noMultiLvlLbl val="0"/>
      </c:catAx>
      <c:spPr>
        <a:noFill/>
        <a:ln>
          <a:noFill/>
        </a:ln>
        <a:effectLst/>
      </c:spPr>
    </c:plotArea>
    <c:legend>
      <c:legendPos val="b"/>
      <c:layout>
        <c:manualLayout>
          <c:xMode val="edge"/>
          <c:yMode val="edge"/>
          <c:x val="0"/>
          <c:y val="0.84335050024264069"/>
          <c:w val="0.9684451566721084"/>
          <c:h val="0.11186269352660813"/>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t>Project Cash Flows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zh-CN"/>
        </a:p>
      </c:txPr>
    </c:title>
    <c:autoTitleDeleted val="0"/>
    <c:plotArea>
      <c:layout>
        <c:manualLayout>
          <c:layoutTarget val="inner"/>
          <c:xMode val="edge"/>
          <c:yMode val="edge"/>
          <c:x val="0.16093230300736547"/>
          <c:y val="0.11534307268913128"/>
          <c:w val="0.81649201350856504"/>
          <c:h val="0.6848505194739366"/>
        </c:manualLayout>
      </c:layout>
      <c:barChart>
        <c:barDir val="col"/>
        <c:grouping val="clustered"/>
        <c:varyColors val="0"/>
        <c:ser>
          <c:idx val="0"/>
          <c:order val="0"/>
          <c:tx>
            <c:strRef>
              <c:f>SFP254v1.5_CONSOLIDATION!$J$440</c:f>
              <c:strCache>
                <c:ptCount val="1"/>
                <c:pt idx="0">
                  <c:v> Operating Cash Flow </c:v>
                </c:pt>
              </c:strCache>
            </c:strRef>
          </c:tx>
          <c:spPr>
            <a:solidFill>
              <a:schemeClr val="accent1">
                <a:lumMod val="75000"/>
              </a:schemeClr>
            </a:solidFill>
            <a:ln>
              <a:noFill/>
            </a:ln>
            <a:effectLst/>
          </c:spPr>
          <c:invertIfNegative val="0"/>
          <c:cat>
            <c:numRef>
              <c:f>SFP254v1.5_CONSOLIDATION!$N$433:$AC$433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SFP254v1.5_CONSOLIDATION!$N$440:$AC$440</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FF05-4F86-B0DB-7922BC7283A8}"/>
            </c:ext>
          </c:extLst>
        </c:ser>
        <c:ser>
          <c:idx val="1"/>
          <c:order val="1"/>
          <c:tx>
            <c:strRef>
              <c:f>SFP254v1.5_CONSOLIDATION!$J$441</c:f>
              <c:strCache>
                <c:ptCount val="1"/>
                <c:pt idx="0">
                  <c:v> Investing Cash Flow </c:v>
                </c:pt>
              </c:strCache>
            </c:strRef>
          </c:tx>
          <c:spPr>
            <a:solidFill>
              <a:srgbClr val="C00000"/>
            </a:solidFill>
            <a:ln>
              <a:noFill/>
            </a:ln>
            <a:effectLst/>
          </c:spPr>
          <c:invertIfNegative val="0"/>
          <c:cat>
            <c:numRef>
              <c:f>SFP254v1.5_CONSOLIDATION!$N$433:$AC$433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SFP254v1.5_CONSOLIDATION!$N$441:$AC$441</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FF05-4F86-B0DB-7922BC7283A8}"/>
            </c:ext>
          </c:extLst>
        </c:ser>
        <c:ser>
          <c:idx val="2"/>
          <c:order val="2"/>
          <c:tx>
            <c:strRef>
              <c:f>SFP254v1.5_CONSOLIDATION!$J$442</c:f>
              <c:strCache>
                <c:ptCount val="1"/>
                <c:pt idx="0">
                  <c:v> Financing Cash Flow </c:v>
                </c:pt>
              </c:strCache>
            </c:strRef>
          </c:tx>
          <c:spPr>
            <a:solidFill>
              <a:srgbClr val="00B050"/>
            </a:solidFill>
            <a:ln>
              <a:noFill/>
            </a:ln>
            <a:effectLst/>
          </c:spPr>
          <c:invertIfNegative val="0"/>
          <c:cat>
            <c:numRef>
              <c:f>SFP254v1.5_CONSOLIDATION!$N$433:$AC$433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SFP254v1.5_CONSOLIDATION!$N$442:$AC$442</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FF05-4F86-B0DB-7922BC7283A8}"/>
            </c:ext>
          </c:extLst>
        </c:ser>
        <c:dLbls>
          <c:showLegendKey val="0"/>
          <c:showVal val="0"/>
          <c:showCatName val="0"/>
          <c:showSerName val="0"/>
          <c:showPercent val="0"/>
          <c:showBubbleSize val="0"/>
        </c:dLbls>
        <c:gapWidth val="219"/>
        <c:axId val="126332799"/>
        <c:axId val="126343199"/>
      </c:barChart>
      <c:lineChart>
        <c:grouping val="standard"/>
        <c:varyColors val="0"/>
        <c:ser>
          <c:idx val="3"/>
          <c:order val="3"/>
          <c:tx>
            <c:strRef>
              <c:f>SFP254v1.5_CONSOLIDATION!$J$443</c:f>
              <c:strCache>
                <c:ptCount val="1"/>
                <c:pt idx="0">
                  <c:v> Cumulative CF Ops+Investmt (Nominal) </c:v>
                </c:pt>
              </c:strCache>
            </c:strRef>
          </c:tx>
          <c:spPr>
            <a:ln w="28575" cap="rnd">
              <a:solidFill>
                <a:sysClr val="windowText" lastClr="000000"/>
              </a:solidFill>
              <a:round/>
            </a:ln>
            <a:effectLst/>
          </c:spPr>
          <c:marker>
            <c:symbol val="none"/>
          </c:marker>
          <c:val>
            <c:numRef>
              <c:f>SFP254v1.5_CONSOLIDATION!$N$443:$AC$443</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3-FF05-4F86-B0DB-7922BC7283A8}"/>
            </c:ext>
          </c:extLst>
        </c:ser>
        <c:ser>
          <c:idx val="4"/>
          <c:order val="4"/>
          <c:tx>
            <c:strRef>
              <c:f>SFP254v1.5_CONSOLIDATION!$J$444</c:f>
              <c:strCache>
                <c:ptCount val="1"/>
                <c:pt idx="0">
                  <c:v> Cumulative CF Ops+Investmt (Present Value) </c:v>
                </c:pt>
              </c:strCache>
            </c:strRef>
          </c:tx>
          <c:spPr>
            <a:ln w="28575" cap="rnd">
              <a:solidFill>
                <a:srgbClr val="FFC000"/>
              </a:solidFill>
              <a:round/>
            </a:ln>
            <a:effectLst/>
          </c:spPr>
          <c:marker>
            <c:symbol val="none"/>
          </c:marker>
          <c:val>
            <c:numRef>
              <c:f>SFP254v1.5_CONSOLIDATION!$N$444:$AC$444</c:f>
              <c:numCache>
                <c:formatCode>#,##0_ ;[Red]\-#,##0\ </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5-FF05-4F86-B0DB-7922BC7283A8}"/>
            </c:ext>
          </c:extLst>
        </c:ser>
        <c:dLbls>
          <c:showLegendKey val="0"/>
          <c:showVal val="0"/>
          <c:showCatName val="0"/>
          <c:showSerName val="0"/>
          <c:showPercent val="0"/>
          <c:showBubbleSize val="0"/>
        </c:dLbls>
        <c:marker val="1"/>
        <c:smooth val="0"/>
        <c:axId val="126332799"/>
        <c:axId val="126343199"/>
      </c:lineChart>
      <c:catAx>
        <c:axId val="12633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crossAx val="126343199"/>
        <c:crosses val="autoZero"/>
        <c:auto val="1"/>
        <c:lblAlgn val="ctr"/>
        <c:lblOffset val="100"/>
        <c:noMultiLvlLbl val="0"/>
      </c:catAx>
      <c:valAx>
        <c:axId val="126343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 Cash Flow</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zh-CN"/>
            </a:p>
          </c:txPr>
        </c:title>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crossAx val="126332799"/>
        <c:crosses val="autoZero"/>
        <c:crossBetween val="between"/>
      </c:valAx>
      <c:spPr>
        <a:noFill/>
        <a:ln>
          <a:noFill/>
        </a:ln>
        <a:effectLst/>
      </c:spPr>
    </c:plotArea>
    <c:legend>
      <c:legendPos val="b"/>
      <c:layout>
        <c:manualLayout>
          <c:xMode val="edge"/>
          <c:yMode val="edge"/>
          <c:x val="4.5744928066471076E-2"/>
          <c:y val="0.82818193549556152"/>
          <c:w val="0.93108582735112733"/>
          <c:h val="0.15315916894944295"/>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t>Project Working Capital Components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zh-CN"/>
        </a:p>
      </c:txPr>
    </c:title>
    <c:autoTitleDeleted val="0"/>
    <c:plotArea>
      <c:layout>
        <c:manualLayout>
          <c:layoutTarget val="inner"/>
          <c:xMode val="edge"/>
          <c:yMode val="edge"/>
          <c:x val="0.15680698286764758"/>
          <c:y val="0.11537666429729289"/>
          <c:w val="0.82125061335065686"/>
          <c:h val="0.62643197292741437"/>
        </c:manualLayout>
      </c:layout>
      <c:barChart>
        <c:barDir val="col"/>
        <c:grouping val="stacked"/>
        <c:varyColors val="0"/>
        <c:ser>
          <c:idx val="0"/>
          <c:order val="0"/>
          <c:tx>
            <c:strRef>
              <c:f>SFP254v1.5_CONSOLIDATION!$J$447:$K$447</c:f>
              <c:strCache>
                <c:ptCount val="2"/>
                <c:pt idx="0">
                  <c:v> Accounts Receivable </c:v>
                </c:pt>
              </c:strCache>
            </c:strRef>
          </c:tx>
          <c:spPr>
            <a:solidFill>
              <a:schemeClr val="accent1">
                <a:lumMod val="75000"/>
              </a:schemeClr>
            </a:solidFill>
            <a:ln>
              <a:noFill/>
            </a:ln>
            <a:effectLst/>
          </c:spPr>
          <c:invertIfNegative val="0"/>
          <c:cat>
            <c:numRef>
              <c:f>SFP254v1.5_CONSOLIDATION!$N$433:$AC$433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SFP254v1.5_CONSOLIDATION!$N$447:$AC$447</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1C0F-4262-B34D-AA7D1AF2AFF7}"/>
            </c:ext>
          </c:extLst>
        </c:ser>
        <c:ser>
          <c:idx val="1"/>
          <c:order val="1"/>
          <c:tx>
            <c:strRef>
              <c:f>SFP254v1.5_CONSOLIDATION!$J$448:$K$448</c:f>
              <c:strCache>
                <c:ptCount val="2"/>
                <c:pt idx="0">
                  <c:v> Total Inventory  </c:v>
                </c:pt>
              </c:strCache>
            </c:strRef>
          </c:tx>
          <c:spPr>
            <a:solidFill>
              <a:srgbClr val="00B050"/>
            </a:solidFill>
            <a:ln>
              <a:noFill/>
            </a:ln>
            <a:effectLst/>
          </c:spPr>
          <c:invertIfNegative val="0"/>
          <c:cat>
            <c:numRef>
              <c:f>SFP254v1.5_CONSOLIDATION!$N$433:$AC$433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SFP254v1.5_CONSOLIDATION!$N$448:$AC$448</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1C0F-4262-B34D-AA7D1AF2AFF7}"/>
            </c:ext>
          </c:extLst>
        </c:ser>
        <c:ser>
          <c:idx val="2"/>
          <c:order val="2"/>
          <c:tx>
            <c:strRef>
              <c:f>SFP254v1.5_CONSOLIDATION!$J$449:$K$449</c:f>
              <c:strCache>
                <c:ptCount val="2"/>
                <c:pt idx="0">
                  <c:v> Accounts Payable </c:v>
                </c:pt>
              </c:strCache>
            </c:strRef>
          </c:tx>
          <c:spPr>
            <a:solidFill>
              <a:schemeClr val="accent2">
                <a:lumMod val="60000"/>
                <a:lumOff val="40000"/>
              </a:schemeClr>
            </a:solidFill>
            <a:ln>
              <a:noFill/>
            </a:ln>
            <a:effectLst/>
          </c:spPr>
          <c:invertIfNegative val="0"/>
          <c:cat>
            <c:numRef>
              <c:f>SFP254v1.5_CONSOLIDATION!$N$433:$AC$433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SFP254v1.5_CONSOLIDATION!$N$449:$AC$449</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1C0F-4262-B34D-AA7D1AF2AFF7}"/>
            </c:ext>
          </c:extLst>
        </c:ser>
        <c:ser>
          <c:idx val="3"/>
          <c:order val="3"/>
          <c:tx>
            <c:strRef>
              <c:f>SFP254v1.5_CONSOLIDATION!$J$450:$K$450</c:f>
              <c:strCache>
                <c:ptCount val="2"/>
                <c:pt idx="0">
                  <c:v> Customer Toolings Recoverable </c:v>
                </c:pt>
              </c:strCache>
            </c:strRef>
          </c:tx>
          <c:spPr>
            <a:solidFill>
              <a:schemeClr val="accent4"/>
            </a:solidFill>
            <a:ln>
              <a:noFill/>
            </a:ln>
            <a:effectLst/>
          </c:spPr>
          <c:invertIfNegative val="0"/>
          <c:cat>
            <c:numRef>
              <c:f>SFP254v1.5_CONSOLIDATION!$N$433:$AC$433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SFP254v1.5_CONSOLIDATION!$N$450:$AC$450</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1C0F-4262-B34D-AA7D1AF2AFF7}"/>
            </c:ext>
          </c:extLst>
        </c:ser>
        <c:ser>
          <c:idx val="4"/>
          <c:order val="4"/>
          <c:tx>
            <c:strRef>
              <c:f>SFP254v1.5_CONSOLIDATION!$J$451:$K$451</c:f>
              <c:strCache>
                <c:ptCount val="2"/>
                <c:pt idx="0">
                  <c:v> Other Assets/Payables (net, $) </c:v>
                </c:pt>
              </c:strCache>
            </c:strRef>
          </c:tx>
          <c:spPr>
            <a:solidFill>
              <a:schemeClr val="accent5"/>
            </a:solidFill>
            <a:ln>
              <a:noFill/>
            </a:ln>
            <a:effectLst/>
          </c:spPr>
          <c:invertIfNegative val="0"/>
          <c:cat>
            <c:numRef>
              <c:f>SFP254v1.5_CONSOLIDATION!$N$433:$AC$433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SFP254v1.5_CONSOLIDATION!$N$451:$AC$451</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1C0F-4262-B34D-AA7D1AF2AFF7}"/>
            </c:ext>
          </c:extLst>
        </c:ser>
        <c:ser>
          <c:idx val="5"/>
          <c:order val="5"/>
          <c:tx>
            <c:strRef>
              <c:f>SFP254v1.5_CONSOLIDATION!$J$452:$K$452</c:f>
              <c:strCache>
                <c:ptCount val="2"/>
                <c:pt idx="0">
                  <c:v> Unamortized Balance Tool/Auto Co-Invest </c:v>
                </c:pt>
              </c:strCache>
            </c:strRef>
          </c:tx>
          <c:spPr>
            <a:solidFill>
              <a:srgbClr val="FF0000"/>
            </a:solidFill>
            <a:ln>
              <a:noFill/>
            </a:ln>
            <a:effectLst/>
          </c:spPr>
          <c:invertIfNegative val="0"/>
          <c:cat>
            <c:numRef>
              <c:f>SFP254v1.5_CONSOLIDATION!$N$433:$AC$433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SFP254v1.5_CONSOLIDATION!$N$452:$AC$452</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5-1C0F-4262-B34D-AA7D1AF2AFF7}"/>
            </c:ext>
          </c:extLst>
        </c:ser>
        <c:dLbls>
          <c:showLegendKey val="0"/>
          <c:showVal val="0"/>
          <c:showCatName val="0"/>
          <c:showSerName val="0"/>
          <c:showPercent val="0"/>
          <c:showBubbleSize val="0"/>
        </c:dLbls>
        <c:gapWidth val="219"/>
        <c:overlap val="100"/>
        <c:axId val="384083872"/>
        <c:axId val="384075136"/>
      </c:barChart>
      <c:lineChart>
        <c:grouping val="standard"/>
        <c:varyColors val="0"/>
        <c:ser>
          <c:idx val="6"/>
          <c:order val="6"/>
          <c:tx>
            <c:strRef>
              <c:f>SFP254v1.5_CONSOLIDATION!$J$453:$K$453</c:f>
              <c:strCache>
                <c:ptCount val="2"/>
                <c:pt idx="0">
                  <c:v> Net Working Capital (Year-end balance) </c:v>
                </c:pt>
              </c:strCache>
            </c:strRef>
          </c:tx>
          <c:spPr>
            <a:ln w="28575" cap="rnd">
              <a:solidFill>
                <a:schemeClr val="tx1"/>
              </a:solidFill>
              <a:round/>
            </a:ln>
            <a:effectLst/>
          </c:spPr>
          <c:marker>
            <c:symbol val="none"/>
          </c:marker>
          <c:cat>
            <c:numRef>
              <c:f>SFP254v1.5_CONSOLIDATION!$N$433:$AC$433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SFP254v1.5_CONSOLIDATION!$N$453:$AC$453</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8-1C0F-4262-B34D-AA7D1AF2AFF7}"/>
            </c:ext>
          </c:extLst>
        </c:ser>
        <c:dLbls>
          <c:showLegendKey val="0"/>
          <c:showVal val="0"/>
          <c:showCatName val="0"/>
          <c:showSerName val="0"/>
          <c:showPercent val="0"/>
          <c:showBubbleSize val="0"/>
        </c:dLbls>
        <c:marker val="1"/>
        <c:smooth val="0"/>
        <c:axId val="384083872"/>
        <c:axId val="384075136"/>
      </c:lineChart>
      <c:catAx>
        <c:axId val="38408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crossAx val="384075136"/>
        <c:crosses val="autoZero"/>
        <c:auto val="1"/>
        <c:lblAlgn val="ctr"/>
        <c:lblOffset val="100"/>
        <c:noMultiLvlLbl val="0"/>
      </c:catAx>
      <c:valAx>
        <c:axId val="384075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 Working Capital</a:t>
                </a:r>
              </a:p>
            </c:rich>
          </c:tx>
          <c:layout>
            <c:manualLayout>
              <c:xMode val="edge"/>
              <c:yMode val="edge"/>
              <c:x val="3.5805228103617153E-3"/>
              <c:y val="0.3070412040795031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zh-CN"/>
            </a:p>
          </c:txPr>
        </c:title>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crossAx val="384083872"/>
        <c:crosses val="autoZero"/>
        <c:crossBetween val="between"/>
      </c:valAx>
      <c:spPr>
        <a:noFill/>
        <a:ln>
          <a:noFill/>
        </a:ln>
        <a:effectLst/>
      </c:spPr>
    </c:plotArea>
    <c:legend>
      <c:legendPos val="b"/>
      <c:layout>
        <c:manualLayout>
          <c:xMode val="edge"/>
          <c:yMode val="edge"/>
          <c:x val="0.13050893683388426"/>
          <c:y val="0.7760265465271422"/>
          <c:w val="0.82703482498400904"/>
          <c:h val="0.20530909550503176"/>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t>Project PNL &amp; EBIT%</a:t>
            </a:r>
          </a:p>
        </c:rich>
      </c:tx>
      <c:layout>
        <c:manualLayout>
          <c:xMode val="edge"/>
          <c:yMode val="edge"/>
          <c:x val="0.43029723202763914"/>
          <c:y val="1.86752255731970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zh-CN"/>
        </a:p>
      </c:txPr>
    </c:title>
    <c:autoTitleDeleted val="0"/>
    <c:plotArea>
      <c:layout>
        <c:manualLayout>
          <c:layoutTarget val="inner"/>
          <c:xMode val="edge"/>
          <c:yMode val="edge"/>
          <c:x val="0.15261898512685915"/>
          <c:y val="0.11562393300020643"/>
          <c:w val="0.7210214348206474"/>
          <c:h val="0.63982161665794857"/>
        </c:manualLayout>
      </c:layout>
      <c:barChart>
        <c:barDir val="col"/>
        <c:grouping val="clustered"/>
        <c:varyColors val="0"/>
        <c:ser>
          <c:idx val="0"/>
          <c:order val="0"/>
          <c:tx>
            <c:strRef>
              <c:f>'SFP254v1.5_CER (Prog1)'!$J$434</c:f>
              <c:strCache>
                <c:ptCount val="1"/>
                <c:pt idx="0">
                  <c:v> REVENUE - Parts only </c:v>
                </c:pt>
              </c:strCache>
            </c:strRef>
          </c:tx>
          <c:spPr>
            <a:solidFill>
              <a:schemeClr val="accent1">
                <a:lumMod val="75000"/>
              </a:schemeClr>
            </a:solidFill>
            <a:ln>
              <a:noFill/>
            </a:ln>
            <a:effectLst/>
          </c:spPr>
          <c:invertIfNegative val="0"/>
          <c:cat>
            <c:numRef>
              <c:f>'SFP254v1.5_CER (Prog1)'!$N$433:$AB$433</c:f>
              <c:numCache>
                <c:formatCode>General</c:formatCode>
                <c:ptCount val="15"/>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numCache>
            </c:numRef>
          </c:cat>
          <c:val>
            <c:numRef>
              <c:f>'SFP254v1.5_CER (Prog1)'!$N$434:$AC$434</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5="http://schemas.microsoft.com/office/drawing/2012/chart">
            <c:ext xmlns:c16="http://schemas.microsoft.com/office/drawing/2014/chart" uri="{C3380CC4-5D6E-409C-BE32-E72D297353CC}">
              <c16:uniqueId val="{00000004-2088-44F8-A0C1-2688B9F4A4FF}"/>
            </c:ext>
          </c:extLst>
        </c:ser>
        <c:ser>
          <c:idx val="1"/>
          <c:order val="1"/>
          <c:tx>
            <c:strRef>
              <c:f>'SFP254v1.5_CER (Prog1)'!$J$435</c:f>
              <c:strCache>
                <c:ptCount val="1"/>
                <c:pt idx="0">
                  <c:v> EBITDA (Parts + Tooling) </c:v>
                </c:pt>
              </c:strCache>
            </c:strRef>
          </c:tx>
          <c:spPr>
            <a:solidFill>
              <a:srgbClr val="00B050"/>
            </a:solidFill>
            <a:ln>
              <a:noFill/>
            </a:ln>
            <a:effectLst/>
          </c:spPr>
          <c:invertIfNegative val="0"/>
          <c:cat>
            <c:numRef>
              <c:f>'SFP254v1.5_CER (Prog1)'!$N$433:$AB$433</c:f>
              <c:numCache>
                <c:formatCode>General</c:formatCode>
                <c:ptCount val="15"/>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numCache>
            </c:numRef>
          </c:cat>
          <c:val>
            <c:numRef>
              <c:f>'SFP254v1.5_CER (Prog1)'!$N$435:$AC$435</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5-2088-44F8-A0C1-2688B9F4A4FF}"/>
            </c:ext>
          </c:extLst>
        </c:ser>
        <c:dLbls>
          <c:showLegendKey val="0"/>
          <c:showVal val="0"/>
          <c:showCatName val="0"/>
          <c:showSerName val="0"/>
          <c:showPercent val="0"/>
          <c:showBubbleSize val="0"/>
        </c:dLbls>
        <c:gapWidth val="219"/>
        <c:axId val="641354559"/>
        <c:axId val="641353311"/>
        <c:extLst/>
      </c:barChart>
      <c:lineChart>
        <c:grouping val="standard"/>
        <c:varyColors val="0"/>
        <c:ser>
          <c:idx val="2"/>
          <c:order val="2"/>
          <c:tx>
            <c:strRef>
              <c:f>'SFP254v1.5_CER (Prog1)'!$J$436</c:f>
              <c:strCache>
                <c:ptCount val="1"/>
                <c:pt idx="0">
                  <c:v> EBITDA% of total revenue (Parts + Tooling) </c:v>
                </c:pt>
              </c:strCache>
            </c:strRef>
          </c:tx>
          <c:spPr>
            <a:ln w="28575" cap="rnd">
              <a:solidFill>
                <a:srgbClr val="FFC000"/>
              </a:solidFill>
              <a:round/>
            </a:ln>
            <a:effectLst/>
          </c:spPr>
          <c:marker>
            <c:symbol val="none"/>
          </c:marker>
          <c:cat>
            <c:numRef>
              <c:f>'SFP254v1.5_CER (Prog1)'!$N$433:$AB$433</c:f>
              <c:numCache>
                <c:formatCode>General</c:formatCode>
                <c:ptCount val="15"/>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numCache>
            </c:numRef>
          </c:cat>
          <c:val>
            <c:numRef>
              <c:f>'SFP254v1.5_CER (Prog1)'!$N$436:$AC$436</c:f>
              <c:numCache>
                <c:formatCode>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6-2088-44F8-A0C1-2688B9F4A4FF}"/>
            </c:ext>
          </c:extLst>
        </c:ser>
        <c:ser>
          <c:idx val="3"/>
          <c:order val="3"/>
          <c:tx>
            <c:strRef>
              <c:f>'SFP254v1.5_CER (Prog1)'!$J$437</c:f>
              <c:strCache>
                <c:ptCount val="1"/>
                <c:pt idx="0">
                  <c:v> EBIT% of total revenue (Parts + Tooling) </c:v>
                </c:pt>
              </c:strCache>
            </c:strRef>
          </c:tx>
          <c:spPr>
            <a:ln w="28575" cap="rnd">
              <a:solidFill>
                <a:sysClr val="windowText" lastClr="00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'SFP254v1.5_CER (Prog1)'!$N$433:$AB$433</c:f>
              <c:numCache>
                <c:formatCode>General</c:formatCode>
                <c:ptCount val="15"/>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numCache>
            </c:numRef>
          </c:cat>
          <c:val>
            <c:numRef>
              <c:f>'SFP254v1.5_CER (Prog1)'!$N$437:$AC$437</c:f>
              <c:numCache>
                <c:formatCode>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7-2088-44F8-A0C1-2688B9F4A4FF}"/>
            </c:ext>
          </c:extLst>
        </c:ser>
        <c:dLbls>
          <c:showLegendKey val="0"/>
          <c:showVal val="0"/>
          <c:showCatName val="0"/>
          <c:showSerName val="0"/>
          <c:showPercent val="0"/>
          <c:showBubbleSize val="0"/>
        </c:dLbls>
        <c:marker val="1"/>
        <c:smooth val="0"/>
        <c:axId val="1736274992"/>
        <c:axId val="1736281232"/>
      </c:lineChart>
      <c:catAx>
        <c:axId val="64135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crossAx val="641353311"/>
        <c:crosses val="autoZero"/>
        <c:auto val="1"/>
        <c:lblAlgn val="ctr"/>
        <c:lblOffset val="100"/>
        <c:noMultiLvlLbl val="0"/>
      </c:catAx>
      <c:valAx>
        <c:axId val="641353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 Revenue &amp; EBITDA</a:t>
                </a:r>
              </a:p>
            </c:rich>
          </c:tx>
          <c:layout>
            <c:manualLayout>
              <c:xMode val="edge"/>
              <c:yMode val="edge"/>
              <c:x val="1.2583260425780111E-2"/>
              <c:y val="0.3817752569206634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zh-CN"/>
            </a:p>
          </c:txPr>
        </c:title>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crossAx val="641354559"/>
        <c:crosses val="autoZero"/>
        <c:crossBetween val="between"/>
      </c:valAx>
      <c:valAx>
        <c:axId val="1736281232"/>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crossAx val="1736274992"/>
        <c:crosses val="max"/>
        <c:crossBetween val="between"/>
      </c:valAx>
      <c:catAx>
        <c:axId val="1736274992"/>
        <c:scaling>
          <c:orientation val="minMax"/>
        </c:scaling>
        <c:delete val="1"/>
        <c:axPos val="b"/>
        <c:numFmt formatCode="General" sourceLinked="1"/>
        <c:majorTickMark val="out"/>
        <c:minorTickMark val="none"/>
        <c:tickLblPos val="nextTo"/>
        <c:crossAx val="1736281232"/>
        <c:crosses val="autoZero"/>
        <c:auto val="1"/>
        <c:lblAlgn val="ctr"/>
        <c:lblOffset val="100"/>
        <c:noMultiLvlLbl val="0"/>
      </c:catAx>
      <c:spPr>
        <a:noFill/>
        <a:ln>
          <a:noFill/>
        </a:ln>
        <a:effectLst/>
      </c:spPr>
    </c:plotArea>
    <c:legend>
      <c:legendPos val="b"/>
      <c:layout>
        <c:manualLayout>
          <c:xMode val="edge"/>
          <c:yMode val="edge"/>
          <c:x val="7.1277611153424611E-2"/>
          <c:y val="0.84335039428743963"/>
          <c:w val="0.89373828708889969"/>
          <c:h val="0.1116886325225377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zh-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t>Project Cash Flows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zh-CN"/>
        </a:p>
      </c:txPr>
    </c:title>
    <c:autoTitleDeleted val="0"/>
    <c:plotArea>
      <c:layout>
        <c:manualLayout>
          <c:layoutTarget val="inner"/>
          <c:xMode val="edge"/>
          <c:yMode val="edge"/>
          <c:x val="0.14450518917123789"/>
          <c:y val="8.7354750746968191E-2"/>
          <c:w val="0.81649201350856504"/>
          <c:h val="0.67863080892943461"/>
        </c:manualLayout>
      </c:layout>
      <c:barChart>
        <c:barDir val="col"/>
        <c:grouping val="clustered"/>
        <c:varyColors val="0"/>
        <c:ser>
          <c:idx val="0"/>
          <c:order val="0"/>
          <c:tx>
            <c:strRef>
              <c:f>'SFP254v1.5_CER (Prog1)'!$J$440</c:f>
              <c:strCache>
                <c:ptCount val="1"/>
                <c:pt idx="0">
                  <c:v> Operating Cash Flow (PNL, Tool &amp; WC) </c:v>
                </c:pt>
              </c:strCache>
            </c:strRef>
          </c:tx>
          <c:spPr>
            <a:solidFill>
              <a:schemeClr val="accent1">
                <a:lumMod val="75000"/>
              </a:schemeClr>
            </a:solidFill>
            <a:ln>
              <a:noFill/>
            </a:ln>
            <a:effectLst/>
          </c:spPr>
          <c:invertIfNegative val="0"/>
          <c:cat>
            <c:numRef>
              <c:f>'SFP254v1.5_CER (Prog1)'!$N$433:$AC$433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'SFP254v1.5_CER (Prog1)'!$N$440:$AC$440</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27B-472C-B0DD-8FD3DBCEEDDD}"/>
            </c:ext>
          </c:extLst>
        </c:ser>
        <c:ser>
          <c:idx val="1"/>
          <c:order val="1"/>
          <c:tx>
            <c:strRef>
              <c:f>'SFP254v1.5_CER (Prog1)'!$J$441</c:f>
              <c:strCache>
                <c:ptCount val="1"/>
                <c:pt idx="0">
                  <c:v> Investing Cash Flow (Capex) </c:v>
                </c:pt>
              </c:strCache>
            </c:strRef>
          </c:tx>
          <c:spPr>
            <a:solidFill>
              <a:srgbClr val="C00000"/>
            </a:solidFill>
            <a:ln>
              <a:noFill/>
            </a:ln>
            <a:effectLst/>
          </c:spPr>
          <c:invertIfNegative val="0"/>
          <c:cat>
            <c:numRef>
              <c:f>'SFP254v1.5_CER (Prog1)'!$N$433:$AC$433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'SFP254v1.5_CER (Prog1)'!$N$441:$AC$441</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5-427B-472C-B0DD-8FD3DBCEEDDD}"/>
            </c:ext>
          </c:extLst>
        </c:ser>
        <c:ser>
          <c:idx val="2"/>
          <c:order val="2"/>
          <c:tx>
            <c:strRef>
              <c:f>'SFP254v1.5_CER (Prog1)'!$J$442</c:f>
              <c:strCache>
                <c:ptCount val="1"/>
                <c:pt idx="0">
                  <c:v> Financing Cash Flow </c:v>
                </c:pt>
              </c:strCache>
            </c:strRef>
          </c:tx>
          <c:spPr>
            <a:solidFill>
              <a:srgbClr val="00B050"/>
            </a:solidFill>
            <a:ln>
              <a:noFill/>
            </a:ln>
            <a:effectLst/>
          </c:spPr>
          <c:invertIfNegative val="0"/>
          <c:cat>
            <c:numRef>
              <c:f>'SFP254v1.5_CER (Prog1)'!$N$433:$AC$433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'SFP254v1.5_CER (Prog1)'!$N$442:$AC$442</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6-427B-472C-B0DD-8FD3DBCEEDDD}"/>
            </c:ext>
          </c:extLst>
        </c:ser>
        <c:dLbls>
          <c:showLegendKey val="0"/>
          <c:showVal val="0"/>
          <c:showCatName val="0"/>
          <c:showSerName val="0"/>
          <c:showPercent val="0"/>
          <c:showBubbleSize val="0"/>
        </c:dLbls>
        <c:gapWidth val="219"/>
        <c:axId val="126332799"/>
        <c:axId val="126343199"/>
      </c:barChart>
      <c:lineChart>
        <c:grouping val="standard"/>
        <c:varyColors val="0"/>
        <c:ser>
          <c:idx val="3"/>
          <c:order val="3"/>
          <c:tx>
            <c:strRef>
              <c:f>'SFP254v1.5_CER (Prog1)'!$J$443</c:f>
              <c:strCache>
                <c:ptCount val="1"/>
                <c:pt idx="0">
                  <c:v> Cumulative CF Ops+Investmt (Nominal) </c:v>
                </c:pt>
              </c:strCache>
            </c:strRef>
          </c:tx>
          <c:spPr>
            <a:ln w="28575" cap="rnd">
              <a:solidFill>
                <a:sysClr val="windowText" lastClr="000000"/>
              </a:solidFill>
              <a:round/>
            </a:ln>
            <a:effectLst/>
          </c:spPr>
          <c:marker>
            <c:symbol val="none"/>
          </c:marker>
          <c:cat>
            <c:numRef>
              <c:f>'SFP254v1.5_CER (Prog1)'!$N$433:$AC$433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'SFP254v1.5_CER (Prog1)'!$N$443:$AC$443</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7-427B-472C-B0DD-8FD3DBCEEDDD}"/>
            </c:ext>
          </c:extLst>
        </c:ser>
        <c:ser>
          <c:idx val="4"/>
          <c:order val="4"/>
          <c:tx>
            <c:strRef>
              <c:f>'SFP254v1.5_CER (Prog1)'!$J$444</c:f>
              <c:strCache>
                <c:ptCount val="1"/>
                <c:pt idx="0">
                  <c:v> Cumulative CF Ops+Investmt (Present Value) </c:v>
                </c:pt>
              </c:strCache>
            </c:strRef>
          </c:tx>
          <c:spPr>
            <a:ln w="28575" cap="rnd">
              <a:solidFill>
                <a:srgbClr val="FFC000"/>
              </a:solidFill>
              <a:round/>
            </a:ln>
            <a:effectLst/>
          </c:spPr>
          <c:marker>
            <c:symbol val="none"/>
          </c:marker>
          <c:cat>
            <c:numRef>
              <c:f>'SFP254v1.5_CER (Prog1)'!$N$433:$AC$433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'SFP254v1.5_CER (Prog1)'!$N$444:$AC$444</c:f>
              <c:numCache>
                <c:formatCode>#,##0_ ;[Red]\-#,##0\ </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8-427B-472C-B0DD-8FD3DBCEEDDD}"/>
            </c:ext>
          </c:extLst>
        </c:ser>
        <c:dLbls>
          <c:showLegendKey val="0"/>
          <c:showVal val="0"/>
          <c:showCatName val="0"/>
          <c:showSerName val="0"/>
          <c:showPercent val="0"/>
          <c:showBubbleSize val="0"/>
        </c:dLbls>
        <c:marker val="1"/>
        <c:smooth val="0"/>
        <c:axId val="126332799"/>
        <c:axId val="126343199"/>
      </c:lineChart>
      <c:catAx>
        <c:axId val="12633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crossAx val="126343199"/>
        <c:crosses val="autoZero"/>
        <c:auto val="1"/>
        <c:lblAlgn val="ctr"/>
        <c:lblOffset val="100"/>
        <c:noMultiLvlLbl val="0"/>
      </c:catAx>
      <c:valAx>
        <c:axId val="126343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 Cash Flow</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zh-CN"/>
            </a:p>
          </c:txPr>
        </c:title>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crossAx val="126332799"/>
        <c:crosses val="autoZero"/>
        <c:crossBetween val="between"/>
      </c:valAx>
      <c:spPr>
        <a:noFill/>
        <a:ln>
          <a:noFill/>
        </a:ln>
        <a:effectLst/>
      </c:spPr>
    </c:plotArea>
    <c:legend>
      <c:legendPos val="b"/>
      <c:layout>
        <c:manualLayout>
          <c:xMode val="edge"/>
          <c:yMode val="edge"/>
          <c:x val="4.7021814291348822E-2"/>
          <c:y val="0.84373097685953569"/>
          <c:w val="0.91960891373755627"/>
          <c:h val="0.15626902314046426"/>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zh-C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t>Project Working Capital Components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zh-CN"/>
        </a:p>
      </c:txPr>
    </c:title>
    <c:autoTitleDeleted val="0"/>
    <c:plotArea>
      <c:layout>
        <c:manualLayout>
          <c:layoutTarget val="inner"/>
          <c:xMode val="edge"/>
          <c:yMode val="edge"/>
          <c:x val="0.15680698286764758"/>
          <c:y val="0.11537666429729289"/>
          <c:w val="0.82125061335065686"/>
          <c:h val="0.60775300173208435"/>
        </c:manualLayout>
      </c:layout>
      <c:barChart>
        <c:barDir val="col"/>
        <c:grouping val="stacked"/>
        <c:varyColors val="0"/>
        <c:ser>
          <c:idx val="0"/>
          <c:order val="0"/>
          <c:tx>
            <c:strRef>
              <c:f>'SFP254v1.5_CER (Prog1)'!$J$447</c:f>
              <c:strCache>
                <c:ptCount val="1"/>
                <c:pt idx="0">
                  <c:v> Accounts Receivable </c:v>
                </c:pt>
              </c:strCache>
            </c:strRef>
          </c:tx>
          <c:spPr>
            <a:solidFill>
              <a:schemeClr val="accent1">
                <a:lumMod val="75000"/>
              </a:schemeClr>
            </a:solidFill>
            <a:ln>
              <a:noFill/>
            </a:ln>
            <a:effectLst/>
          </c:spPr>
          <c:invertIfNegative val="0"/>
          <c:cat>
            <c:numRef>
              <c:f>'SFP254v1.5_CER (Prog1)'!$N$433:$AC$433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'SFP254v1.5_CER (Prog1)'!$N$447:$AC$447</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D382-4B07-8438-435425F44293}"/>
            </c:ext>
          </c:extLst>
        </c:ser>
        <c:ser>
          <c:idx val="1"/>
          <c:order val="1"/>
          <c:tx>
            <c:strRef>
              <c:f>'SFP254v1.5_CER (Prog1)'!$J$448</c:f>
              <c:strCache>
                <c:ptCount val="1"/>
                <c:pt idx="0">
                  <c:v> Inventory  </c:v>
                </c:pt>
              </c:strCache>
            </c:strRef>
          </c:tx>
          <c:spPr>
            <a:solidFill>
              <a:srgbClr val="00B050"/>
            </a:solidFill>
            <a:ln>
              <a:noFill/>
            </a:ln>
            <a:effectLst/>
          </c:spPr>
          <c:invertIfNegative val="0"/>
          <c:cat>
            <c:numRef>
              <c:f>'SFP254v1.5_CER (Prog1)'!$N$433:$AC$433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'SFP254v1.5_CER (Prog1)'!$N$448:$AC$448</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E-D382-4B07-8438-435425F44293}"/>
            </c:ext>
          </c:extLst>
        </c:ser>
        <c:ser>
          <c:idx val="2"/>
          <c:order val="2"/>
          <c:tx>
            <c:strRef>
              <c:f>'SFP254v1.5_CER (Prog1)'!$J$449</c:f>
              <c:strCache>
                <c:ptCount val="1"/>
                <c:pt idx="0">
                  <c:v> Accounts Payable </c:v>
                </c:pt>
              </c:strCache>
            </c:strRef>
          </c:tx>
          <c:spPr>
            <a:solidFill>
              <a:schemeClr val="accent2">
                <a:lumMod val="60000"/>
                <a:lumOff val="40000"/>
              </a:schemeClr>
            </a:solidFill>
            <a:ln>
              <a:noFill/>
            </a:ln>
            <a:effectLst/>
          </c:spPr>
          <c:invertIfNegative val="0"/>
          <c:cat>
            <c:numRef>
              <c:f>'SFP254v1.5_CER (Prog1)'!$N$433:$AC$433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'SFP254v1.5_CER (Prog1)'!$N$449:$AC$449</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F-D382-4B07-8438-435425F44293}"/>
            </c:ext>
          </c:extLst>
        </c:ser>
        <c:ser>
          <c:idx val="3"/>
          <c:order val="3"/>
          <c:tx>
            <c:strRef>
              <c:f>'SFP254v1.5_CER (Prog1)'!$J$450</c:f>
              <c:strCache>
                <c:ptCount val="1"/>
                <c:pt idx="0">
                  <c:v> Customer Toolings Recoverable </c:v>
                </c:pt>
              </c:strCache>
            </c:strRef>
          </c:tx>
          <c:spPr>
            <a:solidFill>
              <a:schemeClr val="accent4"/>
            </a:solidFill>
            <a:ln>
              <a:noFill/>
            </a:ln>
            <a:effectLst/>
          </c:spPr>
          <c:invertIfNegative val="0"/>
          <c:cat>
            <c:numRef>
              <c:f>'SFP254v1.5_CER (Prog1)'!$N$433:$AC$433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'SFP254v1.5_CER (Prog1)'!$N$450:$AC$450</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10-D382-4B07-8438-435425F44293}"/>
            </c:ext>
          </c:extLst>
        </c:ser>
        <c:ser>
          <c:idx val="4"/>
          <c:order val="4"/>
          <c:tx>
            <c:strRef>
              <c:f>'SFP254v1.5_CER (Prog1)'!$J$451</c:f>
              <c:strCache>
                <c:ptCount val="1"/>
                <c:pt idx="0">
                  <c:v> Other Assets/Payables (net, $) </c:v>
                </c:pt>
              </c:strCache>
            </c:strRef>
          </c:tx>
          <c:spPr>
            <a:solidFill>
              <a:schemeClr val="accent5"/>
            </a:solidFill>
            <a:ln>
              <a:noFill/>
            </a:ln>
            <a:effectLst/>
          </c:spPr>
          <c:invertIfNegative val="0"/>
          <c:cat>
            <c:numRef>
              <c:f>'SFP254v1.5_CER (Prog1)'!$N$433:$AC$433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'SFP254v1.5_CER (Prog1)'!$N$451:$AC$451</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11-D382-4B07-8438-435425F44293}"/>
            </c:ext>
          </c:extLst>
        </c:ser>
        <c:ser>
          <c:idx val="5"/>
          <c:order val="5"/>
          <c:tx>
            <c:strRef>
              <c:f>'SFP254v1.5_CER (Prog1)'!$J$452</c:f>
              <c:strCache>
                <c:ptCount val="1"/>
                <c:pt idx="0">
                  <c:v> Unamortized Balance Tool/Auto Co-Invest </c:v>
                </c:pt>
              </c:strCache>
            </c:strRef>
          </c:tx>
          <c:spPr>
            <a:solidFill>
              <a:srgbClr val="FF0000"/>
            </a:solidFill>
            <a:ln>
              <a:noFill/>
            </a:ln>
            <a:effectLst/>
          </c:spPr>
          <c:invertIfNegative val="0"/>
          <c:cat>
            <c:numRef>
              <c:f>'SFP254v1.5_CER (Prog1)'!$N$433:$AC$433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'SFP254v1.5_CER (Prog1)'!$N$452:$AC$452</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12-D382-4B07-8438-435425F44293}"/>
            </c:ext>
          </c:extLst>
        </c:ser>
        <c:dLbls>
          <c:showLegendKey val="0"/>
          <c:showVal val="0"/>
          <c:showCatName val="0"/>
          <c:showSerName val="0"/>
          <c:showPercent val="0"/>
          <c:showBubbleSize val="0"/>
        </c:dLbls>
        <c:gapWidth val="219"/>
        <c:overlap val="100"/>
        <c:axId val="384083872"/>
        <c:axId val="384075136"/>
      </c:barChart>
      <c:lineChart>
        <c:grouping val="standard"/>
        <c:varyColors val="0"/>
        <c:ser>
          <c:idx val="6"/>
          <c:order val="6"/>
          <c:tx>
            <c:strRef>
              <c:f>'SFP254v1.5_CER (Prog1)'!$J$453</c:f>
              <c:strCache>
                <c:ptCount val="1"/>
                <c:pt idx="0">
                  <c:v> Net Working Capital (Year-end balance) </c:v>
                </c:pt>
              </c:strCache>
            </c:strRef>
          </c:tx>
          <c:spPr>
            <a:ln w="28575" cap="rnd">
              <a:solidFill>
                <a:schemeClr val="tx1"/>
              </a:solidFill>
              <a:round/>
            </a:ln>
            <a:effectLst/>
          </c:spPr>
          <c:marker>
            <c:symbol val="none"/>
          </c:marker>
          <c:cat>
            <c:numRef>
              <c:f>'SFP254v1.5_CER (Prog1)'!$N$433:$AC$433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'SFP254v1.5_CER (Prog1)'!$N$453:$AC$453</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13-D382-4B07-8438-435425F44293}"/>
            </c:ext>
          </c:extLst>
        </c:ser>
        <c:dLbls>
          <c:showLegendKey val="0"/>
          <c:showVal val="0"/>
          <c:showCatName val="0"/>
          <c:showSerName val="0"/>
          <c:showPercent val="0"/>
          <c:showBubbleSize val="0"/>
        </c:dLbls>
        <c:marker val="1"/>
        <c:smooth val="0"/>
        <c:axId val="384083872"/>
        <c:axId val="384075136"/>
      </c:lineChart>
      <c:catAx>
        <c:axId val="38408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crossAx val="384075136"/>
        <c:crosses val="autoZero"/>
        <c:auto val="1"/>
        <c:lblAlgn val="ctr"/>
        <c:lblOffset val="100"/>
        <c:noMultiLvlLbl val="0"/>
      </c:catAx>
      <c:valAx>
        <c:axId val="384075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 Working Capital</a:t>
                </a:r>
              </a:p>
            </c:rich>
          </c:tx>
          <c:layout>
            <c:manualLayout>
              <c:xMode val="edge"/>
              <c:yMode val="edge"/>
              <c:x val="3.5805228103617153E-3"/>
              <c:y val="0.3070412040795031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zh-CN"/>
            </a:p>
          </c:txPr>
        </c:title>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crossAx val="384083872"/>
        <c:crosses val="autoZero"/>
        <c:crossBetween val="between"/>
      </c:valAx>
      <c:spPr>
        <a:noFill/>
        <a:ln>
          <a:noFill/>
        </a:ln>
        <a:effectLst/>
      </c:spPr>
    </c:plotArea>
    <c:legend>
      <c:legendPos val="b"/>
      <c:layout>
        <c:manualLayout>
          <c:xMode val="edge"/>
          <c:yMode val="edge"/>
          <c:x val="2.9582882373042248E-2"/>
          <c:y val="0.79159220861100366"/>
          <c:w val="0.94269635393003759"/>
          <c:h val="0.18990321800975518"/>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zh-C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t>Project PNL &amp; EBIT%</a:t>
            </a:r>
          </a:p>
        </c:rich>
      </c:tx>
      <c:layout>
        <c:manualLayout>
          <c:xMode val="edge"/>
          <c:yMode val="edge"/>
          <c:x val="0.43029723202763914"/>
          <c:y val="1.86752255731970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zh-CN"/>
        </a:p>
      </c:txPr>
    </c:title>
    <c:autoTitleDeleted val="0"/>
    <c:plotArea>
      <c:layout>
        <c:manualLayout>
          <c:layoutTarget val="inner"/>
          <c:xMode val="edge"/>
          <c:yMode val="edge"/>
          <c:x val="0.15261898512685915"/>
          <c:y val="0.11562393300020643"/>
          <c:w val="0.7210214348206474"/>
          <c:h val="0.63982161665794857"/>
        </c:manualLayout>
      </c:layout>
      <c:barChart>
        <c:barDir val="col"/>
        <c:grouping val="clustered"/>
        <c:varyColors val="0"/>
        <c:ser>
          <c:idx val="0"/>
          <c:order val="0"/>
          <c:tx>
            <c:strRef>
              <c:f>'SFP254v1.5_CER (Prog2)'!$J$434</c:f>
              <c:strCache>
                <c:ptCount val="1"/>
                <c:pt idx="0">
                  <c:v> REVENUE - Parts only </c:v>
                </c:pt>
              </c:strCache>
            </c:strRef>
          </c:tx>
          <c:spPr>
            <a:solidFill>
              <a:schemeClr val="accent1">
                <a:lumMod val="75000"/>
              </a:schemeClr>
            </a:solidFill>
            <a:ln>
              <a:noFill/>
            </a:ln>
            <a:effectLst/>
          </c:spPr>
          <c:invertIfNegative val="0"/>
          <c:cat>
            <c:numRef>
              <c:f>'SFP254v1.5_CER (Prog2)'!$N$433:$AB$433</c:f>
              <c:numCache>
                <c:formatCode>General</c:formatCode>
                <c:ptCount val="15"/>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numCache>
            </c:numRef>
          </c:cat>
          <c:val>
            <c:numRef>
              <c:f>'SFP254v1.5_CER (Prog2)'!$N$434:$AC$434</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5="http://schemas.microsoft.com/office/drawing/2012/chart">
            <c:ext xmlns:c16="http://schemas.microsoft.com/office/drawing/2014/chart" uri="{C3380CC4-5D6E-409C-BE32-E72D297353CC}">
              <c16:uniqueId val="{00000000-20E4-4EC8-A731-F0F3481A242D}"/>
            </c:ext>
          </c:extLst>
        </c:ser>
        <c:ser>
          <c:idx val="1"/>
          <c:order val="1"/>
          <c:tx>
            <c:strRef>
              <c:f>'SFP254v1.5_CER (Prog2)'!$J$435</c:f>
              <c:strCache>
                <c:ptCount val="1"/>
                <c:pt idx="0">
                  <c:v> EBITDA (Parts + Tooling) </c:v>
                </c:pt>
              </c:strCache>
            </c:strRef>
          </c:tx>
          <c:spPr>
            <a:solidFill>
              <a:srgbClr val="00B050"/>
            </a:solidFill>
            <a:ln>
              <a:noFill/>
            </a:ln>
            <a:effectLst/>
          </c:spPr>
          <c:invertIfNegative val="0"/>
          <c:cat>
            <c:numRef>
              <c:f>'SFP254v1.5_CER (Prog2)'!$N$433:$AB$433</c:f>
              <c:numCache>
                <c:formatCode>General</c:formatCode>
                <c:ptCount val="15"/>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numCache>
            </c:numRef>
          </c:cat>
          <c:val>
            <c:numRef>
              <c:f>'SFP254v1.5_CER (Prog2)'!$N$435:$AC$435</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20E4-4EC8-A731-F0F3481A242D}"/>
            </c:ext>
          </c:extLst>
        </c:ser>
        <c:dLbls>
          <c:showLegendKey val="0"/>
          <c:showVal val="0"/>
          <c:showCatName val="0"/>
          <c:showSerName val="0"/>
          <c:showPercent val="0"/>
          <c:showBubbleSize val="0"/>
        </c:dLbls>
        <c:gapWidth val="219"/>
        <c:axId val="641354559"/>
        <c:axId val="641353311"/>
        <c:extLst/>
      </c:barChart>
      <c:lineChart>
        <c:grouping val="standard"/>
        <c:varyColors val="0"/>
        <c:ser>
          <c:idx val="2"/>
          <c:order val="2"/>
          <c:tx>
            <c:strRef>
              <c:f>'SFP254v1.5_CER (Prog2)'!$J$436</c:f>
              <c:strCache>
                <c:ptCount val="1"/>
                <c:pt idx="0">
                  <c:v> EBITDA% of total revenue (Parts + Tooling) </c:v>
                </c:pt>
              </c:strCache>
            </c:strRef>
          </c:tx>
          <c:spPr>
            <a:ln w="28575" cap="rnd">
              <a:solidFill>
                <a:srgbClr val="FFC000"/>
              </a:solidFill>
              <a:round/>
            </a:ln>
            <a:effectLst/>
          </c:spPr>
          <c:marker>
            <c:symbol val="none"/>
          </c:marker>
          <c:cat>
            <c:numRef>
              <c:f>'SFP254v1.5_CER (Prog2)'!$N$433:$AB$433</c:f>
              <c:numCache>
                <c:formatCode>General</c:formatCode>
                <c:ptCount val="15"/>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numCache>
            </c:numRef>
          </c:cat>
          <c:val>
            <c:numRef>
              <c:f>'SFP254v1.5_CER (Prog2)'!$N$436:$AC$436</c:f>
              <c:numCache>
                <c:formatCode>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2-20E4-4EC8-A731-F0F3481A242D}"/>
            </c:ext>
          </c:extLst>
        </c:ser>
        <c:ser>
          <c:idx val="3"/>
          <c:order val="3"/>
          <c:tx>
            <c:strRef>
              <c:f>'SFP254v1.5_CER (Prog2)'!$J$437</c:f>
              <c:strCache>
                <c:ptCount val="1"/>
                <c:pt idx="0">
                  <c:v> EBIT% of total revenue (Parts + Tooling) </c:v>
                </c:pt>
              </c:strCache>
            </c:strRef>
          </c:tx>
          <c:spPr>
            <a:ln w="28575" cap="rnd">
              <a:solidFill>
                <a:sysClr val="windowText" lastClr="00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'SFP254v1.5_CER (Prog2)'!$N$433:$AB$433</c:f>
              <c:numCache>
                <c:formatCode>General</c:formatCode>
                <c:ptCount val="15"/>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numCache>
            </c:numRef>
          </c:cat>
          <c:val>
            <c:numRef>
              <c:f>'SFP254v1.5_CER (Prog2)'!$N$437:$AC$437</c:f>
              <c:numCache>
                <c:formatCode>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3-20E4-4EC8-A731-F0F3481A242D}"/>
            </c:ext>
          </c:extLst>
        </c:ser>
        <c:dLbls>
          <c:showLegendKey val="0"/>
          <c:showVal val="0"/>
          <c:showCatName val="0"/>
          <c:showSerName val="0"/>
          <c:showPercent val="0"/>
          <c:showBubbleSize val="0"/>
        </c:dLbls>
        <c:marker val="1"/>
        <c:smooth val="0"/>
        <c:axId val="1736274992"/>
        <c:axId val="1736281232"/>
      </c:lineChart>
      <c:catAx>
        <c:axId val="64135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crossAx val="641353311"/>
        <c:crosses val="autoZero"/>
        <c:auto val="1"/>
        <c:lblAlgn val="ctr"/>
        <c:lblOffset val="100"/>
        <c:noMultiLvlLbl val="0"/>
      </c:catAx>
      <c:valAx>
        <c:axId val="641353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 Revenue &amp; EBITDA</a:t>
                </a:r>
              </a:p>
            </c:rich>
          </c:tx>
          <c:layout>
            <c:manualLayout>
              <c:xMode val="edge"/>
              <c:yMode val="edge"/>
              <c:x val="1.2583260425780111E-2"/>
              <c:y val="0.3817752569206634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zh-CN"/>
            </a:p>
          </c:txPr>
        </c:title>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crossAx val="641354559"/>
        <c:crosses val="autoZero"/>
        <c:crossBetween val="between"/>
      </c:valAx>
      <c:valAx>
        <c:axId val="1736281232"/>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crossAx val="1736274992"/>
        <c:crosses val="max"/>
        <c:crossBetween val="between"/>
      </c:valAx>
      <c:catAx>
        <c:axId val="1736274992"/>
        <c:scaling>
          <c:orientation val="minMax"/>
        </c:scaling>
        <c:delete val="1"/>
        <c:axPos val="b"/>
        <c:numFmt formatCode="General" sourceLinked="1"/>
        <c:majorTickMark val="out"/>
        <c:minorTickMark val="none"/>
        <c:tickLblPos val="nextTo"/>
        <c:crossAx val="1736281232"/>
        <c:crosses val="autoZero"/>
        <c:auto val="1"/>
        <c:lblAlgn val="ctr"/>
        <c:lblOffset val="100"/>
        <c:noMultiLvlLbl val="0"/>
      </c:catAx>
      <c:spPr>
        <a:noFill/>
        <a:ln>
          <a:noFill/>
        </a:ln>
        <a:effectLst/>
      </c:spPr>
    </c:plotArea>
    <c:legend>
      <c:legendPos val="b"/>
      <c:layout>
        <c:manualLayout>
          <c:xMode val="edge"/>
          <c:yMode val="edge"/>
          <c:x val="7.1277611153424611E-2"/>
          <c:y val="0.84335039428743963"/>
          <c:w val="0.89373828708889969"/>
          <c:h val="0.1116886325225377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zh-CN"/>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t>Project Cash Flows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zh-CN"/>
        </a:p>
      </c:txPr>
    </c:title>
    <c:autoTitleDeleted val="0"/>
    <c:plotArea>
      <c:layout>
        <c:manualLayout>
          <c:layoutTarget val="inner"/>
          <c:xMode val="edge"/>
          <c:yMode val="edge"/>
          <c:x val="0.14450518917123789"/>
          <c:y val="8.7354750746968191E-2"/>
          <c:w val="0.81649201350856504"/>
          <c:h val="0.67863080892943461"/>
        </c:manualLayout>
      </c:layout>
      <c:barChart>
        <c:barDir val="col"/>
        <c:grouping val="clustered"/>
        <c:varyColors val="0"/>
        <c:ser>
          <c:idx val="0"/>
          <c:order val="0"/>
          <c:tx>
            <c:strRef>
              <c:f>'SFP254v1.5_CER (Prog2)'!$J$440</c:f>
              <c:strCache>
                <c:ptCount val="1"/>
                <c:pt idx="0">
                  <c:v> Operating Cash Flow (PNL, Tool &amp; WC) </c:v>
                </c:pt>
              </c:strCache>
            </c:strRef>
          </c:tx>
          <c:spPr>
            <a:solidFill>
              <a:schemeClr val="accent1">
                <a:lumMod val="75000"/>
              </a:schemeClr>
            </a:solidFill>
            <a:ln>
              <a:noFill/>
            </a:ln>
            <a:effectLst/>
          </c:spPr>
          <c:invertIfNegative val="0"/>
          <c:cat>
            <c:numRef>
              <c:f>'SFP254v1.5_CER (Prog2)'!$N$433:$AC$433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'SFP254v1.5_CER (Prog2)'!$N$440:$AC$440</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F736-43B0-880D-69140DEED14C}"/>
            </c:ext>
          </c:extLst>
        </c:ser>
        <c:ser>
          <c:idx val="1"/>
          <c:order val="1"/>
          <c:tx>
            <c:strRef>
              <c:f>'SFP254v1.5_CER (Prog2)'!$J$441</c:f>
              <c:strCache>
                <c:ptCount val="1"/>
                <c:pt idx="0">
                  <c:v> Investing Cash Flow (Capex) </c:v>
                </c:pt>
              </c:strCache>
            </c:strRef>
          </c:tx>
          <c:spPr>
            <a:solidFill>
              <a:srgbClr val="C00000"/>
            </a:solidFill>
            <a:ln>
              <a:noFill/>
            </a:ln>
            <a:effectLst/>
          </c:spPr>
          <c:invertIfNegative val="0"/>
          <c:cat>
            <c:numRef>
              <c:f>'SFP254v1.5_CER (Prog2)'!$N$433:$AC$433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'SFP254v1.5_CER (Prog2)'!$N$441:$AC$441</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F736-43B0-880D-69140DEED14C}"/>
            </c:ext>
          </c:extLst>
        </c:ser>
        <c:ser>
          <c:idx val="2"/>
          <c:order val="2"/>
          <c:tx>
            <c:strRef>
              <c:f>'SFP254v1.5_CER (Prog2)'!$J$442</c:f>
              <c:strCache>
                <c:ptCount val="1"/>
                <c:pt idx="0">
                  <c:v> Financing Cash Flow </c:v>
                </c:pt>
              </c:strCache>
            </c:strRef>
          </c:tx>
          <c:spPr>
            <a:solidFill>
              <a:srgbClr val="00B050"/>
            </a:solidFill>
            <a:ln>
              <a:noFill/>
            </a:ln>
            <a:effectLst/>
          </c:spPr>
          <c:invertIfNegative val="0"/>
          <c:cat>
            <c:numRef>
              <c:f>'SFP254v1.5_CER (Prog2)'!$N$433:$AC$433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'SFP254v1.5_CER (Prog2)'!$N$442:$AC$442</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F736-43B0-880D-69140DEED14C}"/>
            </c:ext>
          </c:extLst>
        </c:ser>
        <c:dLbls>
          <c:showLegendKey val="0"/>
          <c:showVal val="0"/>
          <c:showCatName val="0"/>
          <c:showSerName val="0"/>
          <c:showPercent val="0"/>
          <c:showBubbleSize val="0"/>
        </c:dLbls>
        <c:gapWidth val="219"/>
        <c:axId val="126332799"/>
        <c:axId val="126343199"/>
      </c:barChart>
      <c:lineChart>
        <c:grouping val="standard"/>
        <c:varyColors val="0"/>
        <c:ser>
          <c:idx val="3"/>
          <c:order val="3"/>
          <c:tx>
            <c:strRef>
              <c:f>'SFP254v1.5_CER (Prog2)'!$J$443</c:f>
              <c:strCache>
                <c:ptCount val="1"/>
                <c:pt idx="0">
                  <c:v> Cumulative CF Ops+Investmt (Nominal) </c:v>
                </c:pt>
              </c:strCache>
            </c:strRef>
          </c:tx>
          <c:spPr>
            <a:ln w="28575" cap="rnd">
              <a:solidFill>
                <a:sysClr val="windowText" lastClr="000000"/>
              </a:solidFill>
              <a:round/>
            </a:ln>
            <a:effectLst/>
          </c:spPr>
          <c:marker>
            <c:symbol val="none"/>
          </c:marker>
          <c:cat>
            <c:numRef>
              <c:f>'SFP254v1.5_CER (Prog2)'!$N$433:$AC$433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'SFP254v1.5_CER (Prog2)'!$N$443:$AC$443</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3-F736-43B0-880D-69140DEED14C}"/>
            </c:ext>
          </c:extLst>
        </c:ser>
        <c:ser>
          <c:idx val="4"/>
          <c:order val="4"/>
          <c:tx>
            <c:strRef>
              <c:f>'SFP254v1.5_CER (Prog2)'!$J$444</c:f>
              <c:strCache>
                <c:ptCount val="1"/>
                <c:pt idx="0">
                  <c:v> Cumulative CF Ops+Investmt (Present Value) </c:v>
                </c:pt>
              </c:strCache>
            </c:strRef>
          </c:tx>
          <c:spPr>
            <a:ln w="28575" cap="rnd">
              <a:solidFill>
                <a:srgbClr val="FFC000"/>
              </a:solidFill>
              <a:round/>
            </a:ln>
            <a:effectLst/>
          </c:spPr>
          <c:marker>
            <c:symbol val="none"/>
          </c:marker>
          <c:cat>
            <c:numRef>
              <c:f>'SFP254v1.5_CER (Prog2)'!$N$433:$AC$433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'SFP254v1.5_CER (Prog2)'!$N$444:$AC$444</c:f>
              <c:numCache>
                <c:formatCode>#,##0_ ;[Red]\-#,##0\ </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4-F736-43B0-880D-69140DEED14C}"/>
            </c:ext>
          </c:extLst>
        </c:ser>
        <c:dLbls>
          <c:showLegendKey val="0"/>
          <c:showVal val="0"/>
          <c:showCatName val="0"/>
          <c:showSerName val="0"/>
          <c:showPercent val="0"/>
          <c:showBubbleSize val="0"/>
        </c:dLbls>
        <c:marker val="1"/>
        <c:smooth val="0"/>
        <c:axId val="126332799"/>
        <c:axId val="126343199"/>
      </c:lineChart>
      <c:catAx>
        <c:axId val="12633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crossAx val="126343199"/>
        <c:crosses val="autoZero"/>
        <c:auto val="1"/>
        <c:lblAlgn val="ctr"/>
        <c:lblOffset val="100"/>
        <c:noMultiLvlLbl val="0"/>
      </c:catAx>
      <c:valAx>
        <c:axId val="126343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 Cash Flow</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zh-CN"/>
            </a:p>
          </c:txPr>
        </c:title>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crossAx val="126332799"/>
        <c:crosses val="autoZero"/>
        <c:crossBetween val="between"/>
      </c:valAx>
      <c:spPr>
        <a:noFill/>
        <a:ln>
          <a:noFill/>
        </a:ln>
        <a:effectLst/>
      </c:spPr>
    </c:plotArea>
    <c:legend>
      <c:legendPos val="b"/>
      <c:layout>
        <c:manualLayout>
          <c:xMode val="edge"/>
          <c:yMode val="edge"/>
          <c:x val="4.7021814291348822E-2"/>
          <c:y val="0.84373097685953569"/>
          <c:w val="0.91960891373755627"/>
          <c:h val="0.15626902314046426"/>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zh-CN"/>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t>Project Working Capital Components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zh-CN"/>
        </a:p>
      </c:txPr>
    </c:title>
    <c:autoTitleDeleted val="0"/>
    <c:plotArea>
      <c:layout>
        <c:manualLayout>
          <c:layoutTarget val="inner"/>
          <c:xMode val="edge"/>
          <c:yMode val="edge"/>
          <c:x val="0.15680698286764758"/>
          <c:y val="0.11537666429729289"/>
          <c:w val="0.82125061335065686"/>
          <c:h val="0.60775300173208435"/>
        </c:manualLayout>
      </c:layout>
      <c:barChart>
        <c:barDir val="col"/>
        <c:grouping val="stacked"/>
        <c:varyColors val="0"/>
        <c:ser>
          <c:idx val="0"/>
          <c:order val="0"/>
          <c:tx>
            <c:strRef>
              <c:f>'SFP254v1.5_CER (Prog2)'!$J$447</c:f>
              <c:strCache>
                <c:ptCount val="1"/>
                <c:pt idx="0">
                  <c:v> Accounts Receivable </c:v>
                </c:pt>
              </c:strCache>
            </c:strRef>
          </c:tx>
          <c:spPr>
            <a:solidFill>
              <a:schemeClr val="accent1">
                <a:lumMod val="75000"/>
              </a:schemeClr>
            </a:solidFill>
            <a:ln>
              <a:noFill/>
            </a:ln>
            <a:effectLst/>
          </c:spPr>
          <c:invertIfNegative val="0"/>
          <c:cat>
            <c:numRef>
              <c:f>'SFP254v1.5_CER (Prog2)'!$N$433:$AC$433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'SFP254v1.5_CER (Prog2)'!$N$447:$AC$447</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669A-49E2-BECE-A508E11EA632}"/>
            </c:ext>
          </c:extLst>
        </c:ser>
        <c:ser>
          <c:idx val="1"/>
          <c:order val="1"/>
          <c:tx>
            <c:strRef>
              <c:f>'SFP254v1.5_CER (Prog2)'!$J$448</c:f>
              <c:strCache>
                <c:ptCount val="1"/>
                <c:pt idx="0">
                  <c:v> Inventory  </c:v>
                </c:pt>
              </c:strCache>
            </c:strRef>
          </c:tx>
          <c:spPr>
            <a:solidFill>
              <a:srgbClr val="00B050"/>
            </a:solidFill>
            <a:ln>
              <a:noFill/>
            </a:ln>
            <a:effectLst/>
          </c:spPr>
          <c:invertIfNegative val="0"/>
          <c:cat>
            <c:numRef>
              <c:f>'SFP254v1.5_CER (Prog2)'!$N$433:$AC$433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'SFP254v1.5_CER (Prog2)'!$N$448:$AC$448</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669A-49E2-BECE-A508E11EA632}"/>
            </c:ext>
          </c:extLst>
        </c:ser>
        <c:ser>
          <c:idx val="2"/>
          <c:order val="2"/>
          <c:tx>
            <c:strRef>
              <c:f>'SFP254v1.5_CER (Prog2)'!$J$449</c:f>
              <c:strCache>
                <c:ptCount val="1"/>
                <c:pt idx="0">
                  <c:v> Accounts Payable </c:v>
                </c:pt>
              </c:strCache>
            </c:strRef>
          </c:tx>
          <c:spPr>
            <a:solidFill>
              <a:schemeClr val="accent2">
                <a:lumMod val="60000"/>
                <a:lumOff val="40000"/>
              </a:schemeClr>
            </a:solidFill>
            <a:ln>
              <a:noFill/>
            </a:ln>
            <a:effectLst/>
          </c:spPr>
          <c:invertIfNegative val="0"/>
          <c:cat>
            <c:numRef>
              <c:f>'SFP254v1.5_CER (Prog2)'!$N$433:$AC$433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'SFP254v1.5_CER (Prog2)'!$N$449:$AC$449</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669A-49E2-BECE-A508E11EA632}"/>
            </c:ext>
          </c:extLst>
        </c:ser>
        <c:ser>
          <c:idx val="3"/>
          <c:order val="3"/>
          <c:tx>
            <c:strRef>
              <c:f>'SFP254v1.5_CER (Prog2)'!$J$450</c:f>
              <c:strCache>
                <c:ptCount val="1"/>
                <c:pt idx="0">
                  <c:v> Customer Toolings Recoverable </c:v>
                </c:pt>
              </c:strCache>
            </c:strRef>
          </c:tx>
          <c:spPr>
            <a:solidFill>
              <a:schemeClr val="accent4"/>
            </a:solidFill>
            <a:ln>
              <a:noFill/>
            </a:ln>
            <a:effectLst/>
          </c:spPr>
          <c:invertIfNegative val="0"/>
          <c:cat>
            <c:numRef>
              <c:f>'SFP254v1.5_CER (Prog2)'!$N$433:$AC$433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'SFP254v1.5_CER (Prog2)'!$N$450:$AC$450</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669A-49E2-BECE-A508E11EA632}"/>
            </c:ext>
          </c:extLst>
        </c:ser>
        <c:ser>
          <c:idx val="4"/>
          <c:order val="4"/>
          <c:tx>
            <c:strRef>
              <c:f>'SFP254v1.5_CER (Prog2)'!$J$451</c:f>
              <c:strCache>
                <c:ptCount val="1"/>
                <c:pt idx="0">
                  <c:v> Other Assets/Payables (net, $) </c:v>
                </c:pt>
              </c:strCache>
            </c:strRef>
          </c:tx>
          <c:spPr>
            <a:solidFill>
              <a:schemeClr val="accent5"/>
            </a:solidFill>
            <a:ln>
              <a:noFill/>
            </a:ln>
            <a:effectLst/>
          </c:spPr>
          <c:invertIfNegative val="0"/>
          <c:cat>
            <c:numRef>
              <c:f>'SFP254v1.5_CER (Prog2)'!$N$433:$AC$433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'SFP254v1.5_CER (Prog2)'!$N$451:$AC$451</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669A-49E2-BECE-A508E11EA632}"/>
            </c:ext>
          </c:extLst>
        </c:ser>
        <c:ser>
          <c:idx val="5"/>
          <c:order val="5"/>
          <c:tx>
            <c:strRef>
              <c:f>'SFP254v1.5_CER (Prog2)'!$J$452</c:f>
              <c:strCache>
                <c:ptCount val="1"/>
                <c:pt idx="0">
                  <c:v> Unamortized Balance Tool/Auto Co-Invest </c:v>
                </c:pt>
              </c:strCache>
            </c:strRef>
          </c:tx>
          <c:spPr>
            <a:solidFill>
              <a:srgbClr val="FF0000"/>
            </a:solidFill>
            <a:ln>
              <a:noFill/>
            </a:ln>
            <a:effectLst/>
          </c:spPr>
          <c:invertIfNegative val="0"/>
          <c:cat>
            <c:numRef>
              <c:f>'SFP254v1.5_CER (Prog2)'!$N$433:$AC$433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'SFP254v1.5_CER (Prog2)'!$N$452:$AC$452</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5-669A-49E2-BECE-A508E11EA632}"/>
            </c:ext>
          </c:extLst>
        </c:ser>
        <c:dLbls>
          <c:showLegendKey val="0"/>
          <c:showVal val="0"/>
          <c:showCatName val="0"/>
          <c:showSerName val="0"/>
          <c:showPercent val="0"/>
          <c:showBubbleSize val="0"/>
        </c:dLbls>
        <c:gapWidth val="219"/>
        <c:overlap val="100"/>
        <c:axId val="384083872"/>
        <c:axId val="384075136"/>
      </c:barChart>
      <c:lineChart>
        <c:grouping val="standard"/>
        <c:varyColors val="0"/>
        <c:ser>
          <c:idx val="6"/>
          <c:order val="6"/>
          <c:tx>
            <c:strRef>
              <c:f>'SFP254v1.5_CER (Prog2)'!$J$453</c:f>
              <c:strCache>
                <c:ptCount val="1"/>
                <c:pt idx="0">
                  <c:v> Net Working Capital (Year-end balance) </c:v>
                </c:pt>
              </c:strCache>
            </c:strRef>
          </c:tx>
          <c:spPr>
            <a:ln w="28575" cap="rnd">
              <a:solidFill>
                <a:schemeClr val="tx1"/>
              </a:solidFill>
              <a:round/>
            </a:ln>
            <a:effectLst/>
          </c:spPr>
          <c:marker>
            <c:symbol val="none"/>
          </c:marker>
          <c:cat>
            <c:numRef>
              <c:f>'SFP254v1.5_CER (Prog2)'!$N$433:$AC$433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'SFP254v1.5_CER (Prog2)'!$N$453:$AC$453</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6-669A-49E2-BECE-A508E11EA632}"/>
            </c:ext>
          </c:extLst>
        </c:ser>
        <c:dLbls>
          <c:showLegendKey val="0"/>
          <c:showVal val="0"/>
          <c:showCatName val="0"/>
          <c:showSerName val="0"/>
          <c:showPercent val="0"/>
          <c:showBubbleSize val="0"/>
        </c:dLbls>
        <c:marker val="1"/>
        <c:smooth val="0"/>
        <c:axId val="384083872"/>
        <c:axId val="384075136"/>
      </c:lineChart>
      <c:catAx>
        <c:axId val="38408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crossAx val="384075136"/>
        <c:crosses val="autoZero"/>
        <c:auto val="1"/>
        <c:lblAlgn val="ctr"/>
        <c:lblOffset val="100"/>
        <c:noMultiLvlLbl val="0"/>
      </c:catAx>
      <c:valAx>
        <c:axId val="384075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 Working Capital</a:t>
                </a:r>
              </a:p>
            </c:rich>
          </c:tx>
          <c:layout>
            <c:manualLayout>
              <c:xMode val="edge"/>
              <c:yMode val="edge"/>
              <c:x val="3.5805228103617153E-3"/>
              <c:y val="0.3070412040795031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zh-CN"/>
            </a:p>
          </c:txPr>
        </c:title>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crossAx val="384083872"/>
        <c:crosses val="autoZero"/>
        <c:crossBetween val="between"/>
      </c:valAx>
      <c:spPr>
        <a:noFill/>
        <a:ln>
          <a:noFill/>
        </a:ln>
        <a:effectLst/>
      </c:spPr>
    </c:plotArea>
    <c:legend>
      <c:legendPos val="b"/>
      <c:layout>
        <c:manualLayout>
          <c:xMode val="edge"/>
          <c:yMode val="edge"/>
          <c:x val="2.9582882373042248E-2"/>
          <c:y val="0.79159220861100366"/>
          <c:w val="0.94269635393003759"/>
          <c:h val="0.18990321800975518"/>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zh-CN"/>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t>Project PNL &amp; EBIT%</a:t>
            </a:r>
          </a:p>
        </c:rich>
      </c:tx>
      <c:layout>
        <c:manualLayout>
          <c:xMode val="edge"/>
          <c:yMode val="edge"/>
          <c:x val="0.43029723202763914"/>
          <c:y val="1.86752255731970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zh-CN"/>
        </a:p>
      </c:txPr>
    </c:title>
    <c:autoTitleDeleted val="0"/>
    <c:plotArea>
      <c:layout>
        <c:manualLayout>
          <c:layoutTarget val="inner"/>
          <c:xMode val="edge"/>
          <c:yMode val="edge"/>
          <c:x val="0.15261898512685915"/>
          <c:y val="0.11562393300020643"/>
          <c:w val="0.7210214348206474"/>
          <c:h val="0.63982161665794857"/>
        </c:manualLayout>
      </c:layout>
      <c:barChart>
        <c:barDir val="col"/>
        <c:grouping val="clustered"/>
        <c:varyColors val="0"/>
        <c:ser>
          <c:idx val="0"/>
          <c:order val="0"/>
          <c:tx>
            <c:strRef>
              <c:f>'SFP254v1.5_CER (Prog3)'!$J$434</c:f>
              <c:strCache>
                <c:ptCount val="1"/>
                <c:pt idx="0">
                  <c:v> REVENUE - Parts only </c:v>
                </c:pt>
              </c:strCache>
            </c:strRef>
          </c:tx>
          <c:spPr>
            <a:solidFill>
              <a:schemeClr val="accent1">
                <a:lumMod val="75000"/>
              </a:schemeClr>
            </a:solidFill>
            <a:ln>
              <a:noFill/>
            </a:ln>
            <a:effectLst/>
          </c:spPr>
          <c:invertIfNegative val="0"/>
          <c:cat>
            <c:numRef>
              <c:f>'SFP254v1.5_CER (Prog3)'!$N$433:$AB$433</c:f>
              <c:numCache>
                <c:formatCode>General</c:formatCode>
                <c:ptCount val="15"/>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numCache>
            </c:numRef>
          </c:cat>
          <c:val>
            <c:numRef>
              <c:f>'SFP254v1.5_CER (Prog3)'!$N$434:$AC$434</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5="http://schemas.microsoft.com/office/drawing/2012/chart">
            <c:ext xmlns:c16="http://schemas.microsoft.com/office/drawing/2014/chart" uri="{C3380CC4-5D6E-409C-BE32-E72D297353CC}">
              <c16:uniqueId val="{00000000-C462-4563-9FCC-3484FFF1A289}"/>
            </c:ext>
          </c:extLst>
        </c:ser>
        <c:ser>
          <c:idx val="1"/>
          <c:order val="1"/>
          <c:tx>
            <c:strRef>
              <c:f>'SFP254v1.5_CER (Prog3)'!$J$435</c:f>
              <c:strCache>
                <c:ptCount val="1"/>
                <c:pt idx="0">
                  <c:v> EBITDA (Parts + Tooling) </c:v>
                </c:pt>
              </c:strCache>
            </c:strRef>
          </c:tx>
          <c:spPr>
            <a:solidFill>
              <a:srgbClr val="00B050"/>
            </a:solidFill>
            <a:ln>
              <a:noFill/>
            </a:ln>
            <a:effectLst/>
          </c:spPr>
          <c:invertIfNegative val="0"/>
          <c:cat>
            <c:numRef>
              <c:f>'SFP254v1.5_CER (Prog3)'!$N$433:$AB$433</c:f>
              <c:numCache>
                <c:formatCode>General</c:formatCode>
                <c:ptCount val="15"/>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numCache>
            </c:numRef>
          </c:cat>
          <c:val>
            <c:numRef>
              <c:f>'SFP254v1.5_CER (Prog3)'!$N$435:$AC$435</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C462-4563-9FCC-3484FFF1A289}"/>
            </c:ext>
          </c:extLst>
        </c:ser>
        <c:dLbls>
          <c:showLegendKey val="0"/>
          <c:showVal val="0"/>
          <c:showCatName val="0"/>
          <c:showSerName val="0"/>
          <c:showPercent val="0"/>
          <c:showBubbleSize val="0"/>
        </c:dLbls>
        <c:gapWidth val="219"/>
        <c:axId val="641354559"/>
        <c:axId val="641353311"/>
        <c:extLst/>
      </c:barChart>
      <c:lineChart>
        <c:grouping val="standard"/>
        <c:varyColors val="0"/>
        <c:ser>
          <c:idx val="2"/>
          <c:order val="2"/>
          <c:tx>
            <c:strRef>
              <c:f>'SFP254v1.5_CER (Prog3)'!$J$436</c:f>
              <c:strCache>
                <c:ptCount val="1"/>
                <c:pt idx="0">
                  <c:v> EBITDA% of total revenue (Parts + Tooling) </c:v>
                </c:pt>
              </c:strCache>
            </c:strRef>
          </c:tx>
          <c:spPr>
            <a:ln w="28575" cap="rnd">
              <a:solidFill>
                <a:srgbClr val="FFC000"/>
              </a:solidFill>
              <a:round/>
            </a:ln>
            <a:effectLst/>
          </c:spPr>
          <c:marker>
            <c:symbol val="none"/>
          </c:marker>
          <c:cat>
            <c:numRef>
              <c:f>'SFP254v1.5_CER (Prog3)'!$N$433:$AB$433</c:f>
              <c:numCache>
                <c:formatCode>General</c:formatCode>
                <c:ptCount val="15"/>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numCache>
            </c:numRef>
          </c:cat>
          <c:val>
            <c:numRef>
              <c:f>'SFP254v1.5_CER (Prog3)'!$N$436:$AC$436</c:f>
              <c:numCache>
                <c:formatCode>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2-C462-4563-9FCC-3484FFF1A289}"/>
            </c:ext>
          </c:extLst>
        </c:ser>
        <c:ser>
          <c:idx val="3"/>
          <c:order val="3"/>
          <c:tx>
            <c:strRef>
              <c:f>'SFP254v1.5_CER (Prog3)'!$J$437</c:f>
              <c:strCache>
                <c:ptCount val="1"/>
                <c:pt idx="0">
                  <c:v> EBIT% of total revenue (Parts + Tooling) </c:v>
                </c:pt>
              </c:strCache>
            </c:strRef>
          </c:tx>
          <c:spPr>
            <a:ln w="28575" cap="rnd">
              <a:solidFill>
                <a:sysClr val="windowText" lastClr="00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'SFP254v1.5_CER (Prog3)'!$N$433:$AB$433</c:f>
              <c:numCache>
                <c:formatCode>General</c:formatCode>
                <c:ptCount val="15"/>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numCache>
            </c:numRef>
          </c:cat>
          <c:val>
            <c:numRef>
              <c:f>'SFP254v1.5_CER (Prog3)'!$N$437:$AC$437</c:f>
              <c:numCache>
                <c:formatCode>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3-C462-4563-9FCC-3484FFF1A289}"/>
            </c:ext>
          </c:extLst>
        </c:ser>
        <c:dLbls>
          <c:showLegendKey val="0"/>
          <c:showVal val="0"/>
          <c:showCatName val="0"/>
          <c:showSerName val="0"/>
          <c:showPercent val="0"/>
          <c:showBubbleSize val="0"/>
        </c:dLbls>
        <c:marker val="1"/>
        <c:smooth val="0"/>
        <c:axId val="1736274992"/>
        <c:axId val="1736281232"/>
      </c:lineChart>
      <c:catAx>
        <c:axId val="64135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crossAx val="641353311"/>
        <c:crosses val="autoZero"/>
        <c:auto val="1"/>
        <c:lblAlgn val="ctr"/>
        <c:lblOffset val="100"/>
        <c:noMultiLvlLbl val="0"/>
      </c:catAx>
      <c:valAx>
        <c:axId val="641353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 Revenue &amp; EBITDA</a:t>
                </a:r>
              </a:p>
            </c:rich>
          </c:tx>
          <c:layout>
            <c:manualLayout>
              <c:xMode val="edge"/>
              <c:yMode val="edge"/>
              <c:x val="1.2583260425780111E-2"/>
              <c:y val="0.3817752569206634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zh-CN"/>
            </a:p>
          </c:txPr>
        </c:title>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crossAx val="641354559"/>
        <c:crosses val="autoZero"/>
        <c:crossBetween val="between"/>
      </c:valAx>
      <c:valAx>
        <c:axId val="1736281232"/>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crossAx val="1736274992"/>
        <c:crosses val="max"/>
        <c:crossBetween val="between"/>
      </c:valAx>
      <c:catAx>
        <c:axId val="1736274992"/>
        <c:scaling>
          <c:orientation val="minMax"/>
        </c:scaling>
        <c:delete val="1"/>
        <c:axPos val="b"/>
        <c:numFmt formatCode="General" sourceLinked="1"/>
        <c:majorTickMark val="out"/>
        <c:minorTickMark val="none"/>
        <c:tickLblPos val="nextTo"/>
        <c:crossAx val="1736281232"/>
        <c:crosses val="autoZero"/>
        <c:auto val="1"/>
        <c:lblAlgn val="ctr"/>
        <c:lblOffset val="100"/>
        <c:noMultiLvlLbl val="0"/>
      </c:catAx>
      <c:spPr>
        <a:noFill/>
        <a:ln>
          <a:noFill/>
        </a:ln>
        <a:effectLst/>
      </c:spPr>
    </c:plotArea>
    <c:legend>
      <c:legendPos val="b"/>
      <c:layout>
        <c:manualLayout>
          <c:xMode val="edge"/>
          <c:yMode val="edge"/>
          <c:x val="7.1277611153424611E-2"/>
          <c:y val="0.84335039428743963"/>
          <c:w val="0.89373828708889969"/>
          <c:h val="0.1116886325225377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zh-CN"/>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t>Project Cash Flows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zh-CN"/>
        </a:p>
      </c:txPr>
    </c:title>
    <c:autoTitleDeleted val="0"/>
    <c:plotArea>
      <c:layout>
        <c:manualLayout>
          <c:layoutTarget val="inner"/>
          <c:xMode val="edge"/>
          <c:yMode val="edge"/>
          <c:x val="0.14450518917123789"/>
          <c:y val="8.7354750746968191E-2"/>
          <c:w val="0.81649201350856504"/>
          <c:h val="0.67863080892943461"/>
        </c:manualLayout>
      </c:layout>
      <c:barChart>
        <c:barDir val="col"/>
        <c:grouping val="clustered"/>
        <c:varyColors val="0"/>
        <c:ser>
          <c:idx val="0"/>
          <c:order val="0"/>
          <c:tx>
            <c:strRef>
              <c:f>'SFP254v1.5_CER (Prog3)'!$J$440</c:f>
              <c:strCache>
                <c:ptCount val="1"/>
                <c:pt idx="0">
                  <c:v> Operating Cash Flow (PNL, Tool &amp; WC) </c:v>
                </c:pt>
              </c:strCache>
            </c:strRef>
          </c:tx>
          <c:spPr>
            <a:solidFill>
              <a:schemeClr val="accent1">
                <a:lumMod val="75000"/>
              </a:schemeClr>
            </a:solidFill>
            <a:ln>
              <a:noFill/>
            </a:ln>
            <a:effectLst/>
          </c:spPr>
          <c:invertIfNegative val="0"/>
          <c:cat>
            <c:numRef>
              <c:f>'SFP254v1.5_CER (Prog3)'!$N$433:$AC$433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'SFP254v1.5_CER (Prog3)'!$N$440:$AC$440</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2747-437B-922C-5066B0F164BC}"/>
            </c:ext>
          </c:extLst>
        </c:ser>
        <c:ser>
          <c:idx val="1"/>
          <c:order val="1"/>
          <c:tx>
            <c:strRef>
              <c:f>'SFP254v1.5_CER (Prog3)'!$J$441</c:f>
              <c:strCache>
                <c:ptCount val="1"/>
                <c:pt idx="0">
                  <c:v> Investing Cash Flow (Capex) </c:v>
                </c:pt>
              </c:strCache>
            </c:strRef>
          </c:tx>
          <c:spPr>
            <a:solidFill>
              <a:srgbClr val="C00000"/>
            </a:solidFill>
            <a:ln>
              <a:noFill/>
            </a:ln>
            <a:effectLst/>
          </c:spPr>
          <c:invertIfNegative val="0"/>
          <c:cat>
            <c:numRef>
              <c:f>'SFP254v1.5_CER (Prog3)'!$N$433:$AC$433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'SFP254v1.5_CER (Prog3)'!$N$441:$AC$441</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2747-437B-922C-5066B0F164BC}"/>
            </c:ext>
          </c:extLst>
        </c:ser>
        <c:ser>
          <c:idx val="2"/>
          <c:order val="2"/>
          <c:tx>
            <c:strRef>
              <c:f>'SFP254v1.5_CER (Prog3)'!$J$442</c:f>
              <c:strCache>
                <c:ptCount val="1"/>
                <c:pt idx="0">
                  <c:v> Financing Cash Flow </c:v>
                </c:pt>
              </c:strCache>
            </c:strRef>
          </c:tx>
          <c:spPr>
            <a:solidFill>
              <a:srgbClr val="00B050"/>
            </a:solidFill>
            <a:ln>
              <a:noFill/>
            </a:ln>
            <a:effectLst/>
          </c:spPr>
          <c:invertIfNegative val="0"/>
          <c:cat>
            <c:numRef>
              <c:f>'SFP254v1.5_CER (Prog3)'!$N$433:$AC$433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'SFP254v1.5_CER (Prog3)'!$N$442:$AC$442</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2747-437B-922C-5066B0F164BC}"/>
            </c:ext>
          </c:extLst>
        </c:ser>
        <c:dLbls>
          <c:showLegendKey val="0"/>
          <c:showVal val="0"/>
          <c:showCatName val="0"/>
          <c:showSerName val="0"/>
          <c:showPercent val="0"/>
          <c:showBubbleSize val="0"/>
        </c:dLbls>
        <c:gapWidth val="219"/>
        <c:axId val="126332799"/>
        <c:axId val="126343199"/>
      </c:barChart>
      <c:lineChart>
        <c:grouping val="standard"/>
        <c:varyColors val="0"/>
        <c:ser>
          <c:idx val="3"/>
          <c:order val="3"/>
          <c:tx>
            <c:strRef>
              <c:f>'SFP254v1.5_CER (Prog3)'!$J$443</c:f>
              <c:strCache>
                <c:ptCount val="1"/>
                <c:pt idx="0">
                  <c:v> Cumulative CF Ops+Investmt (Nominal) </c:v>
                </c:pt>
              </c:strCache>
            </c:strRef>
          </c:tx>
          <c:spPr>
            <a:ln w="28575" cap="rnd">
              <a:solidFill>
                <a:sysClr val="windowText" lastClr="000000"/>
              </a:solidFill>
              <a:round/>
            </a:ln>
            <a:effectLst/>
          </c:spPr>
          <c:marker>
            <c:symbol val="none"/>
          </c:marker>
          <c:cat>
            <c:numRef>
              <c:f>'SFP254v1.5_CER (Prog3)'!$N$433:$AC$433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'SFP254v1.5_CER (Prog3)'!$N$443:$AC$443</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3-2747-437B-922C-5066B0F164BC}"/>
            </c:ext>
          </c:extLst>
        </c:ser>
        <c:ser>
          <c:idx val="4"/>
          <c:order val="4"/>
          <c:tx>
            <c:strRef>
              <c:f>'SFP254v1.5_CER (Prog3)'!$J$444</c:f>
              <c:strCache>
                <c:ptCount val="1"/>
                <c:pt idx="0">
                  <c:v> Cumulative CF Ops+Investmt (Present Value) </c:v>
                </c:pt>
              </c:strCache>
            </c:strRef>
          </c:tx>
          <c:spPr>
            <a:ln w="28575" cap="rnd">
              <a:solidFill>
                <a:srgbClr val="FFC000"/>
              </a:solidFill>
              <a:round/>
            </a:ln>
            <a:effectLst/>
          </c:spPr>
          <c:marker>
            <c:symbol val="none"/>
          </c:marker>
          <c:cat>
            <c:numRef>
              <c:f>'SFP254v1.5_CER (Prog3)'!$N$433:$AC$433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'SFP254v1.5_CER (Prog3)'!$N$444:$AC$444</c:f>
              <c:numCache>
                <c:formatCode>#,##0_ ;[Red]\-#,##0\ </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4-2747-437B-922C-5066B0F164BC}"/>
            </c:ext>
          </c:extLst>
        </c:ser>
        <c:dLbls>
          <c:showLegendKey val="0"/>
          <c:showVal val="0"/>
          <c:showCatName val="0"/>
          <c:showSerName val="0"/>
          <c:showPercent val="0"/>
          <c:showBubbleSize val="0"/>
        </c:dLbls>
        <c:marker val="1"/>
        <c:smooth val="0"/>
        <c:axId val="126332799"/>
        <c:axId val="126343199"/>
      </c:lineChart>
      <c:catAx>
        <c:axId val="12633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crossAx val="126343199"/>
        <c:crosses val="autoZero"/>
        <c:auto val="1"/>
        <c:lblAlgn val="ctr"/>
        <c:lblOffset val="100"/>
        <c:noMultiLvlLbl val="0"/>
      </c:catAx>
      <c:valAx>
        <c:axId val="126343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 Cash Flow</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zh-CN"/>
            </a:p>
          </c:txPr>
        </c:title>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crossAx val="126332799"/>
        <c:crosses val="autoZero"/>
        <c:crossBetween val="between"/>
      </c:valAx>
      <c:spPr>
        <a:noFill/>
        <a:ln>
          <a:noFill/>
        </a:ln>
        <a:effectLst/>
      </c:spPr>
    </c:plotArea>
    <c:legend>
      <c:legendPos val="b"/>
      <c:layout>
        <c:manualLayout>
          <c:xMode val="edge"/>
          <c:yMode val="edge"/>
          <c:x val="4.7021814291348822E-2"/>
          <c:y val="0.84373097685953569"/>
          <c:w val="0.91960891373755627"/>
          <c:h val="0.15626902314046426"/>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zh-CN"/>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t>Project Working Capital Components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zh-CN"/>
        </a:p>
      </c:txPr>
    </c:title>
    <c:autoTitleDeleted val="0"/>
    <c:plotArea>
      <c:layout>
        <c:manualLayout>
          <c:layoutTarget val="inner"/>
          <c:xMode val="edge"/>
          <c:yMode val="edge"/>
          <c:x val="0.15680698286764758"/>
          <c:y val="0.11537666429729289"/>
          <c:w val="0.82125061335065686"/>
          <c:h val="0.60775300173208435"/>
        </c:manualLayout>
      </c:layout>
      <c:barChart>
        <c:barDir val="col"/>
        <c:grouping val="stacked"/>
        <c:varyColors val="0"/>
        <c:ser>
          <c:idx val="0"/>
          <c:order val="0"/>
          <c:tx>
            <c:strRef>
              <c:f>'SFP254v1.5_CER (Prog3)'!$J$447</c:f>
              <c:strCache>
                <c:ptCount val="1"/>
                <c:pt idx="0">
                  <c:v> Accounts Receivable </c:v>
                </c:pt>
              </c:strCache>
            </c:strRef>
          </c:tx>
          <c:spPr>
            <a:solidFill>
              <a:schemeClr val="accent1">
                <a:lumMod val="75000"/>
              </a:schemeClr>
            </a:solidFill>
            <a:ln>
              <a:noFill/>
            </a:ln>
            <a:effectLst/>
          </c:spPr>
          <c:invertIfNegative val="0"/>
          <c:cat>
            <c:numRef>
              <c:f>'SFP254v1.5_CER (Prog3)'!$N$433:$AC$433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'SFP254v1.5_CER (Prog3)'!$N$447:$AC$447</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AB1F-4F68-B71A-E33306AB808A}"/>
            </c:ext>
          </c:extLst>
        </c:ser>
        <c:ser>
          <c:idx val="1"/>
          <c:order val="1"/>
          <c:tx>
            <c:strRef>
              <c:f>'SFP254v1.5_CER (Prog3)'!$J$448</c:f>
              <c:strCache>
                <c:ptCount val="1"/>
                <c:pt idx="0">
                  <c:v> Inventory  </c:v>
                </c:pt>
              </c:strCache>
            </c:strRef>
          </c:tx>
          <c:spPr>
            <a:solidFill>
              <a:srgbClr val="00B050"/>
            </a:solidFill>
            <a:ln>
              <a:noFill/>
            </a:ln>
            <a:effectLst/>
          </c:spPr>
          <c:invertIfNegative val="0"/>
          <c:cat>
            <c:numRef>
              <c:f>'SFP254v1.5_CER (Prog3)'!$N$433:$AC$433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'SFP254v1.5_CER (Prog3)'!$N$448:$AC$448</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AB1F-4F68-B71A-E33306AB808A}"/>
            </c:ext>
          </c:extLst>
        </c:ser>
        <c:ser>
          <c:idx val="2"/>
          <c:order val="2"/>
          <c:tx>
            <c:strRef>
              <c:f>'SFP254v1.5_CER (Prog3)'!$J$449</c:f>
              <c:strCache>
                <c:ptCount val="1"/>
                <c:pt idx="0">
                  <c:v> Accounts Payable </c:v>
                </c:pt>
              </c:strCache>
            </c:strRef>
          </c:tx>
          <c:spPr>
            <a:solidFill>
              <a:schemeClr val="accent2">
                <a:lumMod val="60000"/>
                <a:lumOff val="40000"/>
              </a:schemeClr>
            </a:solidFill>
            <a:ln>
              <a:noFill/>
            </a:ln>
            <a:effectLst/>
          </c:spPr>
          <c:invertIfNegative val="0"/>
          <c:cat>
            <c:numRef>
              <c:f>'SFP254v1.5_CER (Prog3)'!$N$433:$AC$433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'SFP254v1.5_CER (Prog3)'!$N$449:$AC$449</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AB1F-4F68-B71A-E33306AB808A}"/>
            </c:ext>
          </c:extLst>
        </c:ser>
        <c:ser>
          <c:idx val="3"/>
          <c:order val="3"/>
          <c:tx>
            <c:strRef>
              <c:f>'SFP254v1.5_CER (Prog3)'!$J$450</c:f>
              <c:strCache>
                <c:ptCount val="1"/>
                <c:pt idx="0">
                  <c:v> Customer Toolings Recoverable </c:v>
                </c:pt>
              </c:strCache>
            </c:strRef>
          </c:tx>
          <c:spPr>
            <a:solidFill>
              <a:schemeClr val="accent4"/>
            </a:solidFill>
            <a:ln>
              <a:noFill/>
            </a:ln>
            <a:effectLst/>
          </c:spPr>
          <c:invertIfNegative val="0"/>
          <c:cat>
            <c:numRef>
              <c:f>'SFP254v1.5_CER (Prog3)'!$N$433:$AC$433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'SFP254v1.5_CER (Prog3)'!$N$450:$AC$450</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AB1F-4F68-B71A-E33306AB808A}"/>
            </c:ext>
          </c:extLst>
        </c:ser>
        <c:ser>
          <c:idx val="4"/>
          <c:order val="4"/>
          <c:tx>
            <c:strRef>
              <c:f>'SFP254v1.5_CER (Prog3)'!$J$451</c:f>
              <c:strCache>
                <c:ptCount val="1"/>
                <c:pt idx="0">
                  <c:v> Other Assets/Payables (net, $) </c:v>
                </c:pt>
              </c:strCache>
            </c:strRef>
          </c:tx>
          <c:spPr>
            <a:solidFill>
              <a:schemeClr val="accent5"/>
            </a:solidFill>
            <a:ln>
              <a:noFill/>
            </a:ln>
            <a:effectLst/>
          </c:spPr>
          <c:invertIfNegative val="0"/>
          <c:cat>
            <c:numRef>
              <c:f>'SFP254v1.5_CER (Prog3)'!$N$433:$AC$433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'SFP254v1.5_CER (Prog3)'!$N$451:$AC$451</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AB1F-4F68-B71A-E33306AB808A}"/>
            </c:ext>
          </c:extLst>
        </c:ser>
        <c:ser>
          <c:idx val="5"/>
          <c:order val="5"/>
          <c:tx>
            <c:strRef>
              <c:f>'SFP254v1.5_CER (Prog3)'!$J$452</c:f>
              <c:strCache>
                <c:ptCount val="1"/>
                <c:pt idx="0">
                  <c:v> Unamortized Balance Tool/Auto Co-Invest </c:v>
                </c:pt>
              </c:strCache>
            </c:strRef>
          </c:tx>
          <c:spPr>
            <a:solidFill>
              <a:srgbClr val="FF0000"/>
            </a:solidFill>
            <a:ln>
              <a:noFill/>
            </a:ln>
            <a:effectLst/>
          </c:spPr>
          <c:invertIfNegative val="0"/>
          <c:cat>
            <c:numRef>
              <c:f>'SFP254v1.5_CER (Prog3)'!$N$433:$AC$433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'SFP254v1.5_CER (Prog3)'!$N$452:$AC$452</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5-AB1F-4F68-B71A-E33306AB808A}"/>
            </c:ext>
          </c:extLst>
        </c:ser>
        <c:dLbls>
          <c:showLegendKey val="0"/>
          <c:showVal val="0"/>
          <c:showCatName val="0"/>
          <c:showSerName val="0"/>
          <c:showPercent val="0"/>
          <c:showBubbleSize val="0"/>
        </c:dLbls>
        <c:gapWidth val="219"/>
        <c:overlap val="100"/>
        <c:axId val="384083872"/>
        <c:axId val="384075136"/>
      </c:barChart>
      <c:lineChart>
        <c:grouping val="standard"/>
        <c:varyColors val="0"/>
        <c:ser>
          <c:idx val="6"/>
          <c:order val="6"/>
          <c:tx>
            <c:strRef>
              <c:f>'SFP254v1.5_CER (Prog3)'!$J$453</c:f>
              <c:strCache>
                <c:ptCount val="1"/>
                <c:pt idx="0">
                  <c:v> Net Working Capital (Year-end balance) </c:v>
                </c:pt>
              </c:strCache>
            </c:strRef>
          </c:tx>
          <c:spPr>
            <a:ln w="28575" cap="rnd">
              <a:solidFill>
                <a:schemeClr val="tx1"/>
              </a:solidFill>
              <a:round/>
            </a:ln>
            <a:effectLst/>
          </c:spPr>
          <c:marker>
            <c:symbol val="none"/>
          </c:marker>
          <c:cat>
            <c:numRef>
              <c:f>'SFP254v1.5_CER (Prog3)'!$N$433:$AC$433</c:f>
              <c:numCache>
                <c:formatCode>General</c:formatCode>
                <c:ptCount val="16"/>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numCache>
            </c:numRef>
          </c:cat>
          <c:val>
            <c:numRef>
              <c:f>'SFP254v1.5_CER (Prog3)'!$N$453:$AC$453</c:f>
              <c:numCache>
                <c:formatCode>#,##0_ ;[Red]\-#,##0\ </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6-AB1F-4F68-B71A-E33306AB808A}"/>
            </c:ext>
          </c:extLst>
        </c:ser>
        <c:dLbls>
          <c:showLegendKey val="0"/>
          <c:showVal val="0"/>
          <c:showCatName val="0"/>
          <c:showSerName val="0"/>
          <c:showPercent val="0"/>
          <c:showBubbleSize val="0"/>
        </c:dLbls>
        <c:marker val="1"/>
        <c:smooth val="0"/>
        <c:axId val="384083872"/>
        <c:axId val="384075136"/>
      </c:lineChart>
      <c:catAx>
        <c:axId val="38408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crossAx val="384075136"/>
        <c:crosses val="autoZero"/>
        <c:auto val="1"/>
        <c:lblAlgn val="ctr"/>
        <c:lblOffset val="100"/>
        <c:noMultiLvlLbl val="0"/>
      </c:catAx>
      <c:valAx>
        <c:axId val="384075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 Working Capital</a:t>
                </a:r>
              </a:p>
            </c:rich>
          </c:tx>
          <c:layout>
            <c:manualLayout>
              <c:xMode val="edge"/>
              <c:yMode val="edge"/>
              <c:x val="3.5805228103617153E-3"/>
              <c:y val="0.3070412040795031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zh-CN"/>
            </a:p>
          </c:txPr>
        </c:title>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crossAx val="384083872"/>
        <c:crosses val="autoZero"/>
        <c:crossBetween val="between"/>
      </c:valAx>
      <c:spPr>
        <a:noFill/>
        <a:ln>
          <a:noFill/>
        </a:ln>
        <a:effectLst/>
      </c:spPr>
    </c:plotArea>
    <c:legend>
      <c:legendPos val="b"/>
      <c:layout>
        <c:manualLayout>
          <c:xMode val="edge"/>
          <c:yMode val="edge"/>
          <c:x val="2.9582882373042248E-2"/>
          <c:y val="0.79159220861100366"/>
          <c:w val="0.94269635393003759"/>
          <c:h val="0.18990321800975518"/>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emf"/><Relationship Id="rId5" Type="http://schemas.openxmlformats.org/officeDocument/2006/relationships/image" Target="../media/image2.emf"/><Relationship Id="rId4" Type="http://schemas.openxmlformats.org/officeDocument/2006/relationships/image" Target="../media/image1.emf"/></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image" Target="../media/image7.emf"/><Relationship Id="rId4" Type="http://schemas.openxmlformats.org/officeDocument/2006/relationships/image" Target="../media/image6.emf"/></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image" Target="../media/image7.emf"/><Relationship Id="rId4" Type="http://schemas.openxmlformats.org/officeDocument/2006/relationships/image" Target="../media/image6.emf"/></Relationships>
</file>

<file path=xl/drawings/_rels/drawing6.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image" Target="../media/image7.emf"/><Relationship Id="rId4" Type="http://schemas.openxmlformats.org/officeDocument/2006/relationships/image" Target="../media/image6.emf"/></Relationships>
</file>

<file path=xl/drawings/_rels/vmlDrawing1.vml.rels><?xml version="1.0" encoding="UTF-8" standalone="yes"?>
<Relationships xmlns="http://schemas.openxmlformats.org/package/2006/relationships"><Relationship Id="rId2" Type="http://schemas.openxmlformats.org/officeDocument/2006/relationships/image" Target="../media/image5.emf"/><Relationship Id="rId1" Type="http://schemas.openxmlformats.org/officeDocument/2006/relationships/image" Target="../media/image4.e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_rels/vmlDrawing3.v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_rels/vmlDrawing4.v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22</xdr:col>
      <xdr:colOff>734972</xdr:colOff>
      <xdr:row>6</xdr:row>
      <xdr:rowOff>163514</xdr:rowOff>
    </xdr:from>
    <xdr:to>
      <xdr:col>31</xdr:col>
      <xdr:colOff>931635</xdr:colOff>
      <xdr:row>9</xdr:row>
      <xdr:rowOff>394608</xdr:rowOff>
    </xdr:to>
    <xdr:sp macro="" textlink="">
      <xdr:nvSpPr>
        <xdr:cNvPr id="4" name="TextBox 3">
          <a:extLst>
            <a:ext uri="{FF2B5EF4-FFF2-40B4-BE49-F238E27FC236}">
              <a16:creationId xmlns:a16="http://schemas.microsoft.com/office/drawing/2014/main" id="{39388BDD-4C61-4D0F-A570-39ACE6797C14}"/>
            </a:ext>
          </a:extLst>
        </xdr:cNvPr>
        <xdr:cNvSpPr txBox="1"/>
      </xdr:nvSpPr>
      <xdr:spPr>
        <a:xfrm>
          <a:off x="18260972" y="163514"/>
          <a:ext cx="9993806" cy="1496558"/>
        </a:xfrm>
        <a:prstGeom prst="rect">
          <a:avLst/>
        </a:prstGeom>
        <a:solidFill>
          <a:schemeClr val="lt1"/>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SG" sz="1200" b="1" u="sng">
              <a:solidFill>
                <a:schemeClr val="dk1"/>
              </a:solidFill>
              <a:effectLst/>
              <a:latin typeface="+mn-lt"/>
              <a:ea typeface="+mn-ea"/>
              <a:cs typeface="+mn-cs"/>
            </a:rPr>
            <a:t>THIS WORKSHEET IS</a:t>
          </a:r>
          <a:r>
            <a:rPr lang="en-SG" sz="1200" b="1" u="sng" baseline="0">
              <a:solidFill>
                <a:schemeClr val="dk1"/>
              </a:solidFill>
              <a:effectLst/>
              <a:latin typeface="+mn-lt"/>
              <a:ea typeface="+mn-ea"/>
              <a:cs typeface="+mn-cs"/>
            </a:rPr>
            <a:t> </a:t>
          </a:r>
          <a:r>
            <a:rPr lang="en-SG" sz="1200" b="1" u="sng">
              <a:solidFill>
                <a:schemeClr val="dk1"/>
              </a:solidFill>
              <a:effectLst/>
              <a:latin typeface="+mn-lt"/>
              <a:ea typeface="+mn-ea"/>
              <a:cs typeface="+mn-cs"/>
            </a:rPr>
            <a:t>FOR CONSOLIDATION</a:t>
          </a:r>
          <a:r>
            <a:rPr lang="en-SG" sz="1200" b="1" u="sng" baseline="0">
              <a:solidFill>
                <a:schemeClr val="dk1"/>
              </a:solidFill>
              <a:effectLst/>
              <a:latin typeface="+mn-lt"/>
              <a:ea typeface="+mn-ea"/>
              <a:cs typeface="+mn-cs"/>
            </a:rPr>
            <a:t> OF MULTIPLE PROGRAMS INTO A SINGLE PROECT EVALUATION</a:t>
          </a:r>
          <a:r>
            <a:rPr lang="en-SG" sz="1200" b="0" u="none" baseline="0">
              <a:solidFill>
                <a:schemeClr val="dk1"/>
              </a:solidFill>
              <a:effectLst/>
              <a:latin typeface="+mn-lt"/>
              <a:ea typeface="+mn-ea"/>
              <a:cs typeface="+mn-cs"/>
            </a:rPr>
            <a:t> (e.g. programs sharing same capex)</a:t>
          </a:r>
          <a:endParaRPr lang="en-SG" sz="1200" b="0" u="none">
            <a:solidFill>
              <a:schemeClr val="dk1"/>
            </a:solidFill>
            <a:effectLst/>
            <a:latin typeface="+mn-lt"/>
            <a:ea typeface="+mn-ea"/>
            <a:cs typeface="+mn-cs"/>
          </a:endParaRPr>
        </a:p>
        <a:p>
          <a:r>
            <a:rPr lang="en-SG" sz="1200"/>
            <a:t>1) You may consolidate multiple Parts using</a:t>
          </a:r>
          <a:r>
            <a:rPr lang="en-SG" sz="1200" baseline="0"/>
            <a:t> this template by </a:t>
          </a:r>
          <a:r>
            <a:rPr lang="en-SG" sz="1200"/>
            <a:t>inserting a copy of the completed SFP254 for individual programs from the CQSC file or standalone template into the Consolidation template file. </a:t>
          </a:r>
          <a:r>
            <a:rPr lang="en-SG" sz="1200" u="sng">
              <a:solidFill>
                <a:srgbClr val="FF0000"/>
              </a:solidFill>
            </a:rPr>
            <a:t>All</a:t>
          </a:r>
          <a:r>
            <a:rPr lang="en-SG" sz="1200" u="sng" baseline="0">
              <a:solidFill>
                <a:srgbClr val="FF0000"/>
              </a:solidFill>
            </a:rPr>
            <a:t> SFP254 templates must be of the SAME version (vX.X) - latest version is available at Finance portal.</a:t>
          </a:r>
          <a:endParaRPr lang="en-SG" sz="1200" u="sng">
            <a:solidFill>
              <a:srgbClr val="FF0000"/>
            </a:solidFill>
          </a:endParaRPr>
        </a:p>
        <a:p>
          <a:r>
            <a:rPr lang="en-SG" sz="1200"/>
            <a:t>2) Insert the Parts level SFP254 in between worksheet "Bgn&gt;&gt;" and "&lt;&lt;End". The Consol worksheet will then pick-up data from all SFP254 worksheets in the range, and display the consolidated results, including the consolidated GP% and ROI  </a:t>
          </a:r>
        </a:p>
        <a:p>
          <a:r>
            <a:rPr lang="en-SG" sz="1200"/>
            <a:t>3) </a:t>
          </a:r>
          <a:r>
            <a:rPr lang="en-SG" sz="1200" b="0" u="sng">
              <a:solidFill>
                <a:srgbClr val="FF0000"/>
              </a:solidFill>
            </a:rPr>
            <a:t>The SOP year and date must also be entered in the Consolidation Worksheet, and must be consistent for all programs within the project </a:t>
          </a:r>
        </a:p>
      </xdr:txBody>
    </xdr:sp>
    <xdr:clientData/>
  </xdr:twoCellAnchor>
  <xdr:twoCellAnchor>
    <xdr:from>
      <xdr:col>9</xdr:col>
      <xdr:colOff>202406</xdr:colOff>
      <xdr:row>408</xdr:row>
      <xdr:rowOff>9921</xdr:rowOff>
    </xdr:from>
    <xdr:to>
      <xdr:col>11</xdr:col>
      <xdr:colOff>1142999</xdr:colOff>
      <xdr:row>430</xdr:row>
      <xdr:rowOff>154781</xdr:rowOff>
    </xdr:to>
    <xdr:graphicFrame macro="">
      <xdr:nvGraphicFramePr>
        <xdr:cNvPr id="5" name="Chart 4">
          <a:extLst>
            <a:ext uri="{FF2B5EF4-FFF2-40B4-BE49-F238E27FC236}">
              <a16:creationId xmlns:a16="http://schemas.microsoft.com/office/drawing/2014/main" id="{5C0422E0-0F48-F38F-E17D-97FFD394A5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401638</xdr:colOff>
      <xdr:row>408</xdr:row>
      <xdr:rowOff>0</xdr:rowOff>
    </xdr:from>
    <xdr:to>
      <xdr:col>19</xdr:col>
      <xdr:colOff>219868</xdr:colOff>
      <xdr:row>430</xdr:row>
      <xdr:rowOff>154780</xdr:rowOff>
    </xdr:to>
    <xdr:graphicFrame macro="">
      <xdr:nvGraphicFramePr>
        <xdr:cNvPr id="6" name="Chart 5">
          <a:extLst>
            <a:ext uri="{FF2B5EF4-FFF2-40B4-BE49-F238E27FC236}">
              <a16:creationId xmlns:a16="http://schemas.microsoft.com/office/drawing/2014/main" id="{1D74E746-4216-4C4A-5DE6-6D9BF44A77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607219</xdr:colOff>
      <xdr:row>408</xdr:row>
      <xdr:rowOff>1190</xdr:rowOff>
    </xdr:from>
    <xdr:to>
      <xdr:col>25</xdr:col>
      <xdr:colOff>238125</xdr:colOff>
      <xdr:row>430</xdr:row>
      <xdr:rowOff>151606</xdr:rowOff>
    </xdr:to>
    <xdr:graphicFrame macro="">
      <xdr:nvGraphicFramePr>
        <xdr:cNvPr id="7" name="Chart 6">
          <a:extLst>
            <a:ext uri="{FF2B5EF4-FFF2-40B4-BE49-F238E27FC236}">
              <a16:creationId xmlns:a16="http://schemas.microsoft.com/office/drawing/2014/main" id="{D33B99EF-81A6-E6DC-373B-71FC077CD7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13</xdr:col>
          <xdr:colOff>136072</xdr:colOff>
          <xdr:row>6</xdr:row>
          <xdr:rowOff>154781</xdr:rowOff>
        </xdr:from>
        <xdr:to>
          <xdr:col>17</xdr:col>
          <xdr:colOff>636701</xdr:colOff>
          <xdr:row>9</xdr:row>
          <xdr:rowOff>279297</xdr:rowOff>
        </xdr:to>
        <xdr:pic>
          <xdr:nvPicPr>
            <xdr:cNvPr id="3" name="Picture 2">
              <a:extLst>
                <a:ext uri="{FF2B5EF4-FFF2-40B4-BE49-F238E27FC236}">
                  <a16:creationId xmlns:a16="http://schemas.microsoft.com/office/drawing/2014/main" id="{8DAA9C24-5841-7C4E-10BD-F85DB8B8A2F0}"/>
                </a:ext>
              </a:extLst>
            </xdr:cNvPr>
            <xdr:cNvPicPr>
              <a:picLocks noChangeAspect="1" noChangeArrowheads="1"/>
              <a:extLst>
                <a:ext uri="{84589F7E-364E-4C9E-8A38-B11213B215E9}">
                  <a14:cameraTool cellRange="$O$352:$S$359" spid="_x0000_s6000"/>
                </a:ext>
              </a:extLst>
            </xdr:cNvPicPr>
          </xdr:nvPicPr>
          <xdr:blipFill>
            <a:blip xmlns:r="http://schemas.openxmlformats.org/officeDocument/2006/relationships" r:embed="rId4"/>
            <a:srcRect/>
            <a:stretch>
              <a:fillRect/>
            </a:stretch>
          </xdr:blipFill>
          <xdr:spPr bwMode="auto">
            <a:xfrm>
              <a:off x="7919358" y="154781"/>
              <a:ext cx="5161982" cy="1536484"/>
            </a:xfrm>
            <a:prstGeom prst="rect">
              <a:avLst/>
            </a:prstGeom>
            <a:noFill/>
            <a:ln>
              <a:solidFill>
                <a:sysClr val="windowText" lastClr="000000"/>
              </a:solid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918935</xdr:colOff>
          <xdr:row>6</xdr:row>
          <xdr:rowOff>163287</xdr:rowOff>
        </xdr:from>
        <xdr:to>
          <xdr:col>22</xdr:col>
          <xdr:colOff>373742</xdr:colOff>
          <xdr:row>9</xdr:row>
          <xdr:rowOff>235524</xdr:rowOff>
        </xdr:to>
        <xdr:pic>
          <xdr:nvPicPr>
            <xdr:cNvPr id="8" name="Picture 7">
              <a:extLst>
                <a:ext uri="{FF2B5EF4-FFF2-40B4-BE49-F238E27FC236}">
                  <a16:creationId xmlns:a16="http://schemas.microsoft.com/office/drawing/2014/main" id="{E0A52D4B-572E-08F7-7313-4943244904BE}"/>
                </a:ext>
              </a:extLst>
            </xdr:cNvPr>
            <xdr:cNvPicPr>
              <a:picLocks noChangeAspect="1" noChangeArrowheads="1"/>
              <a:extLst>
                <a:ext uri="{84589F7E-364E-4C9E-8A38-B11213B215E9}">
                  <a14:cameraTool cellRange="$U$352:$Y$359" spid="_x0000_s6001"/>
                </a:ext>
              </a:extLst>
            </xdr:cNvPicPr>
          </xdr:nvPicPr>
          <xdr:blipFill>
            <a:blip xmlns:r="http://schemas.openxmlformats.org/officeDocument/2006/relationships" r:embed="rId5"/>
            <a:srcRect/>
            <a:stretch>
              <a:fillRect/>
            </a:stretch>
          </xdr:blipFill>
          <xdr:spPr bwMode="auto">
            <a:xfrm>
              <a:off x="13206185" y="163287"/>
              <a:ext cx="4932136" cy="1490555"/>
            </a:xfrm>
            <a:prstGeom prst="rect">
              <a:avLst/>
            </a:prstGeom>
            <a:noFill/>
            <a:ln>
              <a:solidFill>
                <a:sysClr val="windowText" lastClr="000000"/>
              </a:solidFill>
            </a:ln>
            <a:extLst>
              <a:ext uri="{909E8E84-426E-40DD-AFC4-6F175D3DCCD1}">
                <a14:hiddenFill>
                  <a:solidFill>
                    <a:srgbClr val="FFFFFF"/>
                  </a:solidFill>
                </a14:hiddenFill>
              </a:ext>
            </a:extLst>
          </xdr:spPr>
        </xdr:pic>
        <xdr:clientData/>
      </xdr:twoCellAnchor>
    </mc:Choice>
    <mc:Fallback/>
  </mc:AlternateContent>
  <xdr:twoCellAnchor editAs="oneCell">
    <xdr:from>
      <xdr:col>9</xdr:col>
      <xdr:colOff>1738539</xdr:colOff>
      <xdr:row>9</xdr:row>
      <xdr:rowOff>146504</xdr:rowOff>
    </xdr:from>
    <xdr:to>
      <xdr:col>9</xdr:col>
      <xdr:colOff>3849914</xdr:colOff>
      <xdr:row>9</xdr:row>
      <xdr:rowOff>512990</xdr:rowOff>
    </xdr:to>
    <xdr:pic>
      <xdr:nvPicPr>
        <xdr:cNvPr id="9" name="Picture 8">
          <a:extLst>
            <a:ext uri="{FF2B5EF4-FFF2-40B4-BE49-F238E27FC236}">
              <a16:creationId xmlns:a16="http://schemas.microsoft.com/office/drawing/2014/main" id="{762E5545-DD14-4DC0-CDFC-5F860160737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364468" y="1194254"/>
          <a:ext cx="2111375" cy="366486"/>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0</xdr:colOff>
      <xdr:row>9</xdr:row>
      <xdr:rowOff>0</xdr:rowOff>
    </xdr:from>
    <xdr:to>
      <xdr:col>10</xdr:col>
      <xdr:colOff>38100</xdr:colOff>
      <xdr:row>46</xdr:row>
      <xdr:rowOff>19050</xdr:rowOff>
    </xdr:to>
    <xdr:sp macro="" textlink="">
      <xdr:nvSpPr>
        <xdr:cNvPr id="2" name="矩形 1">
          <a:extLst>
            <a:ext uri="{FF2B5EF4-FFF2-40B4-BE49-F238E27FC236}">
              <a16:creationId xmlns:a16="http://schemas.microsoft.com/office/drawing/2014/main" id="{B5503EFD-C416-4023-8788-5112DDC568F7}"/>
            </a:ext>
          </a:extLst>
        </xdr:cNvPr>
        <xdr:cNvSpPr/>
      </xdr:nvSpPr>
      <xdr:spPr>
        <a:xfrm>
          <a:off x="6172200" y="1628775"/>
          <a:ext cx="723900" cy="6715125"/>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5</xdr:col>
      <xdr:colOff>438150</xdr:colOff>
      <xdr:row>15</xdr:row>
      <xdr:rowOff>123825</xdr:rowOff>
    </xdr:from>
    <xdr:to>
      <xdr:col>6</xdr:col>
      <xdr:colOff>228599</xdr:colOff>
      <xdr:row>16</xdr:row>
      <xdr:rowOff>333375</xdr:rowOff>
    </xdr:to>
    <xdr:sp macro="" textlink="">
      <xdr:nvSpPr>
        <xdr:cNvPr id="4" name="箭头: 右 3">
          <a:extLst>
            <a:ext uri="{FF2B5EF4-FFF2-40B4-BE49-F238E27FC236}">
              <a16:creationId xmlns:a16="http://schemas.microsoft.com/office/drawing/2014/main" id="{2C7AC3E2-0984-454B-A73C-33A181FBD7A5}"/>
            </a:ext>
          </a:extLst>
        </xdr:cNvPr>
        <xdr:cNvSpPr/>
      </xdr:nvSpPr>
      <xdr:spPr>
        <a:xfrm flipH="1">
          <a:off x="3867150" y="2838450"/>
          <a:ext cx="476249" cy="238125"/>
        </a:xfrm>
        <a:prstGeom prst="rightArrow">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zh-CN" altLang="en-US" sz="1100"/>
        </a:p>
      </xdr:txBody>
    </xdr:sp>
    <xdr:clientData/>
  </xdr:twoCellAnchor>
  <xdr:oneCellAnchor>
    <xdr:from>
      <xdr:col>5</xdr:col>
      <xdr:colOff>123825</xdr:colOff>
      <xdr:row>9</xdr:row>
      <xdr:rowOff>180974</xdr:rowOff>
    </xdr:from>
    <xdr:ext cx="1247775" cy="962026"/>
    <xdr:sp macro="" textlink="">
      <xdr:nvSpPr>
        <xdr:cNvPr id="5" name="文本框 4">
          <a:extLst>
            <a:ext uri="{FF2B5EF4-FFF2-40B4-BE49-F238E27FC236}">
              <a16:creationId xmlns:a16="http://schemas.microsoft.com/office/drawing/2014/main" id="{DF16289B-89E1-431F-9D53-E459EA9C6F4A}"/>
            </a:ext>
          </a:extLst>
        </xdr:cNvPr>
        <xdr:cNvSpPr txBox="1"/>
      </xdr:nvSpPr>
      <xdr:spPr>
        <a:xfrm>
          <a:off x="6362700" y="1819274"/>
          <a:ext cx="1247775" cy="962026"/>
        </a:xfrm>
        <a:prstGeom prst="cloudCallout">
          <a:avLst>
            <a:gd name="adj1" fmla="val -58019"/>
            <a:gd name="adj2" fmla="val 40664"/>
          </a:avLst>
        </a:prstGeom>
      </xdr:spPr>
      <xdr:style>
        <a:lnRef idx="2">
          <a:schemeClr val="accent6"/>
        </a:lnRef>
        <a:fillRef idx="1">
          <a:schemeClr val="lt1"/>
        </a:fillRef>
        <a:effectRef idx="0">
          <a:schemeClr val="accent6"/>
        </a:effectRef>
        <a:fontRef idx="minor">
          <a:schemeClr val="dk1"/>
        </a:fontRef>
      </xdr:style>
      <xdr:txBody>
        <a:bodyPr vertOverflow="clip" horzOverflow="clip" wrap="none" rtlCol="0" anchor="t">
          <a:noAutofit/>
        </a:bodyPr>
        <a:lstStyle/>
        <a:p>
          <a:r>
            <a:rPr lang="zh-CN" altLang="en-US" sz="1100"/>
            <a:t>拷贝这边的</a:t>
          </a:r>
          <a:endParaRPr lang="en-US" altLang="zh-CN" sz="1100"/>
        </a:p>
        <a:p>
          <a:r>
            <a:rPr lang="zh-CN" altLang="en-US" sz="1100"/>
            <a:t>数据粘贴到这里</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8</xdr:col>
      <xdr:colOff>1238249</xdr:colOff>
      <xdr:row>9</xdr:row>
      <xdr:rowOff>9525</xdr:rowOff>
    </xdr:from>
    <xdr:to>
      <xdr:col>10</xdr:col>
      <xdr:colOff>28574</xdr:colOff>
      <xdr:row>46</xdr:row>
      <xdr:rowOff>28575</xdr:rowOff>
    </xdr:to>
    <xdr:sp macro="" textlink="">
      <xdr:nvSpPr>
        <xdr:cNvPr id="2" name="矩形 1">
          <a:extLst>
            <a:ext uri="{FF2B5EF4-FFF2-40B4-BE49-F238E27FC236}">
              <a16:creationId xmlns:a16="http://schemas.microsoft.com/office/drawing/2014/main" id="{11480422-4634-4987-8734-BE6C4C29EB3A}"/>
            </a:ext>
          </a:extLst>
        </xdr:cNvPr>
        <xdr:cNvSpPr/>
      </xdr:nvSpPr>
      <xdr:spPr>
        <a:xfrm>
          <a:off x="6172199" y="1638300"/>
          <a:ext cx="714375" cy="6715125"/>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199231</xdr:colOff>
      <xdr:row>407</xdr:row>
      <xdr:rowOff>149621</xdr:rowOff>
    </xdr:from>
    <xdr:to>
      <xdr:col>11</xdr:col>
      <xdr:colOff>1142999</xdr:colOff>
      <xdr:row>430</xdr:row>
      <xdr:rowOff>119062</xdr:rowOff>
    </xdr:to>
    <xdr:graphicFrame macro="">
      <xdr:nvGraphicFramePr>
        <xdr:cNvPr id="6" name="Chart 5">
          <a:extLst>
            <a:ext uri="{FF2B5EF4-FFF2-40B4-BE49-F238E27FC236}">
              <a16:creationId xmlns:a16="http://schemas.microsoft.com/office/drawing/2014/main" id="{0A0F5ABF-3A0D-4C1A-AA9E-D2FFA771BC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401638</xdr:colOff>
      <xdr:row>408</xdr:row>
      <xdr:rowOff>0</xdr:rowOff>
    </xdr:from>
    <xdr:to>
      <xdr:col>19</xdr:col>
      <xdr:colOff>219868</xdr:colOff>
      <xdr:row>430</xdr:row>
      <xdr:rowOff>154780</xdr:rowOff>
    </xdr:to>
    <xdr:graphicFrame macro="">
      <xdr:nvGraphicFramePr>
        <xdr:cNvPr id="7" name="Chart 6">
          <a:extLst>
            <a:ext uri="{FF2B5EF4-FFF2-40B4-BE49-F238E27FC236}">
              <a16:creationId xmlns:a16="http://schemas.microsoft.com/office/drawing/2014/main" id="{F42AF203-7524-49EA-807D-B55D7D01B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607219</xdr:colOff>
      <xdr:row>408</xdr:row>
      <xdr:rowOff>1190</xdr:rowOff>
    </xdr:from>
    <xdr:to>
      <xdr:col>25</xdr:col>
      <xdr:colOff>238125</xdr:colOff>
      <xdr:row>430</xdr:row>
      <xdr:rowOff>151606</xdr:rowOff>
    </xdr:to>
    <xdr:graphicFrame macro="">
      <xdr:nvGraphicFramePr>
        <xdr:cNvPr id="8" name="Chart 7">
          <a:extLst>
            <a:ext uri="{FF2B5EF4-FFF2-40B4-BE49-F238E27FC236}">
              <a16:creationId xmlns:a16="http://schemas.microsoft.com/office/drawing/2014/main" id="{9D3B7739-2AAD-4A65-9227-15565531B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20</xdr:col>
          <xdr:colOff>211138</xdr:colOff>
          <xdr:row>6</xdr:row>
          <xdr:rowOff>139698</xdr:rowOff>
        </xdr:from>
        <xdr:to>
          <xdr:col>25</xdr:col>
          <xdr:colOff>2721</xdr:colOff>
          <xdr:row>9</xdr:row>
          <xdr:rowOff>427829</xdr:rowOff>
        </xdr:to>
        <xdr:pic>
          <xdr:nvPicPr>
            <xdr:cNvPr id="15" name="Picture 14">
              <a:extLst>
                <a:ext uri="{FF2B5EF4-FFF2-40B4-BE49-F238E27FC236}">
                  <a16:creationId xmlns:a16="http://schemas.microsoft.com/office/drawing/2014/main" id="{6B5EADE0-C434-4107-8657-EB62C18392BC}"/>
                </a:ext>
              </a:extLst>
            </xdr:cNvPr>
            <xdr:cNvPicPr>
              <a:picLocks noChangeAspect="1" noChangeArrowheads="1"/>
              <a:extLst>
                <a:ext uri="{84589F7E-364E-4C9E-8A38-B11213B215E9}">
                  <a14:cameraTool cellRange="$U$352:$Y$359" spid="_x0000_s1977"/>
                </a:ext>
              </a:extLst>
            </xdr:cNvPicPr>
          </xdr:nvPicPr>
          <xdr:blipFill>
            <a:blip xmlns:r="http://schemas.openxmlformats.org/officeDocument/2006/relationships" r:embed="rId4"/>
            <a:srcRect/>
            <a:stretch>
              <a:fillRect/>
            </a:stretch>
          </xdr:blipFill>
          <xdr:spPr bwMode="auto">
            <a:xfrm>
              <a:off x="15189201" y="139698"/>
              <a:ext cx="5275262" cy="1604169"/>
            </a:xfrm>
            <a:prstGeom prst="rect">
              <a:avLst/>
            </a:prstGeom>
            <a:noFill/>
            <a:ln>
              <a:solidFill>
                <a:sysClr val="windowText" lastClr="000000"/>
              </a:solid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294483</xdr:colOff>
          <xdr:row>6</xdr:row>
          <xdr:rowOff>151606</xdr:rowOff>
        </xdr:from>
        <xdr:to>
          <xdr:col>19</xdr:col>
          <xdr:colOff>140268</xdr:colOff>
          <xdr:row>9</xdr:row>
          <xdr:rowOff>467518</xdr:rowOff>
        </xdr:to>
        <xdr:pic>
          <xdr:nvPicPr>
            <xdr:cNvPr id="17" name="Picture 16">
              <a:extLst>
                <a:ext uri="{FF2B5EF4-FFF2-40B4-BE49-F238E27FC236}">
                  <a16:creationId xmlns:a16="http://schemas.microsoft.com/office/drawing/2014/main" id="{02F536DE-027E-453C-BDAA-B5EE497AEFFA}"/>
                </a:ext>
              </a:extLst>
            </xdr:cNvPr>
            <xdr:cNvPicPr>
              <a:picLocks noChangeAspect="1" noChangeArrowheads="1"/>
              <a:extLst>
                <a:ext uri="{84589F7E-364E-4C9E-8A38-B11213B215E9}">
                  <a14:cameraTool cellRange="$O$352:$S$359" spid="_x0000_s1978"/>
                </a:ext>
              </a:extLst>
            </xdr:cNvPicPr>
          </xdr:nvPicPr>
          <xdr:blipFill>
            <a:blip xmlns:r="http://schemas.openxmlformats.org/officeDocument/2006/relationships" r:embed="rId5"/>
            <a:srcRect/>
            <a:stretch>
              <a:fillRect/>
            </a:stretch>
          </xdr:blipFill>
          <xdr:spPr bwMode="auto">
            <a:xfrm>
              <a:off x="8878889" y="151606"/>
              <a:ext cx="5345906" cy="1619250"/>
            </a:xfrm>
            <a:prstGeom prst="rect">
              <a:avLst/>
            </a:prstGeom>
            <a:noFill/>
            <a:ln>
              <a:solidFill>
                <a:sysClr val="windowText" lastClr="000000"/>
              </a:solidFill>
            </a:ln>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9</xdr:col>
      <xdr:colOff>199231</xdr:colOff>
      <xdr:row>407</xdr:row>
      <xdr:rowOff>149621</xdr:rowOff>
    </xdr:from>
    <xdr:to>
      <xdr:col>11</xdr:col>
      <xdr:colOff>1142999</xdr:colOff>
      <xdr:row>430</xdr:row>
      <xdr:rowOff>119062</xdr:rowOff>
    </xdr:to>
    <xdr:graphicFrame macro="">
      <xdr:nvGraphicFramePr>
        <xdr:cNvPr id="2" name="Chart 1">
          <a:extLst>
            <a:ext uri="{FF2B5EF4-FFF2-40B4-BE49-F238E27FC236}">
              <a16:creationId xmlns:a16="http://schemas.microsoft.com/office/drawing/2014/main" id="{786E4584-2C17-4A06-AC7C-273E717FF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401638</xdr:colOff>
      <xdr:row>408</xdr:row>
      <xdr:rowOff>0</xdr:rowOff>
    </xdr:from>
    <xdr:to>
      <xdr:col>19</xdr:col>
      <xdr:colOff>219868</xdr:colOff>
      <xdr:row>430</xdr:row>
      <xdr:rowOff>154780</xdr:rowOff>
    </xdr:to>
    <xdr:graphicFrame macro="">
      <xdr:nvGraphicFramePr>
        <xdr:cNvPr id="3" name="Chart 2">
          <a:extLst>
            <a:ext uri="{FF2B5EF4-FFF2-40B4-BE49-F238E27FC236}">
              <a16:creationId xmlns:a16="http://schemas.microsoft.com/office/drawing/2014/main" id="{45654FB0-3FA2-4997-A3BB-BB53E65AD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607219</xdr:colOff>
      <xdr:row>408</xdr:row>
      <xdr:rowOff>1190</xdr:rowOff>
    </xdr:from>
    <xdr:to>
      <xdr:col>25</xdr:col>
      <xdr:colOff>238125</xdr:colOff>
      <xdr:row>430</xdr:row>
      <xdr:rowOff>151606</xdr:rowOff>
    </xdr:to>
    <xdr:graphicFrame macro="">
      <xdr:nvGraphicFramePr>
        <xdr:cNvPr id="4" name="Chart 3">
          <a:extLst>
            <a:ext uri="{FF2B5EF4-FFF2-40B4-BE49-F238E27FC236}">
              <a16:creationId xmlns:a16="http://schemas.microsoft.com/office/drawing/2014/main" id="{1752B05D-E7F1-4E8A-A2B3-CDD47134B9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20</xdr:col>
          <xdr:colOff>211138</xdr:colOff>
          <xdr:row>6</xdr:row>
          <xdr:rowOff>142873</xdr:rowOff>
        </xdr:from>
        <xdr:to>
          <xdr:col>24</xdr:col>
          <xdr:colOff>1021669</xdr:colOff>
          <xdr:row>9</xdr:row>
          <xdr:rowOff>446085</xdr:rowOff>
        </xdr:to>
        <xdr:pic>
          <xdr:nvPicPr>
            <xdr:cNvPr id="5" name="Picture 4">
              <a:extLst>
                <a:ext uri="{FF2B5EF4-FFF2-40B4-BE49-F238E27FC236}">
                  <a16:creationId xmlns:a16="http://schemas.microsoft.com/office/drawing/2014/main" id="{2A2F7E5C-CCBC-40E8-AEB8-C34980FAD770}"/>
                </a:ext>
              </a:extLst>
            </xdr:cNvPr>
            <xdr:cNvPicPr>
              <a:picLocks noChangeAspect="1" noChangeArrowheads="1"/>
              <a:extLst>
                <a:ext uri="{84589F7E-364E-4C9E-8A38-B11213B215E9}">
                  <a14:cameraTool cellRange="$U$352:$Y$359" spid="_x0000_s22830"/>
                </a:ext>
              </a:extLst>
            </xdr:cNvPicPr>
          </xdr:nvPicPr>
          <xdr:blipFill>
            <a:blip xmlns:r="http://schemas.openxmlformats.org/officeDocument/2006/relationships" r:embed="rId4"/>
            <a:srcRect/>
            <a:stretch>
              <a:fillRect/>
            </a:stretch>
          </xdr:blipFill>
          <xdr:spPr bwMode="auto">
            <a:xfrm>
              <a:off x="15189201" y="142873"/>
              <a:ext cx="5238750" cy="1619250"/>
            </a:xfrm>
            <a:prstGeom prst="rect">
              <a:avLst/>
            </a:prstGeom>
            <a:noFill/>
            <a:ln>
              <a:solidFill>
                <a:sysClr val="windowText" lastClr="000000"/>
              </a:solid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294483</xdr:colOff>
          <xdr:row>6</xdr:row>
          <xdr:rowOff>151606</xdr:rowOff>
        </xdr:from>
        <xdr:to>
          <xdr:col>19</xdr:col>
          <xdr:colOff>140268</xdr:colOff>
          <xdr:row>9</xdr:row>
          <xdr:rowOff>467518</xdr:rowOff>
        </xdr:to>
        <xdr:pic>
          <xdr:nvPicPr>
            <xdr:cNvPr id="6" name="Picture 5">
              <a:extLst>
                <a:ext uri="{FF2B5EF4-FFF2-40B4-BE49-F238E27FC236}">
                  <a16:creationId xmlns:a16="http://schemas.microsoft.com/office/drawing/2014/main" id="{6B218A42-575B-4D1F-A7FF-5D35B393549D}"/>
                </a:ext>
              </a:extLst>
            </xdr:cNvPr>
            <xdr:cNvPicPr>
              <a:picLocks noChangeAspect="1" noChangeArrowheads="1"/>
              <a:extLst>
                <a:ext uri="{84589F7E-364E-4C9E-8A38-B11213B215E9}">
                  <a14:cameraTool cellRange="$O$352:$S$359" spid="_x0000_s22831"/>
                </a:ext>
              </a:extLst>
            </xdr:cNvPicPr>
          </xdr:nvPicPr>
          <xdr:blipFill>
            <a:blip xmlns:r="http://schemas.openxmlformats.org/officeDocument/2006/relationships" r:embed="rId5"/>
            <a:srcRect/>
            <a:stretch>
              <a:fillRect/>
            </a:stretch>
          </xdr:blipFill>
          <xdr:spPr bwMode="auto">
            <a:xfrm>
              <a:off x="8878889" y="151606"/>
              <a:ext cx="5345906" cy="1619250"/>
            </a:xfrm>
            <a:prstGeom prst="rect">
              <a:avLst/>
            </a:prstGeom>
            <a:noFill/>
            <a:ln>
              <a:solidFill>
                <a:sysClr val="windowText" lastClr="000000"/>
              </a:solidFill>
            </a:ln>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9</xdr:col>
      <xdr:colOff>199231</xdr:colOff>
      <xdr:row>407</xdr:row>
      <xdr:rowOff>149621</xdr:rowOff>
    </xdr:from>
    <xdr:to>
      <xdr:col>11</xdr:col>
      <xdr:colOff>1142999</xdr:colOff>
      <xdr:row>430</xdr:row>
      <xdr:rowOff>119062</xdr:rowOff>
    </xdr:to>
    <xdr:graphicFrame macro="">
      <xdr:nvGraphicFramePr>
        <xdr:cNvPr id="2" name="Chart 1">
          <a:extLst>
            <a:ext uri="{FF2B5EF4-FFF2-40B4-BE49-F238E27FC236}">
              <a16:creationId xmlns:a16="http://schemas.microsoft.com/office/drawing/2014/main" id="{896BE5D7-6037-4E2E-A18F-59C47C5FA6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401638</xdr:colOff>
      <xdr:row>408</xdr:row>
      <xdr:rowOff>0</xdr:rowOff>
    </xdr:from>
    <xdr:to>
      <xdr:col>19</xdr:col>
      <xdr:colOff>219868</xdr:colOff>
      <xdr:row>430</xdr:row>
      <xdr:rowOff>154780</xdr:rowOff>
    </xdr:to>
    <xdr:graphicFrame macro="">
      <xdr:nvGraphicFramePr>
        <xdr:cNvPr id="3" name="Chart 2">
          <a:extLst>
            <a:ext uri="{FF2B5EF4-FFF2-40B4-BE49-F238E27FC236}">
              <a16:creationId xmlns:a16="http://schemas.microsoft.com/office/drawing/2014/main" id="{2CB0E113-9995-4479-AE25-EEB7575B09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607219</xdr:colOff>
      <xdr:row>408</xdr:row>
      <xdr:rowOff>1190</xdr:rowOff>
    </xdr:from>
    <xdr:to>
      <xdr:col>25</xdr:col>
      <xdr:colOff>238125</xdr:colOff>
      <xdr:row>430</xdr:row>
      <xdr:rowOff>151606</xdr:rowOff>
    </xdr:to>
    <xdr:graphicFrame macro="">
      <xdr:nvGraphicFramePr>
        <xdr:cNvPr id="4" name="Chart 3">
          <a:extLst>
            <a:ext uri="{FF2B5EF4-FFF2-40B4-BE49-F238E27FC236}">
              <a16:creationId xmlns:a16="http://schemas.microsoft.com/office/drawing/2014/main" id="{313199EF-B492-4E5A-807C-2F0BAF412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20</xdr:col>
          <xdr:colOff>211138</xdr:colOff>
          <xdr:row>6</xdr:row>
          <xdr:rowOff>142873</xdr:rowOff>
        </xdr:from>
        <xdr:to>
          <xdr:col>24</xdr:col>
          <xdr:colOff>1018494</xdr:colOff>
          <xdr:row>9</xdr:row>
          <xdr:rowOff>483051</xdr:rowOff>
        </xdr:to>
        <xdr:pic>
          <xdr:nvPicPr>
            <xdr:cNvPr id="5" name="Picture 4">
              <a:extLst>
                <a:ext uri="{FF2B5EF4-FFF2-40B4-BE49-F238E27FC236}">
                  <a16:creationId xmlns:a16="http://schemas.microsoft.com/office/drawing/2014/main" id="{E4717434-2304-442C-89CD-351337723607}"/>
                </a:ext>
              </a:extLst>
            </xdr:cNvPr>
            <xdr:cNvPicPr>
              <a:picLocks noChangeAspect="1" noChangeArrowheads="1"/>
              <a:extLst>
                <a:ext uri="{84589F7E-364E-4C9E-8A38-B11213B215E9}">
                  <a14:cameraTool cellRange="$U$352:$Y$359" spid="_x0000_s23853"/>
                </a:ext>
              </a:extLst>
            </xdr:cNvPicPr>
          </xdr:nvPicPr>
          <xdr:blipFill>
            <a:blip xmlns:r="http://schemas.openxmlformats.org/officeDocument/2006/relationships" r:embed="rId4"/>
            <a:srcRect/>
            <a:stretch>
              <a:fillRect/>
            </a:stretch>
          </xdr:blipFill>
          <xdr:spPr bwMode="auto">
            <a:xfrm>
              <a:off x="15219817" y="142873"/>
              <a:ext cx="5238750" cy="1632857"/>
            </a:xfrm>
            <a:prstGeom prst="rect">
              <a:avLst/>
            </a:prstGeom>
            <a:noFill/>
            <a:ln>
              <a:solidFill>
                <a:sysClr val="windowText" lastClr="000000"/>
              </a:solid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294483</xdr:colOff>
          <xdr:row>6</xdr:row>
          <xdr:rowOff>151606</xdr:rowOff>
        </xdr:from>
        <xdr:to>
          <xdr:col>19</xdr:col>
          <xdr:colOff>140268</xdr:colOff>
          <xdr:row>9</xdr:row>
          <xdr:rowOff>488609</xdr:rowOff>
        </xdr:to>
        <xdr:pic>
          <xdr:nvPicPr>
            <xdr:cNvPr id="6" name="Picture 5">
              <a:extLst>
                <a:ext uri="{FF2B5EF4-FFF2-40B4-BE49-F238E27FC236}">
                  <a16:creationId xmlns:a16="http://schemas.microsoft.com/office/drawing/2014/main" id="{C20190D6-69E6-4611-9929-EB5D67267AF2}"/>
                </a:ext>
              </a:extLst>
            </xdr:cNvPr>
            <xdr:cNvPicPr>
              <a:picLocks noChangeAspect="1" noChangeArrowheads="1"/>
              <a:extLst>
                <a:ext uri="{84589F7E-364E-4C9E-8A38-B11213B215E9}">
                  <a14:cameraTool cellRange="$O$352:$S$359" spid="_x0000_s23854"/>
                </a:ext>
              </a:extLst>
            </xdr:cNvPicPr>
          </xdr:nvPicPr>
          <xdr:blipFill>
            <a:blip xmlns:r="http://schemas.openxmlformats.org/officeDocument/2006/relationships" r:embed="rId5"/>
            <a:srcRect/>
            <a:stretch>
              <a:fillRect/>
            </a:stretch>
          </xdr:blipFill>
          <xdr:spPr bwMode="auto">
            <a:xfrm>
              <a:off x="8907804" y="151606"/>
              <a:ext cx="5347607" cy="1632857"/>
            </a:xfrm>
            <a:prstGeom prst="rect">
              <a:avLst/>
            </a:prstGeom>
            <a:noFill/>
            <a:ln>
              <a:solidFill>
                <a:sysClr val="windowText" lastClr="000000"/>
              </a:solidFill>
            </a:ln>
            <a:extLst>
              <a:ext uri="{909E8E84-426E-40DD-AFC4-6F175D3DCCD1}">
                <a14:hiddenFill>
                  <a:solidFill>
                    <a:srgbClr val="FFFFFF"/>
                  </a:solidFill>
                </a14:hiddenFill>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MS-SHARE\Team%20Workspace\finance\finance\My%20Documents\Conso\2003\1stQtr2003\MY-Announce%201Q0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1.6\Reports\My%20Documents\Conso\2003\1stQtr2003\MY-Announce%201Q0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eip.winiamando.com/&#44608;&#49457;&#54840;/05&#45380;%20&#44221;&#50689;&#49892;&#51201;/8&#50900;/ERP/KE80/01KE8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86.81.10\sales_marketing\Pur_NPI\Project%20Management\Project%20Dashboards\Dell%20Boxster\BOXSTER%20Planner%20Rev%20X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f_maity\D\data\FLASH\1998-99\aug98\AUG98.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0.41.32.76\d$\My%20Documents\EXP\2002-07\EXP2002-06sum.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bkcleong\IBM\EVERYONE\Estimating\Submitted%20quotes\IBM\Q%233446%20IBM%20Bladerunner%20BBFV%20Proto-to%20cust.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0.86.81.10\sales_marketing\Users\aspe028608\AppData\Local\Microsoft\Windows\Temporary%20Internet%20Files\Content.Outlook\HGDAHHL9\Worksheet%20in%20RE:%20OPAL%20THERMA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gnw0167\Quotes\WINNT\TEMP\BOXSTER%20Planner%20Rev%20X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41.32.76\d$\2001\AI%20Expense\M4\EXP2001-0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tpl_server_a\1\Documents%20and%20Settings\elaine\Local%20Settings\Temp\Temporary%20Directory%201%20for%20FY06-Per12.zip\FY06-Per09(Elain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mpw0059\yx.wen\Documents%20and%20Settings\adam_covey\Desktop\0F564%20REV%20X06-00%20T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0.86.81.10\sales_marketing\Pur_NPI\skydive\stephanie\windows\TEMP\My%20Documents\Project%20On%20Progress\Inspiron\Cyclone\TEMP\~ME0F0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Content"/>
      <sheetName val="Halfyr"/>
      <sheetName val="BalanceSheet"/>
      <sheetName val="Plbyhalf"/>
      <sheetName val="Cashflow"/>
      <sheetName val="GroupPL"/>
      <sheetName val="OtherSub"/>
      <sheetName val="Investments"/>
      <sheetName val="ShareMove"/>
      <sheetName val="WeightedAve"/>
      <sheetName val="Diluted"/>
      <sheetName val="NA"/>
      <sheetName val="Grptax"/>
      <sheetName val="TSSBtax"/>
      <sheetName val="Funds"/>
      <sheetName val="Analysis"/>
      <sheetName val="FixedAsset"/>
      <sheetName val="KeyRatios"/>
      <sheetName val="Segment"/>
      <sheetName val="Pioneer"/>
      <sheetName val="Headcount"/>
      <sheetName val="Space"/>
      <sheetName val="financials"/>
      <sheetName val="Forecast(not used)"/>
      <sheetName val="Dilute(not used)"/>
      <sheetName val="NTA (not used)"/>
      <sheetName val="cashflowcomp"/>
      <sheetName val="______"/>
      <sheetName val="Options-2000"/>
      <sheetName val="汇总"/>
      <sheetName val="TR0-7 31072003 (3)"/>
      <sheetName val="Summarized Aug 15 (FY16)"/>
      <sheetName val="Sls by Region &amp; Yype"/>
      <sheetName val="Definition"/>
      <sheetName val="数据有效性"/>
      <sheetName val="Dropdown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Content"/>
      <sheetName val="Halfyr"/>
      <sheetName val="BalanceSheet"/>
      <sheetName val="Plbyhalf"/>
      <sheetName val="Cashflow"/>
      <sheetName val="GroupPL"/>
      <sheetName val="OtherSub"/>
      <sheetName val="Investments"/>
      <sheetName val="ShareMove"/>
      <sheetName val="WeightedAve"/>
      <sheetName val="Diluted"/>
      <sheetName val="NA"/>
      <sheetName val="Grptax"/>
      <sheetName val="TSSBtax"/>
      <sheetName val="Funds"/>
      <sheetName val="Analysis"/>
      <sheetName val="FixedAsset"/>
      <sheetName val="KeyRatios"/>
      <sheetName val="Segment"/>
      <sheetName val="Pioneer"/>
      <sheetName val="Headcount"/>
      <sheetName val="Space"/>
      <sheetName val="financials"/>
      <sheetName val="Forecast(not used)"/>
      <sheetName val="Dilute(not used)"/>
      <sheetName val="NTA (not used)"/>
      <sheetName val="cashflowcomp"/>
      <sheetName val="TR0-7 31072003 (3)"/>
      <sheetName val="Options-2000"/>
      <sheetName val="______"/>
      <sheetName val="汇总"/>
      <sheetName val="Summarized Aug 15 (FY16)"/>
      <sheetName val="Sls by Region &amp; Yype"/>
      <sheetName val="Definition"/>
      <sheetName val="数据有效性"/>
      <sheetName val="Dec19 Produtcion Loss Summary"/>
      <sheetName val="Forecast(not_used)"/>
      <sheetName val="Dilute(not_used)"/>
      <sheetName val="NTA_(not_used)"/>
      <sheetName val="TR0-7_31072003_(3)"/>
      <sheetName val="Summarized_Aug_15_(FY16)"/>
      <sheetName val="Sls_by_Region_&amp;_Yype"/>
      <sheetName val="Dec19_Produtcion_Loss_Summary"/>
      <sheetName val="Forecast(not_used)1"/>
      <sheetName val="Dilute(not_used)1"/>
      <sheetName val="NTA_(not_used)1"/>
      <sheetName val="TR0-7_31072003_(3)1"/>
      <sheetName val="Summarized_Aug_15_(FY16)1"/>
      <sheetName val="Sls_by_Region_&amp;_Yype1"/>
      <sheetName val="Dec19_Produtcion_Loss_Summary1"/>
      <sheetName val="Forecast(not_used)2"/>
      <sheetName val="Dilute(not_used)2"/>
      <sheetName val="NTA_(not_used)2"/>
      <sheetName val="TR0-7_31072003_(3)2"/>
      <sheetName val="Summarized_Aug_15_(FY16)2"/>
      <sheetName val="Sls_by_Region_&amp;_Yype2"/>
      <sheetName val="Dec19_Produtcion_Loss_Summary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KE80"/>
      <sheetName val="3월"/>
      <sheetName val="배부표"/>
      <sheetName val="#REF"/>
      <sheetName val="생산액"/>
      <sheetName val="국산화"/>
      <sheetName val="1월"/>
      <sheetName val="요약(1차)"/>
      <sheetName val="인원"/>
      <sheetName val="생산성(2차)"/>
      <sheetName val="경비예산"/>
      <sheetName val="(평균)"/>
      <sheetName val="이연배부"/>
      <sheetName val="제품별_수량"/>
      <sheetName val="요약"/>
      <sheetName val="생산"/>
      <sheetName val="투입공수"/>
      <sheetName val="부서별공수"/>
      <sheetName val="품질현황-보류"/>
      <sheetName val="자재재고"/>
      <sheetName val="재공재고"/>
      <sheetName val="COND"/>
      <sheetName val="경로매출"/>
      <sheetName val="공통비"/>
      <sheetName val="시설이용권명세서"/>
      <sheetName val="현금및현금등가물"/>
      <sheetName val="단자차입일별"/>
      <sheetName val="4월 list-sort(24BOD) (3)"/>
      <sheetName val="v1.0"/>
      <sheetName val="A_1"/>
      <sheetName val="CORE 제원비교표"/>
      <sheetName val="동아합의"/>
      <sheetName val="품-(주)코①"/>
      <sheetName val="PILOT품"/>
      <sheetName val="금형품의서"/>
      <sheetName val="M96현황-동아"/>
      <sheetName val="세부(종합)"/>
      <sheetName val="2.대외공문"/>
      <sheetName val="내수1.8GL"/>
      <sheetName val="OPT손익 내수"/>
      <sheetName val="OPT손익 수출"/>
      <sheetName val="CVT산정"/>
      <sheetName val="THEME CODE"/>
      <sheetName val="CR CODE"/>
      <sheetName val="부서CODE"/>
      <sheetName val="요약표"/>
      <sheetName val="비교표"/>
      <sheetName val="4월_list-sort(24BOD)_(3)"/>
      <sheetName val="v1_0"/>
      <sheetName val="CORE_제원비교표"/>
      <sheetName val="2_대외공문"/>
      <sheetName val="내수1_8GL"/>
      <sheetName val="OPT손익_내수"/>
      <sheetName val="OPT손익_수출"/>
      <sheetName val="THEME_CODE"/>
      <sheetName val="CR_CODE"/>
      <sheetName val="PROOF"/>
      <sheetName val="Fee Rate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refreshError="1"/>
      <sheetData sheetId="5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Dashboard"/>
      <sheetName val="Contacts"/>
      <sheetName val="Production Build 2-16"/>
      <sheetName val="BOM Cover"/>
      <sheetName val="BOM Rev 13"/>
      <sheetName val="BOM Info Rev 12a"/>
      <sheetName val="Summary"/>
      <sheetName val="Sheet Metal-Hard Tool"/>
      <sheetName val="Plastics"/>
      <sheetName val="Assemblies"/>
      <sheetName val="Purchased-All"/>
      <sheetName val="New Issues"/>
      <sheetName val="Issues List"/>
      <sheetName val="Sheet1"/>
      <sheetName val="FA-LISTING"/>
      <sheetName val="All Par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SH"/>
      <sheetName val="MONTH RECO"/>
      <sheetName val="MONSALES"/>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ALT"/>
      <sheetName val="AUG98"/>
      <sheetName val="PL65ﾒｷ32"/>
      <sheetName val="MA059050-8480"/>
      <sheetName val="ｺﾓﾝﾚｰﾙ数量ﾃﾞｰﾀA-B"/>
      <sheetName val="A"/>
      <sheetName val="KEY明細 "/>
      <sheetName val="価格"/>
      <sheetName val="CSM with CKD"/>
      <sheetName val="415T原"/>
      <sheetName val="BasicInfo"/>
      <sheetName val="EntityMaster"/>
      <sheetName val="CASHFLOW"/>
      <sheetName val="DATA"/>
      <sheetName val="VRF - General &amp; Purchasing"/>
      <sheetName val="MONTH_RECO"/>
      <sheetName val="KEY明細_"/>
      <sheetName val="CSM_with_CKD"/>
      <sheetName val="マクロ実行前に入力"/>
      <sheetName val="MA059050-849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費用分攤表"/>
      <sheetName val="SUM"/>
      <sheetName val="費用分攤表(ALL)"/>
      <sheetName val="MY00 REPORT"/>
      <sheetName val="ALL2002-07"/>
      <sheetName val="MLTX2002-07"/>
      <sheetName val="M1SM2002-07"/>
      <sheetName val="費用分攤表-M1SM -July"/>
      <sheetName val="費用分攤表-MS00"/>
      <sheetName val="Sheet1"/>
      <sheetName val="費用分攤表-MS00-data"/>
      <sheetName val="summary"/>
      <sheetName val="DS "/>
      <sheetName val="NW "/>
      <sheetName val="IA1"/>
      <sheetName val="IA2"/>
      <sheetName val="MS"/>
      <sheetName val="CSD"/>
      <sheetName val="M1Y0"/>
      <sheetName val="MU00"/>
      <sheetName val="OTHER"/>
      <sheetName val="ExportData"/>
      <sheetName val="Arch II"/>
      <sheetName val="MZC600"/>
      <sheetName val="HDDM"/>
      <sheetName val="Tuscany"/>
      <sheetName val="codes"/>
      <sheetName val="BY MONTH"/>
      <sheetName val="RUB"/>
      <sheetName val="0103 to 0109"/>
      <sheetName val="0110 to 0116"/>
      <sheetName val="0117 to 0123"/>
      <sheetName val="0124 to 0130"/>
      <sheetName val="0131"/>
      <sheetName val="total"/>
      <sheetName val="Trendsum_CoPQY2010 BU"/>
      <sheetName val="Y2009 BU Level Jul "/>
      <sheetName val="Raw Data"/>
      <sheetName val="YTD_CoPQY2009 BU"/>
      <sheetName val="NB"/>
      <sheetName val="Extra Cost Data"/>
      <sheetName val="Cover"/>
      <sheetName val="MZC300"/>
      <sheetName val="MZC400"/>
      <sheetName val="MZC500"/>
      <sheetName val="MZC800"/>
      <sheetName val="MZC900"/>
      <sheetName val="Weekly Manpower"/>
      <sheetName val="Xenon"/>
      <sheetName val="MZCN&amp;1&amp;2"/>
      <sheetName val="Macros"/>
      <sheetName val="2F IPQC issue Chart  "/>
      <sheetName val="pcbo 工時"/>
      <sheetName val="충전기"/>
      <sheetName val="BaseData"/>
      <sheetName val="Stock"/>
      <sheetName val="BB Table"/>
      <sheetName val="plan"/>
      <sheetName val="small card 基本資料0216_04"/>
      <sheetName val="ref"/>
      <sheetName val="DATA"/>
      <sheetName val="pd_SSS"/>
      <sheetName val="0518"/>
      <sheetName val="Antenna Window"/>
      <sheetName val="Master List"/>
      <sheetName val="Weekly Cases Opened"/>
      <sheetName val="ISRDATA"/>
      <sheetName val="IQC Inspection Data"/>
      <sheetName val="工作表2"/>
      <sheetName val="MY00_REPORT"/>
      <sheetName val="費用分攤表-M1SM_-July"/>
      <sheetName val="DS_"/>
      <sheetName val="NW_"/>
      <sheetName val="Trendsum_CoPQY2010_BU"/>
      <sheetName val="Y2009_BU_Level_Jul_"/>
      <sheetName val="YTD_CoPQY2009_BU"/>
      <sheetName val="Raw_Data"/>
      <sheetName val="0103_to_0109"/>
      <sheetName val="0110_to_0116"/>
      <sheetName val="0117_to_0123"/>
      <sheetName val="0124_to_0130"/>
      <sheetName val="Extra_Cost_Data"/>
      <sheetName val="Weekly_Manpower"/>
      <sheetName val="2F_IPQC_issue_Chart__"/>
      <sheetName val="pcbo_工時"/>
      <sheetName val="BB_Table"/>
      <sheetName val="small_card_基本資料0216_04"/>
      <sheetName val="Arch_II"/>
      <sheetName val="會計科目"/>
      <sheetName val="ArchII"/>
      <sheetName val="Detail"/>
      <sheetName val="Vise"/>
      <sheetName val="Xbox"/>
      <sheetName val="Issues List"/>
      <sheetName val="工作表3"/>
      <sheetName val="各部主管及DRI"/>
      <sheetName val="工作表1"/>
      <sheetName val="MT-X01"/>
      <sheetName val="Hourly Rate"/>
      <sheetName val="Weekly_Cases_Opened"/>
      <sheetName val="IQC_Inspection_Data"/>
      <sheetName val="BY_MONTH"/>
      <sheetName val="Reschedule-Reconfirm"/>
      <sheetName val="GSO's File"/>
      <sheetName val="Dean's File"/>
      <sheetName val="overlap waterfall barbados_lf"/>
      <sheetName val="Sheet3"/>
      <sheetName val="Metal_list"/>
      <sheetName val="LIST"/>
      <sheetName val="reason"/>
      <sheetName val="Action Summary "/>
      <sheetName val="customer"/>
      <sheetName val="Action"/>
      <sheetName val="工作表5"/>
      <sheetName val="cu"/>
      <sheetName val="Action "/>
      <sheetName val="wsp 12-03"/>
      <sheetName val="2FDAY"/>
      <sheetName val="Settings"/>
      <sheetName val="Candidate"/>
      <sheetName val="Master Lists"/>
      <sheetName val="Reference Table"/>
      <sheetName val="下拉清單"/>
      <sheetName val="MY00_REPORT1"/>
      <sheetName val="費用分攤表-M1SM_-July1"/>
      <sheetName val="DS_1"/>
      <sheetName val="NW_1"/>
      <sheetName val="0103_to_01091"/>
      <sheetName val="0110_to_01161"/>
      <sheetName val="0117_to_01231"/>
      <sheetName val="0124_to_01301"/>
      <sheetName val="Trendsum_CoPQY2010_BU1"/>
      <sheetName val="Y2009_BU_Level_Jul_1"/>
      <sheetName val="Raw_Data1"/>
      <sheetName val="YTD_CoPQY2009_BU1"/>
      <sheetName val="Weekly_Manpower1"/>
      <sheetName val="Extra_Cost_Data1"/>
      <sheetName val="2F_IPQC_issue_Chart__1"/>
      <sheetName val="pcbo_工時1"/>
      <sheetName val="BB_Table1"/>
      <sheetName val="small_card_基本資料0216_041"/>
      <sheetName val="Arch_II1"/>
      <sheetName val="作業分配表"/>
      <sheetName val="Mat Summary"/>
      <sheetName val="Blf2+LOM cost bom_080902"/>
      <sheetName val="FA-LISTING"/>
      <sheetName val="Sheet1 (2)"/>
      <sheetName val="&quot;B&quot; Quote Model"/>
      <sheetName val="All-In-One"/>
      <sheetName val="MetricsData"/>
      <sheetName val="掌控表"/>
      <sheetName val="Overhead calculations"/>
      <sheetName val="掌控"/>
      <sheetName val="Proto 1"/>
      <sheetName val="Team List"/>
      <sheetName val="Neo"/>
      <sheetName val="Information"/>
      <sheetName val="MFG MVA Assumption"/>
      <sheetName val="Basic Assumption"/>
      <sheetName val="Material List"/>
      <sheetName val="MPS Q3 FY05"/>
      <sheetName val="Forwarder_Plan"/>
      <sheetName val="check List"/>
      <sheetName val="wi modem及scan"/>
      <sheetName val="FA"/>
      <sheetName val="MC RATE"/>
      <sheetName val="EXP2002-06sum"/>
      <sheetName val="G24-10 比較"/>
      <sheetName val="期初B"/>
      <sheetName val="Weekly Shift Plan"/>
      <sheetName val="XBOX360"/>
      <sheetName val="CUM CONSTRAINED AVAIL"/>
      <sheetName val="Cable"/>
      <sheetName val="Menus"/>
      <sheetName val="Test Data-Thermals-TTV"/>
      <sheetName val="MX"/>
      <sheetName val="Spending by COA"/>
      <sheetName val="中间表"/>
      <sheetName val="Sheet2"/>
      <sheetName val="PARTS"/>
      <sheetName val="Hidden"/>
      <sheetName val="Q_BF3 FBOM-update011504 (2)"/>
      <sheetName val="BF3_Jan_Cost"/>
      <sheetName val="Category"/>
      <sheetName val="2003 prod2"/>
      <sheetName val="2003 Target"/>
      <sheetName val="Workings"/>
      <sheetName val="Budget"/>
      <sheetName val="移动通讯费计划表"/>
      <sheetName val="DFA"/>
      <sheetName val="_Master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7">
          <cell r="E7">
            <v>453</v>
          </cell>
          <cell r="G7">
            <v>453</v>
          </cell>
          <cell r="H7">
            <v>1895</v>
          </cell>
          <cell r="J7">
            <v>1895</v>
          </cell>
          <cell r="K7">
            <v>1256</v>
          </cell>
          <cell r="M7">
            <v>1256</v>
          </cell>
          <cell r="N7">
            <v>1525</v>
          </cell>
          <cell r="P7">
            <v>1525</v>
          </cell>
          <cell r="Q7">
            <v>3087</v>
          </cell>
          <cell r="S7">
            <v>3087</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ssues List"/>
      <sheetName val="Q#3839 Indented Bom d"/>
      <sheetName val="FA-LISTING"/>
      <sheetName val="Electronics"/>
      <sheetName val="Mechanical"/>
      <sheetName val="Keyboard &amp; Accessories"/>
      <sheetName val="Packaging"/>
      <sheetName val="Final Prep"/>
      <sheetName val="Neo"/>
      <sheetName val="非機種"/>
      <sheetName val="連絡書１"/>
      <sheetName val="Ramp-up Prod KLf pro Woche "/>
      <sheetName val="Master Lists"/>
      <sheetName val="Antenna Window"/>
      <sheetName val="Data"/>
      <sheetName val="PL"/>
      <sheetName val="Palm"/>
      <sheetName val="SupplierBaseInput"/>
      <sheetName val="Information"/>
      <sheetName val="200206存貨帳齡明細BY BU"/>
      <sheetName val="Title Page"/>
      <sheetName val="ISRDATA"/>
      <sheetName val="OS_Country_Kit"/>
      <sheetName val="Q#3839_Indented_Bom_d"/>
      <sheetName val="Keyboard_&amp;_Accessories"/>
      <sheetName val="Final_Prep"/>
      <sheetName val="Ramp-up_Prod_KLf_pro_Woche_"/>
      <sheetName val="MPM"/>
      <sheetName val="Philips - AOL"/>
      <sheetName val="Microsoft"/>
      <sheetName val="Compaq"/>
      <sheetName val="Cisco"/>
      <sheetName val="Adtran"/>
      <sheetName val="Glossary"/>
      <sheetName val="Sheet 6"/>
      <sheetName val="MENU"/>
      <sheetName val="Motorola - GI"/>
      <sheetName val="Motorola - Zenith"/>
      <sheetName val="Philips - WebTV"/>
      <sheetName val="SUMMARY"/>
      <sheetName val="Intel"/>
      <sheetName val="Verifone"/>
      <sheetName val="3COM - Kojak"/>
      <sheetName val="costedBOM"/>
      <sheetName val="WorkSheet"/>
      <sheetName val="Master List"/>
      <sheetName val="Entry"/>
      <sheetName val="CONSOBS"/>
      <sheetName val="CONSOPL"/>
      <sheetName val="Philips_-_AOL"/>
      <sheetName val="Sheet_6"/>
      <sheetName val="Motorola_-_GI"/>
      <sheetName val="Motorola_-_Zenith"/>
      <sheetName val="Philips_-_WebTV"/>
      <sheetName val="3COM_-_Kojak"/>
      <sheetName val="Antenna_Window"/>
      <sheetName val="Master_Lists"/>
      <sheetName val="Master_List"/>
      <sheetName val="Q#3446 IBM Bladerunner BBFV Pro"/>
      <sheetName val="Sheet1"/>
      <sheetName val="Data lists"/>
      <sheetName val="Master List Without MU%  "/>
      <sheetName val="Equipment List"/>
      <sheetName val="VAM Report Input"/>
      <sheetName val="BU cost"/>
      <sheetName val="Q#3839"/>
      <sheetName val="ABO"/>
      <sheetName val="詳細資料"/>
      <sheetName val="ﾀｰｹﾞｯﾄコスト"/>
      <sheetName val="数据暂存"/>
      <sheetName val="Template"/>
      <sheetName val="Bom(P1)"/>
      <sheetName val="Workings"/>
      <sheetName val="SBB Table"/>
      <sheetName val="OVHD"/>
      <sheetName val="期初B"/>
      <sheetName val="Definition"/>
      <sheetName val="EG 1A"/>
      <sheetName val="All Parts"/>
      <sheetName val="Ramp_up Prod KLf pro Woche "/>
      <sheetName val="2003 Ryan to Arima"/>
      <sheetName val="L1 SP"/>
      <sheetName val="L1 CA"/>
      <sheetName val="L1 CD"/>
      <sheetName val="L1 HD"/>
      <sheetName val="6"/>
      <sheetName val="Q#3839_Indented_Bom_d4"/>
      <sheetName val="Antenna_Window3"/>
      <sheetName val="Master_Lists3"/>
      <sheetName val="200206存貨帳齡明細BY_BU3"/>
      <sheetName val="Title_Page3"/>
      <sheetName val="BU_cost3"/>
      <sheetName val="Keyboard_&amp;_Accessories4"/>
      <sheetName val="Final_Prep4"/>
      <sheetName val="Ramp-up_Prod_KLf_pro_Woche_4"/>
      <sheetName val="Data_lists3"/>
      <sheetName val="Q#3839_Indented_Bom_d1"/>
      <sheetName val="200206存貨帳齡明細BY_BU"/>
      <sheetName val="Title_Page"/>
      <sheetName val="BU_cost"/>
      <sheetName val="Keyboard_&amp;_Accessories1"/>
      <sheetName val="Final_Prep1"/>
      <sheetName val="Ramp-up_Prod_KLf_pro_Woche_1"/>
      <sheetName val="Data_lists"/>
      <sheetName val="Q#3839_Indented_Bom_d2"/>
      <sheetName val="Antenna_Window1"/>
      <sheetName val="Master_Lists1"/>
      <sheetName val="200206存貨帳齡明細BY_BU1"/>
      <sheetName val="Title_Page1"/>
      <sheetName val="BU_cost1"/>
      <sheetName val="Keyboard_&amp;_Accessories2"/>
      <sheetName val="Final_Prep2"/>
      <sheetName val="Ramp-up_Prod_KLf_pro_Woche_2"/>
      <sheetName val="Data_lists1"/>
      <sheetName val="Data_Selections_(Hide_&amp;_Lock)_1"/>
      <sheetName val="Q#3839_Indented_Bom_d3"/>
      <sheetName val="Antenna_Window2"/>
      <sheetName val="Master_Lists2"/>
      <sheetName val="200206存貨帳齡明細BY_BU2"/>
      <sheetName val="Title_Page2"/>
      <sheetName val="BU_cost2"/>
      <sheetName val="Keyboard_&amp;_Accessories3"/>
      <sheetName val="Final_Prep3"/>
      <sheetName val="Ramp-up_Prod_KLf_pro_Woche_3"/>
      <sheetName val="Data_lists2"/>
      <sheetName val="List"/>
      <sheetName val="Q#3839_Indented_Bom_d5"/>
      <sheetName val="Ramp-up_Prod_KLf_pro_Woche_5"/>
      <sheetName val="Ramp_up_Prod_KLf_pro_Woche_"/>
      <sheetName val="Issues_List"/>
      <sheetName val="Antenna_Window4"/>
      <sheetName val="Philips_-_AOL1"/>
      <sheetName val="Sheet_61"/>
      <sheetName val="Motorola_-_GI1"/>
      <sheetName val="Motorola_-_Zenith1"/>
      <sheetName val="Philips_-_WebTV1"/>
      <sheetName val="3COM_-_Kojak1"/>
      <sheetName val="Master_Lists4"/>
      <sheetName val="Master_List1"/>
      <sheetName val="Q#3446_IBM_Bladerunner_BBFV_Pro"/>
      <sheetName val="Data_lists4"/>
      <sheetName val="Master_List_Without_MU%__"/>
      <sheetName val="Equipment_List"/>
      <sheetName val="VAM_Report_Input"/>
      <sheetName val="200206存貨帳齡明細BY_BU4"/>
      <sheetName val="Title_Page4"/>
      <sheetName val="BU_cost4"/>
      <sheetName val="Keyboard_&amp;_Accessories5"/>
      <sheetName val="Final_Prep5"/>
      <sheetName val="SBB_Table"/>
      <sheetName val="EG_1A"/>
      <sheetName val="All_Parts"/>
      <sheetName val="2003_Ryan_to_Arima"/>
      <sheetName val="L1_SP"/>
      <sheetName val="L1_CA"/>
      <sheetName val="L1_CD"/>
      <sheetName val="L1_HD"/>
      <sheetName val="Q#3839_Indented_Bom_d7"/>
      <sheetName val="Ramp-up_Prod_KLf_pro_Woche_7"/>
      <sheetName val="Ramp_up_Prod_KLf_pro_Woche_2"/>
      <sheetName val="Issues_List2"/>
      <sheetName val="Antenna_Window6"/>
      <sheetName val="Philips_-_AOL3"/>
      <sheetName val="Sheet_63"/>
      <sheetName val="Motorola_-_GI3"/>
      <sheetName val="Motorola_-_Zenith3"/>
      <sheetName val="Philips_-_WebTV3"/>
      <sheetName val="3COM_-_Kojak3"/>
      <sheetName val="Master_Lists6"/>
      <sheetName val="Master_List3"/>
      <sheetName val="Q#3446_IBM_Bladerunner_BBFV_Pr2"/>
      <sheetName val="Data_lists6"/>
      <sheetName val="Master_List_Without_MU%__2"/>
      <sheetName val="Equipment_List2"/>
      <sheetName val="VAM_Report_Input2"/>
      <sheetName val="200206存貨帳齡明細BY_BU6"/>
      <sheetName val="Title_Page6"/>
      <sheetName val="BU_cost6"/>
      <sheetName val="Keyboard_&amp;_Accessories7"/>
      <sheetName val="Final_Prep7"/>
      <sheetName val="SBB_Table2"/>
      <sheetName val="EG_1A2"/>
      <sheetName val="All_Parts2"/>
      <sheetName val="2003_Ryan_to_Arima2"/>
      <sheetName val="L1_SP2"/>
      <sheetName val="L1_CA2"/>
      <sheetName val="L1_CD2"/>
      <sheetName val="L1_HD2"/>
      <sheetName val="Q#3839_Indented_Bom_d6"/>
      <sheetName val="Ramp-up_Prod_KLf_pro_Woche_6"/>
      <sheetName val="Ramp_up_Prod_KLf_pro_Woche_1"/>
      <sheetName val="Issues_List1"/>
      <sheetName val="Antenna_Window5"/>
      <sheetName val="Philips_-_AOL2"/>
      <sheetName val="Sheet_62"/>
      <sheetName val="Motorola_-_GI2"/>
      <sheetName val="Motorola_-_Zenith2"/>
      <sheetName val="Philips_-_WebTV2"/>
      <sheetName val="3COM_-_Kojak2"/>
      <sheetName val="Master_Lists5"/>
      <sheetName val="Master_List2"/>
      <sheetName val="Q#3446_IBM_Bladerunner_BBFV_Pr1"/>
      <sheetName val="Data_lists5"/>
      <sheetName val="Master_List_Without_MU%__1"/>
      <sheetName val="Equipment_List1"/>
      <sheetName val="VAM_Report_Input1"/>
      <sheetName val="200206存貨帳齡明細BY_BU5"/>
      <sheetName val="Title_Page5"/>
      <sheetName val="BU_cost5"/>
      <sheetName val="Keyboard_&amp;_Accessories6"/>
      <sheetName val="Final_Prep6"/>
      <sheetName val="SBB_Table1"/>
      <sheetName val="EG_1A1"/>
      <sheetName val="All_Parts1"/>
      <sheetName val="2003_Ryan_to_Arima1"/>
      <sheetName val="L1_SP1"/>
      <sheetName val="L1_CA1"/>
      <sheetName val="L1_CD1"/>
      <sheetName val="L1_HD1"/>
      <sheetName val="Data Selections (Hide &amp; Lock) "/>
      <sheetName val="TY9007本勞"/>
      <sheetName val="POR"/>
      <sheetName val="TOOL"/>
      <sheetName val="Sample Expense"/>
      <sheetName val="NRE Breakdown"/>
      <sheetName val="LINE A"/>
      <sheetName val="LINE K"/>
      <sheetName val="Jun1 Table"/>
      <sheetName val="ME Dashboard"/>
      <sheetName val="EquipmentCosts"/>
      <sheetName val="Assumptions"/>
      <sheetName val="Sheet2"/>
      <sheetName val="Detail"/>
      <sheetName val="Dec99"/>
      <sheetName val="Blf2+LOM cost bom_080902"/>
      <sheetName val="Cable List"/>
      <sheetName val="Menu Items"/>
      <sheetName val="MPU Other"/>
      <sheetName val="Matl1"/>
      <sheetName val="EC Charge"/>
      <sheetName val="Others"/>
      <sheetName val="Pilot Run"/>
      <sheetName val="Rework"/>
      <sheetName val="Q#3839_Indented_Bom_d8"/>
      <sheetName val="Keyboard_&amp;_Accessories8"/>
      <sheetName val="Final_Prep8"/>
      <sheetName val="Ramp-up_Prod_KLf_pro_Woche_8"/>
      <sheetName val="Master_Lists7"/>
      <sheetName val="Antenna_Window7"/>
      <sheetName val="200206存貨帳齡明細BY_BU7"/>
      <sheetName val="Title_Page7"/>
      <sheetName val="Issues_List3"/>
      <sheetName val="BU_cost7"/>
      <sheetName val="Data_lists7"/>
      <sheetName val="Philips_-_AOL4"/>
      <sheetName val="Sheet_64"/>
      <sheetName val="Motorola_-_GI4"/>
      <sheetName val="Motorola_-_Zenith4"/>
      <sheetName val="Philips_-_WebTV4"/>
      <sheetName val="3COM_-_Kojak4"/>
      <sheetName val="Q#3446_IBM_Bladerunner_BBFV_Pr3"/>
      <sheetName val="SBB_Table3"/>
      <sheetName val="Master_List4"/>
      <sheetName val="Master_List_Without_MU%__3"/>
      <sheetName val="Equipment_List3"/>
      <sheetName val="VAM_Report_Input3"/>
      <sheetName val="2003_Ryan_to_Arima3"/>
      <sheetName val="L1_SP3"/>
      <sheetName val="L1_CA3"/>
      <sheetName val="L1_CD3"/>
      <sheetName val="L1_HD3"/>
      <sheetName val="EG_1A3"/>
      <sheetName val="All_Parts3"/>
      <sheetName val="Ramp_up_Prod_KLf_pro_Woche_3"/>
      <sheetName val="Data_Selections_(Hide_&amp;_Lock)_"/>
      <sheetName val="Sample_Expense"/>
      <sheetName val="NRE_Breakdown"/>
      <sheetName val="LINE_A"/>
      <sheetName val="LINE_K"/>
      <sheetName val="Jun1_Table"/>
      <sheetName val="Blf2+LOM_cost_bom_080902"/>
      <sheetName val="Cable_List"/>
      <sheetName val="Menu_Items"/>
      <sheetName val="MPU_Other"/>
      <sheetName val="EC_Charge"/>
      <sheetName val="Pilot_Run"/>
      <sheetName val="B003_SKU2"/>
      <sheetName val="B003_SKU1"/>
      <sheetName val="生產計劃"/>
      <sheetName val="ENG_1_Workmanship_Defect"/>
      <sheetName val="Issues_List4"/>
      <sheetName val="Q#3839_Indented_Bom_d9"/>
      <sheetName val="Antenna_Window8"/>
      <sheetName val="Master_Lists8"/>
      <sheetName val="200206存貨帳齡明細BY_BU8"/>
      <sheetName val="Title_Page8"/>
      <sheetName val="Philips_-_AOL5"/>
      <sheetName val="Sheet_65"/>
      <sheetName val="Motorola_-_GI5"/>
      <sheetName val="Motorola_-_Zenith5"/>
      <sheetName val="Philips_-_WebTV5"/>
      <sheetName val="3COM_-_Kojak5"/>
      <sheetName val="Master_List5"/>
      <sheetName val="Q#3446_IBM_Bladerunner_BBFV_Pr4"/>
      <sheetName val="Data_lists8"/>
      <sheetName val="Master_List_Without_MU%__4"/>
      <sheetName val="Equipment_List4"/>
      <sheetName val="VAM_Report_Input4"/>
      <sheetName val="BU_cost8"/>
      <sheetName val="Keyboard_&amp;_Accessories9"/>
      <sheetName val="Final_Prep9"/>
      <sheetName val="Ramp-up_Prod_KLf_pro_Woche_9"/>
      <sheetName val="SBB_Table4"/>
      <sheetName val="EG_1A4"/>
      <sheetName val="All_Parts4"/>
      <sheetName val="Ramp_up_Prod_KLf_pro_Woche_4"/>
      <sheetName val="2003_Ryan_to_Arima4"/>
      <sheetName val="L1_SP4"/>
      <sheetName val="L1_CA4"/>
      <sheetName val="L1_CD4"/>
      <sheetName val="L1_HD4"/>
      <sheetName val="Data_Selections_(Hide_&amp;_Lock)_2"/>
      <sheetName val="Sample_Expense1"/>
      <sheetName val="NRE_Breakdown1"/>
      <sheetName val="LINE_A1"/>
      <sheetName val="LINE_K1"/>
      <sheetName val="Jun1_Table1"/>
      <sheetName val="Issues_List5"/>
      <sheetName val="Q#3839_Indented_Bom_d10"/>
      <sheetName val="Antenna_Window9"/>
      <sheetName val="Master_Lists9"/>
      <sheetName val="200206存貨帳齡明細BY_BU9"/>
      <sheetName val="Title_Page9"/>
      <sheetName val="Philips_-_AOL6"/>
      <sheetName val="Sheet_66"/>
      <sheetName val="Motorola_-_GI6"/>
      <sheetName val="Motorola_-_Zenith6"/>
      <sheetName val="Philips_-_WebTV6"/>
      <sheetName val="3COM_-_Kojak6"/>
      <sheetName val="Master_List6"/>
      <sheetName val="Q#3446_IBM_Bladerunner_BBFV_Pr5"/>
      <sheetName val="Data_lists9"/>
      <sheetName val="Master_List_Without_MU%__5"/>
      <sheetName val="Equipment_List5"/>
      <sheetName val="VAM_Report_Input5"/>
      <sheetName val="BU_cost9"/>
      <sheetName val="Keyboard_&amp;_Accessories10"/>
      <sheetName val="Final_Prep10"/>
      <sheetName val="Ramp-up_Prod_KLf_pro_Woche_10"/>
      <sheetName val="SBB_Table5"/>
      <sheetName val="EG_1A5"/>
      <sheetName val="All_Parts5"/>
      <sheetName val="Ramp_up_Prod_KLf_pro_Woche_5"/>
      <sheetName val="2003_Ryan_to_Arima5"/>
      <sheetName val="L1_SP5"/>
      <sheetName val="L1_CA5"/>
      <sheetName val="L1_CD5"/>
      <sheetName val="L1_HD5"/>
      <sheetName val="Data_Selections_(Hide_&amp;_Lock)_3"/>
      <sheetName val="Sample_Expense2"/>
      <sheetName val="NRE_Breakdown2"/>
      <sheetName val="LINE_A2"/>
      <sheetName val="LINE_K2"/>
      <sheetName val="Jun1_Table2"/>
      <sheetName val="Proto 1"/>
      <sheetName val="FA Definitions"/>
      <sheetName val="superbom 2"/>
      <sheetName val="Master List MU%  "/>
      <sheetName val="Tolerance Analysis - P656 (POD)"/>
      <sheetName val="Master"/>
      <sheetName val="Drop Down Info"/>
      <sheetName val="AIR (Inbound material)"/>
      <sheetName val="Variables1"/>
      <sheetName val="Q#3446%20IBM%20Bladerunner%20BB"/>
      <sheetName val="Dbase"/>
      <sheetName val="蘆竹"/>
      <sheetName val="SFIS Data WW31"/>
      <sheetName val="Quantity WW31"/>
      <sheetName val="Cable"/>
      <sheetName val="QuoteFormat"/>
      <sheetName val="GROSBEAK_0302"/>
      <sheetName val="C_BF3 MSL _March"/>
      <sheetName val="Raw BOMS"/>
      <sheetName val="codes"/>
      <sheetName val="Excess Review"/>
      <sheetName val="Q_BF3 FBOM-update111703"/>
      <sheetName val="Mat Summary"/>
      <sheetName val="Requesters"/>
      <sheetName val="CC507-4x3.5"/>
      <sheetName val="10"/>
      <sheetName val="差异分攤"/>
      <sheetName val="1492分攤"/>
      <sheetName val="source"/>
      <sheetName val="zasset"/>
      <sheetName val="Blf2+LOM_cost_bom_0809021"/>
      <sheetName val="Cable_List1"/>
      <sheetName val="Menu_Items1"/>
      <sheetName val="MPU_Other1"/>
      <sheetName val="EC_Charge1"/>
      <sheetName val="Pilot_Run1"/>
      <sheetName val=""/>
      <sheetName val="raw_data"/>
      <sheetName val="CD_kit"/>
      <sheetName val="FO"/>
      <sheetName val="wsp 01-07"/>
      <sheetName val="Askey MB44(MOW)"/>
      <sheetName val="CORAM"/>
      <sheetName val="RAMReceive"/>
      <sheetName val="UPC+EAN"/>
      <sheetName val="fa_listing"/>
      <sheetName val="Materials"/>
      <sheetName val="General Instructions"/>
      <sheetName val="Debug check list"/>
      <sheetName val="DELL_Schedule"/>
      <sheetName val="Q7XA FM data"/>
      <sheetName val="Q72A Channel Analysis Q1"/>
      <sheetName val="Q73A Best Channel Analysis Q1"/>
      <sheetName val="Q73A Better Channel Analysis Q1"/>
      <sheetName val="Plastic特性"/>
      <sheetName val="包材"/>
      <sheetName val="噴漆 and 粉烤尺寸費率"/>
      <sheetName val="印刷data base"/>
      <sheetName val="Metal機檯費率"/>
      <sheetName val="Demand&amp;Supply"/>
      <sheetName val="全製程出貨資料"/>
      <sheetName val="MPS Q1 FY05"/>
      <sheetName val="MPS Q2 FY05"/>
      <sheetName val="BLUFORD_R12"/>
      <sheetName val="All"/>
      <sheetName val="Setup"/>
      <sheetName val="G8WZA5 PKG部品表"/>
      <sheetName val="All-In-One"/>
      <sheetName val="Asus_BOM"/>
      <sheetName val="Assembly"/>
      <sheetName val="Composites"/>
      <sheetName val="Metals"/>
      <sheetName val="Plastics"/>
      <sheetName val="Variance"/>
      <sheetName val="FA"/>
      <sheetName val="Freight"/>
      <sheetName val="Tracker_EV1"/>
      <sheetName val="Intel Lan + AD1885 EBOM"/>
      <sheetName val="tblCTOCommodities"/>
      <sheetName val="FRU Cost"/>
      <sheetName val="Rate"/>
      <sheetName val="BLUFORD3 FBOM-update081303"/>
      <sheetName val="2005(E)"/>
      <sheetName val="2003-ALL"/>
      <sheetName val="SAP"/>
      <sheetName val="Blf2+LOM_cost_bom_0809022"/>
      <sheetName val="Cable_List2"/>
      <sheetName val="Menu_Items2"/>
      <sheetName val="MPU_Other2"/>
      <sheetName val="EC_Charge2"/>
      <sheetName val="Pilot_Run2"/>
      <sheetName val="MC RATE"/>
    </sheetNames>
    <sheetDataSet>
      <sheetData sheetId="0">
        <row r="1007">
          <cell r="A1007" t="str">
            <v>Amy Schnerre-Alwood  919-550-8776.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refreshError="1"/>
      <sheetData sheetId="221" refreshError="1"/>
      <sheetData sheetId="222" refreshError="1"/>
      <sheetData sheetId="223" refreshError="1"/>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refreshError="1"/>
      <sheetData sheetId="288" refreshError="1"/>
      <sheetData sheetId="289" refreshError="1"/>
      <sheetData sheetId="290" refreshError="1"/>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sheetData sheetId="396" refreshError="1"/>
      <sheetData sheetId="397" refreshError="1"/>
      <sheetData sheetId="398" refreshError="1"/>
      <sheetData sheetId="399" refreshError="1"/>
      <sheetData sheetId="400" refreshError="1"/>
      <sheetData sheetId="401" refreshError="1"/>
      <sheetData sheetId="402"/>
      <sheetData sheetId="403" refreshError="1"/>
      <sheetData sheetId="404" refreshError="1"/>
      <sheetData sheetId="405" refreshError="1"/>
      <sheetData sheetId="406" refreshError="1"/>
      <sheetData sheetId="407"/>
      <sheetData sheetId="408"/>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sheetData sheetId="453"/>
      <sheetData sheetId="454"/>
      <sheetData sheetId="455"/>
      <sheetData sheetId="45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Issues List"/>
      <sheetName val="Neo"/>
      <sheetName val="Data lists"/>
      <sheetName val="All"/>
      <sheetName val="costedBOM"/>
      <sheetName val=" OPAL THERMALS"/>
      <sheetName val="Buckorn"/>
      <sheetName val="Corba"/>
      <sheetName val="QVL BOM"/>
      <sheetName val="541174170108"/>
      <sheetName val="Buckhorn_Costed BOM_0910"/>
      <sheetName val="SaturnII_FBOM_0317a"/>
      <sheetName val="Asus_BOM"/>
      <sheetName val="Electronics"/>
      <sheetName val="Mechanical"/>
      <sheetName val="Keyboard &amp; Accessories"/>
      <sheetName val="Packaging"/>
      <sheetName val="Final Prep"/>
      <sheetName val="Mth-Va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Dashboard"/>
      <sheetName val="Contacts"/>
      <sheetName val="Production Build 2-16"/>
      <sheetName val="BOM Cover"/>
      <sheetName val="BOM Rev 13"/>
      <sheetName val="BOM Info Rev 12a"/>
      <sheetName val="Summary"/>
      <sheetName val="Sheet Metal-Hard Tool"/>
      <sheetName val="Plastics"/>
      <sheetName val="Assemblies"/>
      <sheetName val="Purchased-All"/>
      <sheetName val="New Issues"/>
      <sheetName val="Issues List"/>
      <sheetName val="Sheet1"/>
      <sheetName val="Sheet2"/>
      <sheetName val="4048"/>
      <sheetName val="FA Definitions"/>
      <sheetName val="塑膠費率(最新)"/>
      <sheetName val="BB Table"/>
      <sheetName val="ABO"/>
      <sheetName val="A58 2011"/>
      <sheetName val="Kod3 Table"/>
      <sheetName val="FA-LISTING"/>
      <sheetName val="Shiptment"/>
      <sheetName val="SO"/>
      <sheetName val="0414data"/>
      <sheetName val="Carlin-G costbom"/>
      <sheetName val="BOXSTER Planner Rev X1"/>
      <sheetName val="Nimitz Base Cover"/>
      <sheetName val="FA_LISTING"/>
      <sheetName val="WI MODEM及SCAN"/>
      <sheetName val="Assy"/>
      <sheetName val="129 COA"/>
      <sheetName val="#REF"/>
      <sheetName val="Fcst SALES"/>
      <sheetName val="Cover sheet"/>
      <sheetName val="STDVGL"/>
      <sheetName val="Headcount"/>
      <sheetName val="Production_Build_2-16"/>
      <sheetName val="BOM_Cover"/>
      <sheetName val="BOM_Rev_13"/>
      <sheetName val="BOM_Info_Rev_12a"/>
      <sheetName val="Sheet_Metal-Hard_Tool"/>
      <sheetName val="New_Issues"/>
      <sheetName val="Issues_List"/>
      <sheetName val="129_COA"/>
      <sheetName val="FLX Consolflxidated"/>
      <sheetName val="X"/>
      <sheetName val="Data lists"/>
      <sheetName val="Receiving Inspection"/>
      <sheetName val="A  產業車輛故障項目核對結果"/>
      <sheetName val="L2-車輛詳細資料 "/>
      <sheetName val="LIST"/>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0518"/>
      <sheetName val="All"/>
      <sheetName val="ISRDATA"/>
      <sheetName val="Definition"/>
      <sheetName val="대외공문"/>
      <sheetName val="P&amp;L wCorpAlloc"/>
      <sheetName val="Summarized P&amp;L"/>
      <sheetName val="#REF!"/>
      <sheetName val="QuoteSummary"/>
      <sheetName val="BaseData"/>
      <sheetName val="General Instructions"/>
      <sheetName val="Master List"/>
      <sheetName val="Master Lists"/>
      <sheetName val="Cost Breakdown"/>
      <sheetName val="Receiving_Inspection"/>
      <sheetName val="Data_lists"/>
      <sheetName val="P&amp;L_wCorpAlloc"/>
      <sheetName val="Summarized_P&amp;L"/>
      <sheetName val="General_Instructions"/>
      <sheetName val="Master_List"/>
      <sheetName val="Nov"/>
      <sheetName val="Lookup Tables"/>
      <sheetName val="MOH-April"/>
      <sheetName val="New Workings"/>
      <sheetName val="P&amp;LOEM &amp; FG"/>
      <sheetName val="半成品"/>
      <sheetName val="靶材分配比例"/>
      <sheetName val="Warrant"/>
      <sheetName val="Assembly BOM"/>
      <sheetName val="FAI"/>
      <sheetName val="Cpk"/>
      <sheetName val="GR&amp;R"/>
      <sheetName val="PFD"/>
      <sheetName val="PMP"/>
      <sheetName val="PFMEA"/>
      <sheetName val="customer drawing"/>
      <sheetName val="supplier drawing"/>
      <sheetName val="Material Certification"/>
      <sheetName val="Package method"/>
      <sheetName val="reliability test report"/>
      <sheetName val="Rohs management list"/>
      <sheetName val="Rohs test report"/>
      <sheetName val="SGS"/>
      <sheetName val="1492分攤"/>
      <sheetName val="Valores"/>
      <sheetName val="IP-1 INSP-CAV #2"/>
      <sheetName val="Saturn MVB bom_Aug.18'08"/>
      <sheetName val="BF3 MB cost _0708 from MSL"/>
      <sheetName val="差异分攤"/>
      <sheetName val="Root causes"/>
      <sheetName val="Call Down Data OLD"/>
      <sheetName val="I Input Template"/>
      <sheetName val="Supplier Base Input"/>
      <sheetName val="Price Summary"/>
      <sheetName val="Assembly_BOM"/>
      <sheetName val="customer_drawing"/>
      <sheetName val="supplier_drawing"/>
      <sheetName val="Material_Certification"/>
      <sheetName val="Package_method"/>
      <sheetName val="reliability_test_report"/>
      <sheetName val="Rohs_management_list"/>
      <sheetName val="Rohs_test_report"/>
      <sheetName val="IP-1_INSP-CAV_#2"/>
      <sheetName val="Root_causes"/>
      <sheetName val="Nimitz_Base_Cover"/>
      <sheetName val="Call_Down_Data_OLD"/>
      <sheetName val="I_Input_Template"/>
      <sheetName val=" Quotation sheet"/>
      <sheetName val="SBB Table"/>
      <sheetName val="Summary Design-Proto"/>
      <sheetName val="Setting"/>
      <sheetName val="Pivot"/>
      <sheetName val="WFR"/>
      <sheetName val="IQC Inspection Data"/>
      <sheetName val="MACRO"/>
      <sheetName val="IE"/>
      <sheetName val="TE"/>
      <sheetName val="Asus_BOM"/>
      <sheetName val="FB Tooling List 1210"/>
      <sheetName val="Sheet4"/>
      <sheetName val="DELL_Schedule"/>
      <sheetName val="2003 Target"/>
      <sheetName val="2003 prod2"/>
      <sheetName val="Hourly Rate"/>
      <sheetName val="Data_Init"/>
      <sheetName val="Data_HR"/>
      <sheetName val="Entry"/>
      <sheetName val="Shot"/>
      <sheetName val="PL-All"/>
      <sheetName val="Workings"/>
      <sheetName val="Macaron Tooling"/>
      <sheetName val="RickelsRFQPWA# 2"/>
      <sheetName val="MB Costed Bom PV"/>
      <sheetName val="IDX"/>
      <sheetName val="part_costs"/>
      <sheetName val="期初B"/>
      <sheetName val="LP1 Shipment"/>
      <sheetName val="1"/>
      <sheetName val="Assessments"/>
      <sheetName val="Matl1"/>
      <sheetName val="Slim Merlot Block Diagram"/>
      <sheetName val="All Parts"/>
      <sheetName val="非機種"/>
      <sheetName val="SupplierBaseInput"/>
      <sheetName val="Q#3839 Indented Bom d"/>
      <sheetName val="C۽_x0000_tents"/>
      <sheetName val="P19S"/>
      <sheetName val="DW RFID1202"/>
      <sheetName val="Antenna Window"/>
      <sheetName val="UPC+EAN"/>
      <sheetName val="清冊"/>
      <sheetName val="C۽"/>
      <sheetName val="C۽_x005f_x0000_tents"/>
      <sheetName val="C۽_x005f_x005f_x005f_x0000_tents"/>
      <sheetName val="C۽_x005f_x005f_x005f_x005f_x005f_x005f_x005f_x0000_tent"/>
      <sheetName val="C۽_x005f_x005f_x005f_x005f_x005f_x005f_x005f_x005f_x005"/>
      <sheetName val="C۽_x005f_x005f_x005f_x0000_tent"/>
      <sheetName val="C۽_x005f_x005f_x005f_x005f_x005"/>
      <sheetName val="Information"/>
      <sheetName val="3"/>
      <sheetName val="Labor Rate Detail-Arthur"/>
      <sheetName val="Production_Build_2-161"/>
      <sheetName val="BOM_Cover1"/>
      <sheetName val="BOM_Rev_131"/>
      <sheetName val="BOM_Info_Rev_12a1"/>
      <sheetName val="Sheet_Metal-Hard_Tool1"/>
      <sheetName val="New_Issues1"/>
      <sheetName val="Issues_List1"/>
      <sheetName val="Receiving_Inspection1"/>
      <sheetName val="P&amp;LOEM_&amp;_FG"/>
      <sheetName val="Master_Lists"/>
      <sheetName val="Data_lists1"/>
      <sheetName val="P&amp;L_wCorpAlloc1"/>
      <sheetName val="Summarized_P&amp;L1"/>
      <sheetName val="General_Instructions1"/>
      <sheetName val="Master_List1"/>
      <sheetName val="Cost_Breakdown"/>
      <sheetName val="A__產業車輛故障項目核對結果"/>
      <sheetName val="L2-車輛詳細資料_"/>
      <sheetName val="Sum_Sheet"/>
      <sheetName val="Material List"/>
      <sheetName val="MFG1"/>
      <sheetName val="GRACE"/>
      <sheetName val="Keyb."/>
      <sheetName val="MPM"/>
      <sheetName val="Assembly_BOM1"/>
      <sheetName val="customer_drawing1"/>
      <sheetName val="supplier_drawing1"/>
      <sheetName val="Material_Certification1"/>
      <sheetName val="Package_method1"/>
      <sheetName val="reliability_test_report1"/>
      <sheetName val="Rohs_management_list1"/>
      <sheetName val="Rohs_test_report1"/>
      <sheetName val="IP-1_INSP-CAV_#21"/>
      <sheetName val="Nimitz_Base_Cover1"/>
      <sheetName val="Root_causes1"/>
      <sheetName val="Call_Down_Data_OLD1"/>
      <sheetName val="I_Input_Template1"/>
      <sheetName val="Supplier_Base_Input"/>
      <sheetName val="Price_Summary"/>
      <sheetName val="2003_Target"/>
      <sheetName val="2003_prod2"/>
      <sheetName val="LAPL Act Trend"/>
      <sheetName val="Data Input "/>
      <sheetName val="iRUGO Event Validation"/>
      <sheetName val="Classify list"/>
      <sheetName val="WW Comet"/>
      <sheetName val="詳細資料"/>
      <sheetName val="IA1"/>
      <sheetName val="生產計劃"/>
      <sheetName val="Macro1"/>
      <sheetName val="All_Parts"/>
      <sheetName val="Carlin-G_costbom"/>
      <sheetName val="Mat Summary"/>
      <sheetName val="주행"/>
      <sheetName val="Sheet3"/>
      <sheetName val="model"/>
      <sheetName val="Jun1 Table"/>
      <sheetName val="Reference"/>
      <sheetName val="Freight"/>
      <sheetName val="Electronics"/>
      <sheetName val="Mechanical"/>
      <sheetName val="Keyboard &amp; Accessories"/>
      <sheetName val="Packaging"/>
      <sheetName val="Final Prep"/>
      <sheetName val="2E998"/>
      <sheetName val="BF3_FBOM"/>
      <sheetName val="Commodity"/>
      <sheetName val="MPS Q2 FY05"/>
      <sheetName val="CDM Component Adjustment Q1"/>
      <sheetName val="OS_Country_Kit"/>
      <sheetName val="Team List"/>
      <sheetName val="Labour"/>
      <sheetName val="Raw BOMS"/>
      <sheetName val="Quote Data"/>
      <sheetName val="Bucket Lists"/>
      <sheetName val="Proto 1"/>
      <sheetName val="IA"/>
      <sheetName val="Valid Values"/>
      <sheetName val="Categorization List"/>
      <sheetName val="Bridge Summary"/>
      <sheetName val="BOXSTER_Planner_Rev_X1"/>
      <sheetName val="eBOM"/>
      <sheetName val="AllPts-541-0832-02"/>
      <sheetName val="B.O.M."/>
      <sheetName val="BOXSTER Planner Rev X1.xls"/>
      <sheetName val="Customize Your Invoice"/>
      <sheetName val="Quote Header"/>
      <sheetName val="ship kit"/>
      <sheetName val="Guava Bulk"/>
      <sheetName val="Saturn_MVB_bom_Aug_18'08"/>
      <sheetName val="Hourly_Rate"/>
      <sheetName val="Quote_Data"/>
      <sheetName val="B_O_M_"/>
      <sheetName val="Fcst_SALES"/>
      <sheetName val="BOXSTER_Planner_Rev_X1_xls"/>
      <sheetName val="Customize_Your_Invoice"/>
      <sheetName val="SCM AV data"/>
      <sheetName val="type2"/>
      <sheetName val="type1"/>
      <sheetName val="NUDDS"/>
      <sheetName val="Tablet forecast"/>
      <sheetName val="Chessboard"/>
      <sheetName val="Dropdown menus"/>
      <sheetName val="Metal_list"/>
      <sheetName val="Help"/>
      <sheetName val="ESSM Syst"/>
      <sheetName val="Shedt1"/>
      <sheetName val="040W資料庫"/>
      <sheetName val="076W資料庫"/>
      <sheetName val="Pfam Lookup"/>
      <sheetName val="Debug check list"/>
      <sheetName val="T_Engineering_Issue_1G_"/>
      <sheetName val="RMA"/>
      <sheetName val="N-3"/>
      <sheetName val="code"/>
      <sheetName val="DBL LPG시험"/>
      <sheetName val="Rates"/>
      <sheetName val="Price Model"/>
      <sheetName val="DBL_LPG시험"/>
      <sheetName val="Price_Model"/>
      <sheetName val="Palm"/>
      <sheetName val="P&amp;L"/>
      <sheetName val="FCT repair data"/>
      <sheetName val="FA"/>
      <sheetName val="Ramp-up Prod KLf pro Woche "/>
      <sheetName val="Tester Quote"/>
      <sheetName val="Palm Q402 Price File"/>
      <sheetName val="Palm Targets"/>
      <sheetName val="Panel list"/>
      <sheetName val="Demand_051704"/>
      <sheetName val="VAM Report Input"/>
      <sheetName val="Defect root cause analysis"/>
      <sheetName val="Tables"/>
      <sheetName val="INPUTS"/>
      <sheetName val="LaborDetail"/>
      <sheetName val="DEFAULTS-Override"/>
      <sheetName val="MaterialDetail"/>
      <sheetName val="P &amp; L"/>
      <sheetName val="P&amp;LDetail"/>
      <sheetName val="HDCTEXP "/>
      <sheetName val="Control"/>
      <sheetName val="SPM Units"/>
      <sheetName val="Version Control"/>
      <sheetName val=""/>
      <sheetName val="オプション"/>
      <sheetName val="Defaults"/>
      <sheetName val="PAGE1"/>
      <sheetName val="Config"/>
      <sheetName val="Sales"/>
      <sheetName val="TORNADO_RANGE"/>
      <sheetName val="Multibay Optical"/>
      <sheetName val="10"/>
      <sheetName val="CoverPage"/>
      <sheetName val="Commit by Qtr"/>
      <sheetName val="Tsubaki_LP1.0"/>
      <sheetName val="Cosmos_LP1.0"/>
      <sheetName val="Tsubaki_LP1.1"/>
      <sheetName val="Cosmos_LP1.1"/>
      <sheetName val="Condition"/>
      <sheetName val="回収計算"/>
      <sheetName val="ＮＮ"/>
      <sheetName val="A"/>
      <sheetName val="SD2-1"/>
      <sheetName val="SD-0 C提 "/>
      <sheetName val="Matrix Name"/>
      <sheetName val="Transmission "/>
      <sheetName val="major"/>
      <sheetName val="ｴﾚｷ"/>
      <sheetName val="2015 MoM"/>
      <sheetName val="rework"/>
      <sheetName val="ﾄﾞﾗｲﾌﾞ鋳造"/>
      <sheetName val="ﾑｰﾊﾞﾌﾞﾙ鋳造 "/>
      <sheetName val="DBL_LPG시험1"/>
      <sheetName val="Price_Model1"/>
      <sheetName val="FCT_repair_data"/>
      <sheetName val="Assumptions"/>
      <sheetName val="Part Data"/>
      <sheetName val="G2TempSheet"/>
      <sheetName val="Equipment List (CBD format)"/>
      <sheetName val="MTBF_check"/>
      <sheetName val="Revision History Definitions"/>
      <sheetName val="Choice Lists (reference only)"/>
      <sheetName val="Schedule Data List"/>
      <sheetName val="Mock Up"/>
      <sheetName val="Intel Lan + AD1885 EBOM"/>
      <sheetName val="Terms"/>
      <sheetName val="MPS Q1 FY05"/>
      <sheetName val="MPS Q3 FY04"/>
      <sheetName val="MPS Q4 FY04"/>
      <sheetName val="FO"/>
      <sheetName val="PCSM"/>
      <sheetName val="CUM CONSTRAINED AVAIL"/>
      <sheetName val="MC RATE"/>
      <sheetName val="Note"/>
      <sheetName val="Mont Rates"/>
      <sheetName val="Define"/>
      <sheetName val="Blf2+LOM cost bom_080902"/>
      <sheetName val="Lists"/>
      <sheetName val="costedBOM"/>
      <sheetName val="Buckhorn_0205'08"/>
      <sheetName val="Cobra_0311"/>
      <sheetName val="Gunnison"/>
      <sheetName val="PAYDAY_0311'08"/>
      <sheetName val="選択肢メニュー"/>
      <sheetName val="Lookup_Tables"/>
      <sheetName val="New_Workings"/>
      <sheetName val="LP1_Shipment"/>
      <sheetName val="Material_List"/>
      <sheetName val="同梱IU部品費CLJ3800"/>
      <sheetName val="MeBOM"/>
      <sheetName val="Report"/>
      <sheetName val="Market Module"/>
      <sheetName val="Data Validation"/>
      <sheetName val="Parameter"/>
      <sheetName val="PM01-F09"/>
      <sheetName val="18FEB04"/>
      <sheetName val="LX8300_05 BOM"/>
      <sheetName val="5C Sum"/>
      <sheetName val="zasset"/>
      <sheetName val="ID2"/>
      <sheetName val="SBB_Table"/>
      <sheetName val="_Quotation_sheet"/>
      <sheetName val="Risk Codes"/>
      <sheetName val="BANFF"/>
      <sheetName val="連絡書１"/>
      <sheetName val="PMX WIF vs PP"/>
      <sheetName val="FB_Tooling_List_1210"/>
      <sheetName val="Summary_Design-Proto"/>
      <sheetName val="Macaron_Tooling"/>
      <sheetName val="Tsubaki_LP1_0"/>
      <sheetName val="Cosmos_LP1_0"/>
      <sheetName val="Tsubaki_LP1_1"/>
      <sheetName val="Cosmos_LP1_1"/>
      <sheetName val="SD-0_C提_"/>
      <sheetName val="Matrix_Name"/>
      <sheetName val="Transmission_"/>
      <sheetName val="RickelsRFQPWA#_2"/>
      <sheetName val="2015_MoM"/>
      <sheetName val="資料頁"/>
      <sheetName val="xbar-R chart"/>
      <sheetName val="xbar-S chart"/>
      <sheetName val="Molding Data"/>
      <sheetName val="LINE A"/>
      <sheetName val="LINE K"/>
      <sheetName val="Common"/>
      <sheetName val="BCT Lookup"/>
      <sheetName val="C۽?tents"/>
      <sheetName val="Weekly FCST &amp; MZC600"/>
      <sheetName val="Pilot Run"/>
      <sheetName val="Master Data"/>
      <sheetName val="Values"/>
      <sheetName val="Preparer"/>
      <sheetName val="Production_Build_2-162"/>
      <sheetName val="BOM_Cover2"/>
      <sheetName val="BOM_Rev_132"/>
      <sheetName val="BOM_Info_Rev_12a2"/>
      <sheetName val="Sheet_Metal-Hard_Tool2"/>
      <sheetName val="New_Issues2"/>
      <sheetName val="Issues_List2"/>
      <sheetName val="Assembly_BOM2"/>
      <sheetName val="customer_drawing2"/>
      <sheetName val="supplier_drawing2"/>
      <sheetName val="Material_Certification2"/>
      <sheetName val="Package_method2"/>
      <sheetName val="reliability_test_report2"/>
      <sheetName val="Rohs_management_list2"/>
      <sheetName val="Rohs_test_report2"/>
      <sheetName val="summary, MTH"/>
      <sheetName val="Data"/>
      <sheetName val="Data (c)"/>
      <sheetName val="sm Pcost"/>
      <sheetName val="TY9007本勞"/>
      <sheetName val="Bondi Display Back"/>
      <sheetName val="Sales Forecast"/>
      <sheetName val="TopandBtmsideSMT"/>
      <sheetName val="BoxBuild"/>
      <sheetName val="ManualAssyandWaveSolder"/>
      <sheetName val="AI"/>
      <sheetName val="Test"/>
      <sheetName val="FinalAssy"/>
      <sheetName val="Offline"/>
      <sheetName val="Packing"/>
      <sheetName val="Prep"/>
      <sheetName val="C۽_tents"/>
      <sheetName val="Data_lists2"/>
      <sheetName val="DBL_LPG시험2"/>
      <sheetName val="FCT_repair_data1"/>
      <sheetName val="Price_Model2"/>
      <sheetName val="Sum_Sheet1"/>
      <sheetName val="P&amp;L_wCorpAlloc2"/>
      <sheetName val="Receiving_Inspection2"/>
      <sheetName val="IP-1_INSP-CAV_#22"/>
      <sheetName val="Nimitz_Base_Cover2"/>
      <sheetName val="Call_Down_Data_OLD2"/>
      <sheetName val="Root_causes2"/>
      <sheetName val="I_Input_Template2"/>
      <sheetName val="Supplier_Base_Input1"/>
      <sheetName val="Price_Summary1"/>
      <sheetName val="All_Parts1"/>
      <sheetName val="Carlin-G_costbom1"/>
      <sheetName val="Summarized_P&amp;L2"/>
      <sheetName val="General_Instructions2"/>
      <sheetName val="Master_List2"/>
      <sheetName val="A__產業車輛故障項目核對結果1"/>
      <sheetName val="L2-車輛詳細資料_1"/>
      <sheetName val="Master_Lists1"/>
      <sheetName val="Cost_Breakdown1"/>
      <sheetName val="P&amp;LOEM_&amp;_FG1"/>
      <sheetName val="Q#3839_Indented_Bom_d"/>
      <sheetName val="Defect_root_cause_analysis"/>
      <sheetName val="P_&amp;_L"/>
      <sheetName val="HDCTEXP_"/>
      <sheetName val="SPM_Units"/>
      <sheetName val="VAM_Report_Input"/>
      <sheetName val="Version_Control"/>
      <sheetName val="Ramp-up_Prod_KLf_pro_Woche_"/>
      <sheetName val="Tester_Quote"/>
      <sheetName val="Pfam_Lookup"/>
      <sheetName val="Data_Input_"/>
      <sheetName val="Labor_Rate_Detail-Arthur"/>
      <sheetName val="Weekly_FCST_&amp;_MZC600"/>
      <sheetName val="Pilot_Run"/>
      <sheetName val="2003_Target1"/>
      <sheetName val="2003_prod21"/>
      <sheetName val="MB_Costed_Bom_PV"/>
      <sheetName val="Production_Build_2-163"/>
      <sheetName val="BOM_Cover3"/>
      <sheetName val="BOM_Rev_133"/>
      <sheetName val="BOM_Info_Rev_12a3"/>
      <sheetName val="Sheet_Metal-Hard_Tool3"/>
      <sheetName val="New_Issues3"/>
      <sheetName val="Issues_List3"/>
      <sheetName val="Assembly_BOM3"/>
      <sheetName val="customer_drawing3"/>
      <sheetName val="supplier_drawing3"/>
      <sheetName val="Material_Certification3"/>
      <sheetName val="Package_method3"/>
      <sheetName val="reliability_test_report3"/>
      <sheetName val="Rohs_management_list3"/>
      <sheetName val="Rohs_test_report3"/>
      <sheetName val="Data_lists3"/>
      <sheetName val="DBL_LPG시험3"/>
      <sheetName val="FCT_repair_data2"/>
      <sheetName val="Price_Model3"/>
      <sheetName val="Sum_Sheet2"/>
      <sheetName val="P&amp;L_wCorpAlloc3"/>
      <sheetName val="Receiving_Inspection3"/>
      <sheetName val="IP-1_INSP-CAV_#23"/>
      <sheetName val="Nimitz_Base_Cover3"/>
      <sheetName val="Call_Down_Data_OLD3"/>
      <sheetName val="Root_causes3"/>
      <sheetName val="I_Input_Template3"/>
      <sheetName val="Supplier_Base_Input2"/>
      <sheetName val="Price_Summary2"/>
      <sheetName val="All_Parts2"/>
      <sheetName val="129_COA1"/>
      <sheetName val="Carlin-G_costbom2"/>
      <sheetName val="Summarized_P&amp;L3"/>
      <sheetName val="General_Instructions3"/>
      <sheetName val="Master_List3"/>
      <sheetName val="A__產業車輛故障項目核對結果2"/>
      <sheetName val="L2-車輛詳細資料_2"/>
      <sheetName val="Master_Lists2"/>
      <sheetName val="Cost_Breakdown2"/>
      <sheetName val="New_Workings1"/>
      <sheetName val="P&amp;LOEM_&amp;_FG2"/>
      <sheetName val="_Quotation_sheet1"/>
      <sheetName val="SBB_Table1"/>
      <sheetName val="Summary_Design-Proto1"/>
      <sheetName val="B_O_M_1"/>
      <sheetName val="Q#3839_Indented_Bom_d1"/>
      <sheetName val="BOXSTER_Planner_Rev_X11"/>
      <sheetName val="Defect_root_cause_analysis1"/>
      <sheetName val="P_&amp;_L1"/>
      <sheetName val="HDCTEXP_1"/>
      <sheetName val="SPM_Units1"/>
      <sheetName val="LP1_Shipment1"/>
      <sheetName val="VAM_Report_Input1"/>
      <sheetName val="Version_Control1"/>
      <sheetName val="Ramp-up_Prod_KLf_pro_Woche_1"/>
      <sheetName val="Tester_Quote1"/>
      <sheetName val="Tsubaki_LP1_01"/>
      <sheetName val="Cosmos_LP1_01"/>
      <sheetName val="Tsubaki_LP1_11"/>
      <sheetName val="Cosmos_LP1_11"/>
      <sheetName val="SD-0_C提_1"/>
      <sheetName val="Pfam_Lookup1"/>
      <sheetName val="Data_Input_1"/>
      <sheetName val="Hourly_Rate1"/>
      <sheetName val="Labor_Rate_Detail-Arthur1"/>
      <sheetName val="Weekly_FCST_&amp;_MZC6001"/>
      <sheetName val="Pilot_Run1"/>
      <sheetName val="2003_Target2"/>
      <sheetName val="2003_prod22"/>
      <sheetName val="Saturn_MVB_bom_Aug_18'081"/>
      <sheetName val="FB_Tooling_List_12101"/>
      <sheetName val="MB_Costed_Bom_PV1"/>
      <sheetName val="Data_Selections_(Hide_&amp;_Lock)_1"/>
      <sheetName val="Production_Build_2-164"/>
      <sheetName val="BOM_Cover4"/>
      <sheetName val="BOM_Rev_134"/>
      <sheetName val="BOM_Info_Rev_12a4"/>
      <sheetName val="Sheet_Metal-Hard_Tool4"/>
      <sheetName val="New_Issues4"/>
      <sheetName val="Issues_List4"/>
      <sheetName val="Assembly_BOM4"/>
      <sheetName val="customer_drawing4"/>
      <sheetName val="supplier_drawing4"/>
      <sheetName val="Material_Certification4"/>
      <sheetName val="Package_method4"/>
      <sheetName val="reliability_test_report4"/>
      <sheetName val="Rohs_management_list4"/>
      <sheetName val="Rohs_test_report4"/>
      <sheetName val="Data_lists4"/>
      <sheetName val="DBL_LPG시험4"/>
      <sheetName val="FCT_repair_data3"/>
      <sheetName val="Price_Model4"/>
      <sheetName val="Sum_Sheet3"/>
      <sheetName val="P&amp;L_wCorpAlloc4"/>
      <sheetName val="Receiving_Inspection4"/>
      <sheetName val="IP-1_INSP-CAV_#24"/>
      <sheetName val="Nimitz_Base_Cover4"/>
      <sheetName val="Call_Down_Data_OLD4"/>
      <sheetName val="Root_causes4"/>
      <sheetName val="I_Input_Template4"/>
      <sheetName val="Supplier_Base_Input3"/>
      <sheetName val="Price_Summary3"/>
      <sheetName val="All_Parts3"/>
      <sheetName val="129_COA2"/>
      <sheetName val="Carlin-G_costbom3"/>
      <sheetName val="Summarized_P&amp;L4"/>
      <sheetName val="General_Instructions4"/>
      <sheetName val="Master_List4"/>
      <sheetName val="A__產業車輛故障項目核對結果3"/>
      <sheetName val="L2-車輛詳細資料_3"/>
      <sheetName val="Master_Lists3"/>
      <sheetName val="Cost_Breakdown3"/>
      <sheetName val="New_Workings2"/>
      <sheetName val="P&amp;LOEM_&amp;_FG3"/>
      <sheetName val="_Quotation_sheet2"/>
      <sheetName val="SBB_Table2"/>
      <sheetName val="Summary_Design-Proto2"/>
      <sheetName val="B_O_M_2"/>
      <sheetName val="Q#3839_Indented_Bom_d2"/>
      <sheetName val="BOXSTER_Planner_Rev_X12"/>
      <sheetName val="Defect_root_cause_analysis2"/>
      <sheetName val="P_&amp;_L2"/>
      <sheetName val="HDCTEXP_2"/>
      <sheetName val="SPM_Units2"/>
      <sheetName val="LP1_Shipment2"/>
      <sheetName val="VAM_Report_Input2"/>
      <sheetName val="Version_Control2"/>
      <sheetName val="Ramp-up_Prod_KLf_pro_Woche_2"/>
      <sheetName val="Tester_Quote2"/>
      <sheetName val="Tsubaki_LP1_02"/>
      <sheetName val="Cosmos_LP1_02"/>
      <sheetName val="Tsubaki_LP1_12"/>
      <sheetName val="Cosmos_LP1_12"/>
      <sheetName val="SD-0_C提_2"/>
      <sheetName val="Pfam_Lookup2"/>
      <sheetName val="Data_Input_2"/>
      <sheetName val="Hourly_Rate2"/>
      <sheetName val="Labor_Rate_Detail-Arthur2"/>
      <sheetName val="Weekly_FCST_&amp;_MZC6002"/>
      <sheetName val="Pilot_Run2"/>
      <sheetName val="2003_Target3"/>
      <sheetName val="2003_prod23"/>
      <sheetName val="Saturn_MVB_bom_Aug_18'082"/>
      <sheetName val="FB_Tooling_List_12102"/>
      <sheetName val="MB_Costed_Bom_PV2"/>
      <sheetName val="Master_Data"/>
      <sheetName val="iRUGO_Event_Validation"/>
      <sheetName val="FLX_Consolflxidated"/>
      <sheetName val="Cover_sheet"/>
      <sheetName val="Palm_Q402_Price_File"/>
      <sheetName val="Palm_Targets"/>
      <sheetName val="Panel_list"/>
      <sheetName val="Commit_by_Qtr"/>
      <sheetName val="Blf2+LOM_cost_bom_080902"/>
      <sheetName val="Master_Data1"/>
      <sheetName val="iRUGO_Event_Validation1"/>
      <sheetName val="FLX_Consolflxidated1"/>
      <sheetName val="Fcst_SALES1"/>
      <sheetName val="Cover_sheet1"/>
      <sheetName val="Palm_Q402_Price_File1"/>
      <sheetName val="Palm_Targets1"/>
      <sheetName val="Panel_list1"/>
      <sheetName val="Lookup_Tables1"/>
      <sheetName val="Commit_by_Qtr1"/>
      <sheetName val="Blf2+LOM_cost_bom_0809021"/>
      <sheetName val="清單內容"/>
      <sheetName val="工作表2"/>
      <sheetName val="FA_Definitions"/>
      <sheetName val="BB_Table"/>
      <sheetName val="A58_2011"/>
      <sheetName val="Kod3_Table"/>
      <sheetName val="WI_MODEM及SCAN"/>
      <sheetName val="BF3_MB_cost__0708_from_MSL"/>
      <sheetName val="IQC_Inspection_Data"/>
      <sheetName val="Slim_Merlot_Block_Diagram"/>
      <sheetName val="DW_RFID1202"/>
      <sheetName val="Antenna_Window"/>
      <sheetName val="SheetMetal"/>
      <sheetName val="Inv Mitsui"/>
      <sheetName val="Inventory Summary"/>
      <sheetName val="CBOMQ1 2009  ed 15 01"/>
      <sheetName val="MO &amp; PX DIE FA DATA SHEET FOR M"/>
      <sheetName val="1.COVER"/>
      <sheetName val="1.APP data sheet"/>
      <sheetName val="MSR method"/>
      <sheetName val="P29"/>
      <sheetName val="P27"/>
      <sheetName val="Attendance"/>
      <sheetName val="Guide"/>
      <sheetName val="Display Back"/>
      <sheetName val="Direct Labor Cost"/>
      <sheetName val="P&amp;L "/>
      <sheetName val="Schedule"/>
      <sheetName val="Datos"/>
      <sheetName val="Options"/>
      <sheetName val="Properties"/>
      <sheetName val="Assembly"/>
      <sheetName val="Dbase"/>
      <sheetName val="Vol &amp; Assumpt"/>
      <sheetName val="Full PBD"/>
      <sheetName val="Assumption"/>
      <sheetName val="产成品"/>
      <sheetName val="RFA-1"/>
      <sheetName val="Project Definition Form Summary"/>
      <sheetName val="Sheet A -Cost Structure compl. "/>
      <sheetName val="3#-Input Data-Resin"/>
      <sheetName val="SMAD Dashboard"/>
      <sheetName val="7.A.1a Supply Base Reco Table"/>
      <sheetName val="LTT shutdown time"/>
      <sheetName val="Admin"/>
      <sheetName val="IC Balsht Input"/>
      <sheetName val="Check Errors"/>
      <sheetName val="Sales Fcst"/>
      <sheetName val="Cover Page"/>
      <sheetName val="FORECASTS"/>
      <sheetName val="Notes"/>
      <sheetName val="Controlling + R&amp;D definitions"/>
      <sheetName val="RM database"/>
      <sheetName val="Keyb_"/>
      <sheetName val="LAPL_Act_Trend"/>
      <sheetName val="Classify_list"/>
      <sheetName val="WW_Comet"/>
      <sheetName val="Mat_Summary"/>
      <sheetName val="Jun1_Table"/>
      <sheetName val="Keyboard_&amp;_Accessories"/>
      <sheetName val="Final_Prep"/>
      <sheetName val="MPS_Q2_FY05"/>
      <sheetName val="CDM_Component_Adjustment_Q1"/>
      <sheetName val="Team_List"/>
      <sheetName val="Raw_BOMS"/>
      <sheetName val="Quote_Data1"/>
      <sheetName val="Bucket_Lists"/>
      <sheetName val="Proto_1"/>
      <sheetName val="Valid_Values"/>
      <sheetName val="Categorization_List"/>
      <sheetName val="Bridge_Summary"/>
      <sheetName val="BOXSTER_Planner_Rev_X1_xls1"/>
      <sheetName val="Customize_Your_Invoice1"/>
      <sheetName val="Quote_Header"/>
      <sheetName val="ship_kit"/>
      <sheetName val="Guava_Bulk"/>
      <sheetName val="SCM_AV_data"/>
      <sheetName val="Tablet_forecast"/>
      <sheetName val="Dropdown_menus"/>
      <sheetName val="ESSM_Syst"/>
      <sheetName val="Debug_check_list"/>
      <sheetName val="Multibay_Optical"/>
      <sheetName val="ﾑｰﾊﾞﾌﾞﾙ鋳造_"/>
      <sheetName val="Part_Data"/>
      <sheetName val="Equipment_List_(CBD_format)"/>
      <sheetName val="Revision_History_Definitions"/>
      <sheetName val="Choice_Lists_(reference_only)"/>
      <sheetName val="Schedule_Data_List"/>
      <sheetName val="Mock_Up"/>
      <sheetName val="Intel_Lan_+_AD1885_EBOM"/>
      <sheetName val="MPS_Q1_FY05"/>
      <sheetName val="MPS_Q3_FY04"/>
      <sheetName val="MPS_Q4_FY04"/>
      <sheetName val="CUM_CONSTRAINED_AVAIL"/>
      <sheetName val="MC_RATE"/>
      <sheetName val="Lists Data"/>
      <sheetName val="Dropdown"/>
      <sheetName val="A-Note Bug list"/>
      <sheetName val="0512MB"/>
      <sheetName val="systems"/>
      <sheetName val="foundry "/>
      <sheetName val="foundry_"/>
      <sheetName val="check List"/>
      <sheetName val="summary_4.5%MOH"/>
      <sheetName val="POR"/>
      <sheetName val="ﾀｰｹﾞｯﾄコスト"/>
      <sheetName val="wsp 12-03"/>
      <sheetName val="Pallet"/>
      <sheetName val="BaseLine"/>
      <sheetName val="BLUFORD3 FBOM-update081303"/>
      <sheetName val="NetBench_dm"/>
      <sheetName val="C_BF3 MSL _March"/>
      <sheetName val="Key Parts List"/>
      <sheetName val="Baseline &amp; Summary"/>
      <sheetName val="MonthMapping"/>
      <sheetName val="Q72 Channel Analysis Q4"/>
      <sheetName val="Q73 Channel Analysis Q4"/>
      <sheetName val="RCSPlan"/>
      <sheetName val="G.1R-Shou COP Gf"/>
      <sheetName val="Month Schedule"/>
      <sheetName val="Product Data Entry"/>
      <sheetName val="Macros"/>
      <sheetName val="Setup"/>
      <sheetName val="ME"/>
      <sheetName val="Transformation Wrksht-Mech"/>
      <sheetName val="Sheet1 (2)"/>
      <sheetName val="Demand&amp;Supply"/>
      <sheetName val="PartsList"/>
      <sheetName val="Pulldown Categories"/>
      <sheetName val="Projection"/>
      <sheetName val="Classify list_back"/>
      <sheetName val="Inspiron 7548 Bradley IFIR"/>
      <sheetName val="Inspiron 7548 Bardley IFIR"/>
      <sheetName val="CalendarMap"/>
      <sheetName val="UniqueDPS"/>
      <sheetName val="Inspiron 7548 Pivot-Classified"/>
      <sheetName val="Bridge-Chart"/>
      <sheetName val="Readme"/>
      <sheetName val="Project Codes"/>
      <sheetName val="Category"/>
      <sheetName val="週報"/>
      <sheetName val="BOM簡化"/>
      <sheetName val="LSS"/>
      <sheetName val="BLUFORD_R12"/>
      <sheetName val="Bluford3 MB BOM-Intel LAN"/>
      <sheetName val="ref"/>
      <sheetName val="SZ1210_0843_008720_27"/>
      <sheetName val="910Nassau"/>
      <sheetName val="Base Input"/>
      <sheetName val="summary,_MTH"/>
      <sheetName val="Data_(c)"/>
      <sheetName val="sm_Pcost"/>
      <sheetName val="Variables1"/>
      <sheetName val="Lookups"/>
      <sheetName val="MPM&amp;DEK"/>
      <sheetName val="summary_4_5%MOH"/>
      <sheetName val="CBOMQ1_2009__ed_15_01"/>
      <sheetName val="Sales_Forecast"/>
      <sheetName val="Market_Module"/>
      <sheetName val="Data_Validation"/>
      <sheetName val="Spec Source"/>
      <sheetName val="Trooper BOM quote"/>
      <sheetName val="raw_data"/>
      <sheetName val="8月ABL出貨明細"/>
      <sheetName val="FCT August"/>
      <sheetName val="Ex"/>
      <sheetName val="exchange rate"/>
      <sheetName val="Title Page"/>
      <sheetName val="Requesters"/>
      <sheetName val="090701"/>
      <sheetName val="Forwarder_Plan"/>
      <sheetName val="Composites"/>
      <sheetName val="Metals"/>
      <sheetName val="intel target"/>
      <sheetName val="Neo"/>
      <sheetName val="FRU demand"/>
      <sheetName val="Compal open order "/>
      <sheetName val="R CTO demand"/>
      <sheetName val="Compal stock 4.6"/>
      <sheetName val="INCO"/>
      <sheetName val="zsdr82 Tab."/>
      <sheetName val="DOC_REQUIREMENT"/>
      <sheetName val="PRVF"/>
      <sheetName val="Chk_sheet"/>
      <sheetName val="MetricsData"/>
      <sheetName val="6"/>
      <sheetName val="LOT_ACCP"/>
      <sheetName val="WIP_STATION_REPAIR_Q"/>
      <sheetName val="MS Type"/>
      <sheetName val="Part Type"/>
      <sheetName val="Purchase Type"/>
      <sheetName val="Q3'04"/>
      <sheetName val="EC Charge"/>
      <sheetName val="Others"/>
      <sheetName val="Cable"/>
      <sheetName val="Drop Down Info"/>
      <sheetName val="QuoteFormat"/>
      <sheetName val="Sandler EK FBOM_A00"/>
      <sheetName val="Xoption"/>
      <sheetName val="MB costed BOM USDT"/>
      <sheetName val="C_K810VU"/>
      <sheetName val="MT"/>
      <sheetName val="TAMG"/>
      <sheetName val="Medion - Product mix"/>
      <sheetName val="BSF"/>
      <sheetName val="Menu Items"/>
      <sheetName val="MPU Other"/>
      <sheetName val="541176170007"/>
      <sheetName val="BOM-EMC-ATAtUDE-40"/>
      <sheetName val="CC507-4x3.5"/>
      <sheetName val="A0-MFP-0426"/>
      <sheetName val="WEIGHT"/>
      <sheetName val="TOTAL"/>
      <sheetName val="Allocations"/>
      <sheetName val="Material Category Summary"/>
      <sheetName val="Backend"/>
      <sheetName val="總表"/>
      <sheetName val="台北廠"/>
      <sheetName val="紫竹廠"/>
      <sheetName val="環慶廠"/>
      <sheetName val="Calculation"/>
      <sheetName val="OBU"/>
      <sheetName val="&quot;B&quot; Quote Model"/>
      <sheetName val="ArchII"/>
      <sheetName val="Detail"/>
      <sheetName val="Vise"/>
      <sheetName val="Xbox"/>
      <sheetName val="T4649_X19"/>
      <sheetName val="G8ZFR"/>
      <sheetName val="Freight Table"/>
      <sheetName val="Gap to CS (2)"/>
      <sheetName val="Platform Summary - WW"/>
      <sheetName val="9.28.04 Detail"/>
      <sheetName val="Bom(P1)"/>
      <sheetName val="Weekly Cases Opened"/>
      <sheetName val="small card 基本資料0216_04"/>
      <sheetName val="Assumpiton"/>
      <sheetName val="PWA#1"/>
      <sheetName val="Ref Data"/>
      <sheetName val="TIMEA"/>
      <sheetName val="Mgr Summary"/>
      <sheetName val="내수1.8GL"/>
      <sheetName val="Equipment List"/>
      <sheetName val="Revision History Definition"/>
      <sheetName val="Knight OBS  New"/>
      <sheetName val="Raw Data"/>
      <sheetName val="Legend"/>
      <sheetName val="Q_BF3 FBOM-update111703"/>
      <sheetName val="Data Input (AE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sheetData sheetId="417" refreshError="1"/>
      <sheetData sheetId="418"/>
      <sheetData sheetId="419"/>
      <sheetData sheetId="420" refreshError="1"/>
      <sheetData sheetId="421" refreshError="1"/>
      <sheetData sheetId="422"/>
      <sheetData sheetId="423" refreshError="1"/>
      <sheetData sheetId="424" refreshError="1"/>
      <sheetData sheetId="425" refreshError="1"/>
      <sheetData sheetId="426" refreshError="1"/>
      <sheetData sheetId="427" refreshError="1"/>
      <sheetData sheetId="428"/>
      <sheetData sheetId="429"/>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refreshError="1"/>
      <sheetData sheetId="440"/>
      <sheetData sheetId="441"/>
      <sheetData sheetId="442"/>
      <sheetData sheetId="443"/>
      <sheetData sheetId="444"/>
      <sheetData sheetId="445"/>
      <sheetData sheetId="446"/>
      <sheetData sheetId="447"/>
      <sheetData sheetId="448"/>
      <sheetData sheetId="449"/>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sheetData sheetId="687"/>
      <sheetData sheetId="688"/>
      <sheetData sheetId="689"/>
      <sheetData sheetId="690"/>
      <sheetData sheetId="691"/>
      <sheetData sheetId="692"/>
      <sheetData sheetId="693"/>
      <sheetData sheetId="694"/>
      <sheetData sheetId="695"/>
      <sheetData sheetId="696"/>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sheetData sheetId="862"/>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sheetData sheetId="914"/>
      <sheetData sheetId="915"/>
      <sheetData sheetId="916"/>
      <sheetData sheetId="917"/>
      <sheetData sheetId="918"/>
      <sheetData sheetId="919"/>
      <sheetData sheetId="920"/>
      <sheetData sheetId="921"/>
      <sheetData sheetId="922"/>
      <sheetData sheetId="923"/>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
      <sheetName val="DS "/>
      <sheetName val="NW "/>
      <sheetName val="IA1"/>
      <sheetName val="IA2"/>
      <sheetName val="DVD"/>
      <sheetName val="PTB"/>
      <sheetName val="CSD"/>
      <sheetName val="M700"/>
      <sheetName val="OTHER"/>
      <sheetName val="ExportData"/>
      <sheetName val="Hourly Rate"/>
      <sheetName val="FRU Cost"/>
      <sheetName val="EC Charge"/>
      <sheetName val="Others"/>
      <sheetName val="Pilot Run"/>
      <sheetName val="Rework"/>
      <sheetName val="MACRO"/>
      <sheetName val="MZC300"/>
      <sheetName val="MZC400"/>
      <sheetName val="MZC500"/>
      <sheetName val="MZC800"/>
      <sheetName val="MZC900"/>
      <sheetName val="Weekly Manpower"/>
      <sheetName val="Xenon"/>
      <sheetName val="MZCN&amp;1&amp;2"/>
      <sheetName val="Macros"/>
      <sheetName val="Detail"/>
      <sheetName val="Weekly Shift Plan"/>
      <sheetName val="XBOX360"/>
      <sheetName val="BaseData"/>
      <sheetName val="Sheet2"/>
      <sheetName val="Sheet3"/>
      <sheetName val="Trendsum_CoPQY2010 BU"/>
      <sheetName val="Stock"/>
      <sheetName val="FAE reports"/>
      <sheetName val="Budget unit"/>
      <sheetName val="2FDAY"/>
      <sheetName val="IS-YTD"/>
      <sheetName val="EXP2001-04"/>
      <sheetName val="BS"/>
      <sheetName val="OBU"/>
      <sheetName val="temp"/>
      <sheetName val="Input data"/>
      <sheetName val="Setup"/>
      <sheetName val="Information"/>
      <sheetName val="Reference"/>
      <sheetName val="期初B"/>
      <sheetName val="Assumption"/>
      <sheetName val="1. Inputs"/>
      <sheetName val="STD"/>
      <sheetName val="DataBased"/>
      <sheetName val="DS_"/>
      <sheetName val="NW_"/>
      <sheetName val="Hourly_Rate"/>
      <sheetName val="Trendsum_CoPQY2010_BU"/>
      <sheetName val="Weekly_Shift_Plan"/>
      <sheetName val="FAE_reports"/>
      <sheetName val="Budget_unit"/>
      <sheetName val="FRU_Cost"/>
      <sheetName val="EC_Charge"/>
      <sheetName val="Pilot_Run"/>
      <sheetName val="Weekly_Manpower"/>
      <sheetName val="Issues List"/>
      <sheetName val="small card 基本資料0216_04"/>
      <sheetName val="ISRDATA"/>
      <sheetName val="Data"/>
      <sheetName val="Base Data"/>
      <sheetName val="Reason"/>
      <sheetName val="Action"/>
      <sheetName val="customer"/>
      <sheetName val="Ref Data"/>
      <sheetName val="FA"/>
      <sheetName val="fa-listing"/>
      <sheetName val="greer"/>
      <sheetName val="GPIO raw"/>
      <sheetName val="IO Summary"/>
      <sheetName val="Process Scaling"/>
      <sheetName val="IPXPTL"/>
      <sheetName val="summary_4.5%MOH"/>
      <sheetName val="Master Lists"/>
      <sheetName val="1__Inputs"/>
      <sheetName val="Settings"/>
      <sheetName val="Reschedule-Reconfirm"/>
      <sheetName val="Engineering Resources"/>
      <sheetName val="Sample"/>
      <sheetName val="SW Test"/>
      <sheetName val="EMC pre-test"/>
      <sheetName val="RF_Performance_LTE FCC_NA(WAN)"/>
      <sheetName val="RF Perfom WCDMA LTE CE_EU(WAN)"/>
      <sheetName val="RFI_NA_Reduced"/>
      <sheetName val="RFI_EU_Reduced"/>
      <sheetName val="RFI_WLAN_Reduced"/>
      <sheetName val="Antenna Pre-Test_Worldwide-WAN2"/>
      <sheetName val="AntennaPre-Test_Worldwide-WLAN2"/>
      <sheetName val="RF Pre-Test_NA_RFV (WAN)24 "/>
      <sheetName val="RF Pre-Test_EU_RFV (WAN)24"/>
      <sheetName val="RF_Pre-test_Wifi Only24"/>
      <sheetName val="QTP"/>
      <sheetName val="IEEE 1725 (WAN)"/>
      <sheetName val="EMC regulatory_NA (WAN)"/>
      <sheetName val="EMC regulatory_EU (WAN)"/>
      <sheetName val="Thunder Backward"/>
      <sheetName val="Thunder Backward(Falcon ACC)"/>
      <sheetName val="EMC regulatory_WLAN only"/>
      <sheetName val="Safety"/>
      <sheetName val="RF Regulatory_Tier1(WAN)"/>
      <sheetName val="RF Regulatory_Tier2 (WAN)"/>
      <sheetName val="RF Official regulatoryWLAN Tie1"/>
      <sheetName val="RF Official regulatoryWLAN Tie2"/>
      <sheetName val="Cetification _Fee_WWAN"/>
      <sheetName val="Cetification _Fee_WLAN"/>
      <sheetName val="PTCRB_GCF Pre Test (WAN)"/>
      <sheetName val="PTCRB_GCF (WAN)"/>
      <sheetName val="Carrier PreTest (WAN)"/>
      <sheetName val="Carrier Official Test (WAN)"/>
      <sheetName val="Tooling"/>
      <sheetName val="Fixtures"/>
      <sheetName val="CTO PO"/>
      <sheetName val="DS_1"/>
      <sheetName val="NW_1"/>
      <sheetName val="Hourly_Rate1"/>
      <sheetName val="Weekly_Shift_Plan1"/>
      <sheetName val="Trendsum_CoPQY2010_BU1"/>
      <sheetName val="FAE_reports1"/>
      <sheetName val="Budget_unit1"/>
      <sheetName val="FRU_Cost1"/>
      <sheetName val="EC_Charge1"/>
      <sheetName val="Pilot_Run1"/>
      <sheetName val="Weekly_Manpower1"/>
      <sheetName val="Base_Data"/>
      <sheetName val="Ref_Data"/>
      <sheetName val="small_card_基本資料0216_04"/>
      <sheetName val="Cover"/>
      <sheetName val="Version Control"/>
      <sheetName val="非機種"/>
      <sheetName val="All Parts"/>
      <sheetName val="Cyce 3 Descriptions"/>
      <sheetName val="Call Down Data OLD"/>
      <sheetName val="List"/>
      <sheetName val="PCSM"/>
      <sheetName val="Intel Lan + AD1885 EBOM"/>
      <sheetName val="Deliverables"/>
      <sheetName val="Project Details"/>
      <sheetName val="Rates"/>
      <sheetName val="P&amp;L"/>
      <sheetName val="PartsList"/>
      <sheetName val="Management Review"/>
      <sheetName val="Product Data Entry"/>
      <sheetName val="All"/>
      <sheetName val="Bom(P1)"/>
      <sheetName val="wsp 01-07"/>
      <sheetName val="Detail Schedule"/>
      <sheetName val="OverTime Rule"/>
      <sheetName val="DropDownLists"/>
      <sheetName val="D45D46"/>
      <sheetName val="scm av data"/>
      <sheetName val="Candidate"/>
      <sheetName val="plan"/>
      <sheetName val="INV"/>
      <sheetName val="SFC"/>
      <sheetName val="SHIP"/>
      <sheetName val="SO"/>
      <sheetName val="WFA"/>
      <sheetName val="DS_2"/>
      <sheetName val="NW_2"/>
      <sheetName val="Hourly_Rate2"/>
      <sheetName val="FRU_Cost2"/>
      <sheetName val="EC_Charge2"/>
      <sheetName val="Pilot_Run2"/>
      <sheetName val="Weekly_Manpower2"/>
      <sheetName val="Weekly_Shift_Plan2"/>
      <sheetName val="Trendsum_CoPQY2010_BU2"/>
      <sheetName val="FAE_reports2"/>
      <sheetName val="Budget_unit2"/>
      <sheetName val="1__Inputs1"/>
      <sheetName val="small_card_基本資料0216_041"/>
      <sheetName val="Base_Data1"/>
      <sheetName val="Ref_Data1"/>
      <sheetName val="Issues_List"/>
      <sheetName val="GPIO_raw"/>
      <sheetName val="IO_Summary"/>
      <sheetName val="Process_Scaling"/>
      <sheetName val="summary_4_5%MOH"/>
      <sheetName val="Master_Lists"/>
      <sheetName val="Engineering_Resources"/>
      <sheetName val="SW_Test"/>
      <sheetName val="EMC_pre-test"/>
      <sheetName val="RF_Performance_LTE_FCC_NA(WAN)"/>
      <sheetName val="RF_Perfom_WCDMA_LTE_CE_EU(WAN)"/>
      <sheetName val="Antenna_Pre-Test_Worldwide-WAN2"/>
      <sheetName val="RF_Pre-Test_NA_RFV_(WAN)24_"/>
      <sheetName val="RF_Pre-Test_EU_RFV_(WAN)24"/>
      <sheetName val="RF_Pre-test_Wifi_Only24"/>
      <sheetName val="IEEE_1725_(WAN)"/>
      <sheetName val="EMC_regulatory_NA_(WAN)"/>
      <sheetName val="EMC_regulatory_EU_(WAN)"/>
      <sheetName val="Thunder_Backward"/>
      <sheetName val="Thunder_Backward(Falcon_ACC)"/>
      <sheetName val="EMC_regulatory_WLAN_only"/>
      <sheetName val="RF_Regulatory_Tier1(WAN)"/>
      <sheetName val="RF_Regulatory_Tier2_(WAN)"/>
      <sheetName val="RF_Official_regulatoryWLAN_Tie1"/>
      <sheetName val="RF_Official_regulatoryWLAN_Tie2"/>
      <sheetName val="Cetification__Fee_WWAN"/>
      <sheetName val="Cetification__Fee_WLAN"/>
      <sheetName val="PTCRB_GCF_Pre_Test_(WAN)"/>
      <sheetName val="PTCRB_GCF_(WAN)"/>
      <sheetName val="Carrier_PreTest_(WAN)"/>
      <sheetName val="Carrier_Official_Test_(WAN)"/>
      <sheetName val="CTO_PO"/>
      <sheetName val="Version_Control"/>
      <sheetName val="All_Parts"/>
      <sheetName val="Cyce_3_Descriptions"/>
      <sheetName val="Call_Down_Data_OLD"/>
      <sheetName val="Intel_Lan_+_AD1885_EBOM"/>
      <sheetName val="Project_Details"/>
      <sheetName val="Management_Review"/>
      <sheetName val="Product_Data_Entry"/>
      <sheetName val="wsp_01-07"/>
      <sheetName val="Custom_Cost"/>
      <sheetName val="IE"/>
      <sheetName val="A-Note Bug list"/>
      <sheetName val="Better"/>
      <sheetName val="F"/>
      <sheetName val="HK"/>
      <sheetName val="Best"/>
      <sheetName val="AIR (Inbound material)"/>
      <sheetName val="Build Instructions"/>
      <sheetName val="overlap waterfall barbados_lf"/>
      <sheetName val="sm Pcost"/>
      <sheetName val="Raw Data"/>
      <sheetName val="TOOL"/>
      <sheetName val="Hollywood-Bud"/>
      <sheetName val="Input"/>
      <sheetName val="Main"/>
      <sheetName val="Mat Summary"/>
      <sheetName val="蘆竹5月薪"/>
      <sheetName val="1492分攤"/>
      <sheetName val="蘆竹"/>
      <sheetName val="Forecast"/>
      <sheetName val="MOD"/>
      <sheetName val="Baseline &amp; Summary"/>
      <sheetName val="WIP_STATION_REPAIR_Q"/>
      <sheetName val="Detailed Quote"/>
      <sheetName val="ED_Cost"/>
      <sheetName val="co_code"/>
      <sheetName val="法規課84上半年經營實績"/>
      <sheetName val="AOP Summary-2"/>
      <sheetName val="BLUFORD3 FBOM-update081303"/>
      <sheetName val="Demand&amp;Supply"/>
      <sheetName val="Output Headcount"/>
      <sheetName val="intel target"/>
      <sheetName val="CFG Matrix"/>
      <sheetName val="Assembly BOM  "/>
      <sheetName val="ECOLOGIA"/>
      <sheetName val="Month_Days"/>
      <sheetName val="Mock Up"/>
      <sheetName val="Team List"/>
      <sheetName val="Input commodity fallout"/>
      <sheetName val="Dropdown Menu"/>
    </sheetNames>
    <sheetDataSet>
      <sheetData sheetId="0" refreshError="1"/>
      <sheetData sheetId="1" refreshError="1"/>
      <sheetData sheetId="2" refreshError="1"/>
      <sheetData sheetId="3" refreshError="1"/>
      <sheetData sheetId="4">
        <row r="7">
          <cell r="D7">
            <v>0</v>
          </cell>
          <cell r="E7">
            <v>0</v>
          </cell>
          <cell r="F7">
            <v>0</v>
          </cell>
          <cell r="G7">
            <v>0</v>
          </cell>
          <cell r="H7">
            <v>0</v>
          </cell>
          <cell r="I7">
            <v>0</v>
          </cell>
          <cell r="J7">
            <v>0</v>
          </cell>
          <cell r="K7">
            <v>0</v>
          </cell>
          <cell r="L7">
            <v>0</v>
          </cell>
          <cell r="M7">
            <v>0</v>
          </cell>
          <cell r="N7">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0906"/>
      <sheetName val="FS "/>
      <sheetName val="Mfg_Tdg"/>
      <sheetName val="Mfg"/>
      <sheetName val="Appendix 1"/>
      <sheetName val="Office Exp"/>
      <sheetName val="BS"/>
      <sheetName val="EC"/>
      <sheetName val="Qtr Audit P&amp;L AC"/>
      <sheetName val="Inc-St"/>
      <sheetName val="Audit Chng Equity"/>
      <sheetName val="CFLOWS"/>
      <sheetName val="Other Creditor"/>
      <sheetName val="Other Creditor Sch"/>
      <sheetName val="Other creditor (A)"/>
      <sheetName val=" Old Bonus"/>
      <sheetName val="Other Debtor"/>
      <sheetName val="Other Debtor Sch"/>
      <sheetName val="Breakeven -Current"/>
      <sheetName val="Breakeven-Last Month"/>
      <sheetName val="Breakeven-Last FY"/>
      <sheetName val="Breakeven-Last FY (Qtrly)"/>
      <sheetName val="Breakeven-Last FY (Half Yearly)"/>
      <sheetName val="Module1"/>
      <sheetName val="FF-3"/>
      <sheetName val="Sheet1"/>
      <sheetName val="TB"/>
      <sheetName val="Assumptions"/>
      <sheetName val="MasterNEW"/>
      <sheetName val="Home"/>
      <sheetName val="R&amp;D $"/>
      <sheetName val="Expenses"/>
      <sheetName val="ar"/>
      <sheetName val="Sheet6"/>
      <sheetName val="FS_"/>
      <sheetName val="Appendix_1"/>
      <sheetName val="Office_Exp"/>
      <sheetName val="Qtr_Audit_P&amp;L_AC"/>
      <sheetName val="Audit_Chng_Equity"/>
      <sheetName val="Other_Creditor"/>
      <sheetName val="Other_Creditor_Sch"/>
      <sheetName val="Other_creditor_(A)"/>
      <sheetName val="_Old_Bonus"/>
      <sheetName val="Other_Debtor"/>
      <sheetName val="Other_Debtor_Sch"/>
      <sheetName val="Breakeven_-Current"/>
      <sheetName val="Breakeven-Last_Month"/>
      <sheetName val="Breakeven-Last_FY"/>
      <sheetName val="Breakeven-Last_FY_(Qtrly)"/>
      <sheetName val="Breakeven-Last_FY_(Half_Yearly)"/>
      <sheetName val="R&amp;D_$"/>
      <sheetName val="master"/>
      <sheetName val="All"/>
      <sheetName val="FS_1"/>
      <sheetName val="Appendix_11"/>
      <sheetName val="Office_Exp1"/>
      <sheetName val="Qtr_Audit_P&amp;L_AC1"/>
      <sheetName val="Audit_Chng_Equity1"/>
      <sheetName val="Other_Creditor1"/>
      <sheetName val="Other_Creditor_Sch1"/>
      <sheetName val="Other_creditor_(A)1"/>
      <sheetName val="_Old_Bonus1"/>
      <sheetName val="Other_Debtor1"/>
      <sheetName val="Other_Debtor_Sch1"/>
      <sheetName val="Breakeven_-Current1"/>
      <sheetName val="Breakeven-Last_Month1"/>
      <sheetName val="Breakeven-Last_FY1"/>
      <sheetName val="Breakeven-Last_FY_(Qtrly)1"/>
      <sheetName val="Breakeven-Last_FY_(Half_Yearly1"/>
      <sheetName val="R&amp;D_$1"/>
      <sheetName val="Hourly Rate"/>
    </sheetNames>
    <sheetDataSet>
      <sheetData sheetId="0"/>
      <sheetData sheetId="1"/>
      <sheetData sheetId="2" refreshError="1">
        <row r="65">
          <cell r="B65">
            <v>67488.34</v>
          </cell>
          <cell r="D65" t="str">
            <v>Cleaning expenses</v>
          </cell>
          <cell r="G65">
            <v>52298.93</v>
          </cell>
          <cell r="H65">
            <v>77994.539999999994</v>
          </cell>
          <cell r="I65">
            <v>25695.609999999993</v>
          </cell>
          <cell r="K65">
            <v>6404.69</v>
          </cell>
          <cell r="M65">
            <v>0</v>
          </cell>
          <cell r="N65">
            <v>10452.44</v>
          </cell>
          <cell r="O65">
            <v>10452.44</v>
          </cell>
        </row>
        <row r="66">
          <cell r="B66">
            <v>243081.10645014062</v>
          </cell>
          <cell r="D66" t="str">
            <v>Clean-room rental</v>
          </cell>
          <cell r="G66">
            <v>219482.23263482039</v>
          </cell>
          <cell r="H66">
            <v>257056.56</v>
          </cell>
          <cell r="I66">
            <v>37574.327365179604</v>
          </cell>
          <cell r="K66">
            <v>27383.63617726052</v>
          </cell>
          <cell r="M66">
            <v>1078.0379708929747</v>
          </cell>
          <cell r="N66">
            <v>28561.84</v>
          </cell>
          <cell r="O66">
            <v>27483.802029107024</v>
          </cell>
        </row>
        <row r="67">
          <cell r="B67">
            <v>0</v>
          </cell>
          <cell r="D67" t="str">
            <v>Clean-room Employee welfare</v>
          </cell>
          <cell r="G67">
            <v>0</v>
          </cell>
          <cell r="H67">
            <v>0</v>
          </cell>
          <cell r="I67">
            <v>0</v>
          </cell>
          <cell r="K67">
            <v>0</v>
          </cell>
          <cell r="M67">
            <v>0</v>
          </cell>
          <cell r="N67">
            <v>0</v>
          </cell>
          <cell r="O67">
            <v>0</v>
          </cell>
        </row>
        <row r="68">
          <cell r="B68">
            <v>1078053.1610000001</v>
          </cell>
          <cell r="D68" t="str">
            <v xml:space="preserve">Consumable tools </v>
          </cell>
          <cell r="G68">
            <v>583046.40000000002</v>
          </cell>
          <cell r="H68">
            <v>1414442.87</v>
          </cell>
          <cell r="I68">
            <v>831396.47000000009</v>
          </cell>
          <cell r="K68">
            <v>61093.24</v>
          </cell>
          <cell r="M68">
            <v>0</v>
          </cell>
          <cell r="N68">
            <v>166887.01</v>
          </cell>
          <cell r="O68">
            <v>166887.01</v>
          </cell>
        </row>
        <row r="69">
          <cell r="B69">
            <v>0</v>
          </cell>
          <cell r="D69" t="str">
            <v>Carriage outwards</v>
          </cell>
          <cell r="G69">
            <v>0</v>
          </cell>
          <cell r="H69">
            <v>0</v>
          </cell>
          <cell r="I69">
            <v>0</v>
          </cell>
          <cell r="K69">
            <v>0</v>
          </cell>
          <cell r="M69">
            <v>0</v>
          </cell>
          <cell r="N69">
            <v>0</v>
          </cell>
          <cell r="O69">
            <v>0</v>
          </cell>
        </row>
        <row r="70">
          <cell r="B70">
            <v>0</v>
          </cell>
          <cell r="D70" t="str">
            <v>Fixture &amp; Jig expenses ^</v>
          </cell>
          <cell r="G70">
            <v>11964.509999999995</v>
          </cell>
          <cell r="H70">
            <v>0</v>
          </cell>
          <cell r="I70">
            <v>-11964.509999999995</v>
          </cell>
          <cell r="K70">
            <v>8501.93</v>
          </cell>
          <cell r="M70">
            <v>0</v>
          </cell>
          <cell r="N70">
            <v>0</v>
          </cell>
          <cell r="O70">
            <v>0</v>
          </cell>
        </row>
        <row r="71">
          <cell r="B71">
            <v>0</v>
          </cell>
          <cell r="D71" t="str">
            <v>Factory Equipment Lease Rental</v>
          </cell>
          <cell r="G71">
            <v>632.76</v>
          </cell>
          <cell r="H71">
            <v>0</v>
          </cell>
          <cell r="I71">
            <v>-632.76</v>
          </cell>
          <cell r="K71">
            <v>144.33000000000001</v>
          </cell>
          <cell r="M71">
            <v>0</v>
          </cell>
          <cell r="N71">
            <v>0</v>
          </cell>
          <cell r="O71">
            <v>0</v>
          </cell>
        </row>
        <row r="72">
          <cell r="B72">
            <v>1889730.64</v>
          </cell>
          <cell r="D72" t="str">
            <v>Depreciation</v>
          </cell>
          <cell r="G72">
            <v>1885116.4500000002</v>
          </cell>
          <cell r="H72">
            <v>2104549.4</v>
          </cell>
          <cell r="I72">
            <v>219432.94999999972</v>
          </cell>
          <cell r="K72">
            <v>241968.13</v>
          </cell>
          <cell r="M72">
            <v>0</v>
          </cell>
          <cell r="N72">
            <v>243092.35</v>
          </cell>
          <cell r="O72">
            <v>243092.35</v>
          </cell>
        </row>
        <row r="73">
          <cell r="B73">
            <v>12726.6</v>
          </cell>
          <cell r="D73" t="str">
            <v xml:space="preserve">Employee welfare </v>
          </cell>
          <cell r="G73">
            <v>43756.42</v>
          </cell>
          <cell r="H73">
            <v>61013.67</v>
          </cell>
          <cell r="I73">
            <v>17257.25</v>
          </cell>
          <cell r="K73">
            <v>1507.93</v>
          </cell>
          <cell r="M73">
            <v>0</v>
          </cell>
          <cell r="N73">
            <v>2264.8000000000002</v>
          </cell>
          <cell r="O73">
            <v>2264.8000000000002</v>
          </cell>
        </row>
        <row r="74">
          <cell r="B74">
            <v>48316.63</v>
          </cell>
          <cell r="D74" t="str">
            <v xml:space="preserve">Hostel rental </v>
          </cell>
          <cell r="G74">
            <v>64434.2</v>
          </cell>
          <cell r="H74">
            <v>57143.07</v>
          </cell>
          <cell r="I74">
            <v>-7291.1299999999974</v>
          </cell>
          <cell r="K74">
            <v>7756.26</v>
          </cell>
          <cell r="M74">
            <v>0</v>
          </cell>
          <cell r="N74">
            <v>7658.03</v>
          </cell>
          <cell r="O74">
            <v>7658.03</v>
          </cell>
        </row>
        <row r="75">
          <cell r="B75">
            <v>6420.66</v>
          </cell>
          <cell r="D75" t="str">
            <v>Insurance -  Employee</v>
          </cell>
          <cell r="G75">
            <v>5892.05</v>
          </cell>
          <cell r="H75">
            <v>7860.7</v>
          </cell>
          <cell r="I75">
            <v>1968.6499999999996</v>
          </cell>
          <cell r="K75">
            <v>776.92</v>
          </cell>
          <cell r="M75">
            <v>0</v>
          </cell>
          <cell r="N75">
            <v>1053.45</v>
          </cell>
          <cell r="O75">
            <v>1053.45</v>
          </cell>
        </row>
        <row r="76">
          <cell r="B76">
            <v>9667.91</v>
          </cell>
          <cell r="D76" t="str">
            <v>Insurance - Industrial</v>
          </cell>
          <cell r="G76">
            <v>7958.78</v>
          </cell>
          <cell r="H76">
            <v>10919.3</v>
          </cell>
          <cell r="I76">
            <v>2960.5199999999995</v>
          </cell>
          <cell r="K76">
            <v>944.97</v>
          </cell>
          <cell r="M76">
            <v>0</v>
          </cell>
          <cell r="N76">
            <v>1463.35</v>
          </cell>
          <cell r="O76">
            <v>1463.35</v>
          </cell>
        </row>
        <row r="77">
          <cell r="B77">
            <v>45626.77</v>
          </cell>
          <cell r="D77" t="str">
            <v>Land rental</v>
          </cell>
          <cell r="G77">
            <v>40995.410000000003</v>
          </cell>
          <cell r="H77">
            <v>46428.66</v>
          </cell>
          <cell r="I77">
            <v>5433.25</v>
          </cell>
          <cell r="K77">
            <v>5140.26</v>
          </cell>
          <cell r="M77">
            <v>0</v>
          </cell>
          <cell r="N77">
            <v>5158.74</v>
          </cell>
          <cell r="O77">
            <v>5158.74</v>
          </cell>
        </row>
        <row r="78">
          <cell r="B78">
            <v>0</v>
          </cell>
          <cell r="D78" t="str">
            <v>Leasing rental</v>
          </cell>
          <cell r="G78">
            <v>0</v>
          </cell>
          <cell r="H78">
            <v>0</v>
          </cell>
          <cell r="I78">
            <v>0</v>
          </cell>
          <cell r="K78">
            <v>0</v>
          </cell>
          <cell r="M78">
            <v>0</v>
          </cell>
          <cell r="N78">
            <v>0</v>
          </cell>
          <cell r="O78">
            <v>0</v>
          </cell>
        </row>
        <row r="79">
          <cell r="B79">
            <v>441631.41</v>
          </cell>
          <cell r="D79" t="str">
            <v xml:space="preserve">Electricity &amp; water </v>
          </cell>
          <cell r="G79">
            <v>441839.87999999995</v>
          </cell>
          <cell r="H79">
            <v>538580.21</v>
          </cell>
          <cell r="I79">
            <v>96740.330000000016</v>
          </cell>
          <cell r="K79">
            <v>63217.98</v>
          </cell>
          <cell r="M79">
            <v>0</v>
          </cell>
          <cell r="N79">
            <v>68961.460000000006</v>
          </cell>
          <cell r="O79">
            <v>68961.460000000006</v>
          </cell>
          <cell r="P79" t="str">
            <v>reversal of overaccrual US$12k</v>
          </cell>
        </row>
        <row r="80">
          <cell r="B80">
            <v>24758.81</v>
          </cell>
          <cell r="D80" t="str">
            <v>Medical expenses</v>
          </cell>
          <cell r="G80">
            <v>26208.879999999997</v>
          </cell>
          <cell r="H80">
            <v>31367.82</v>
          </cell>
          <cell r="I80">
            <v>5158.9400000000023</v>
          </cell>
          <cell r="K80">
            <v>3262.7</v>
          </cell>
          <cell r="M80">
            <v>0</v>
          </cell>
          <cell r="N80">
            <v>4203.76</v>
          </cell>
          <cell r="O80">
            <v>4203.76</v>
          </cell>
        </row>
        <row r="81">
          <cell r="B81">
            <v>11958.61</v>
          </cell>
          <cell r="D81" t="str">
            <v>Motor Vehicle expenses</v>
          </cell>
          <cell r="G81">
            <v>8687.4500000000007</v>
          </cell>
          <cell r="H81">
            <v>14223.41</v>
          </cell>
          <cell r="I81">
            <v>5535.9599999999991</v>
          </cell>
          <cell r="K81">
            <v>1423.6</v>
          </cell>
          <cell r="M81">
            <v>0</v>
          </cell>
          <cell r="N81">
            <v>1906.15</v>
          </cell>
          <cell r="O81">
            <v>1906.15</v>
          </cell>
        </row>
        <row r="82">
          <cell r="B82">
            <v>290.14999999999998</v>
          </cell>
          <cell r="D82" t="str">
            <v>Printing &amp; stationery</v>
          </cell>
          <cell r="G82">
            <v>0</v>
          </cell>
          <cell r="H82">
            <v>385.62</v>
          </cell>
          <cell r="I82">
            <v>385.62</v>
          </cell>
          <cell r="K82">
            <v>0</v>
          </cell>
          <cell r="M82">
            <v>0</v>
          </cell>
          <cell r="N82">
            <v>51.68</v>
          </cell>
          <cell r="O82">
            <v>51.68</v>
          </cell>
        </row>
        <row r="83">
          <cell r="B83">
            <v>12670.4</v>
          </cell>
          <cell r="D83" t="str">
            <v>Property tax</v>
          </cell>
          <cell r="G83">
            <v>11384.36</v>
          </cell>
          <cell r="H83">
            <v>12893.04</v>
          </cell>
          <cell r="I83">
            <v>1508.6800000000003</v>
          </cell>
          <cell r="K83">
            <v>1427.43</v>
          </cell>
          <cell r="M83">
            <v>0</v>
          </cell>
          <cell r="N83">
            <v>1432.56</v>
          </cell>
          <cell r="O83">
            <v>1432.56</v>
          </cell>
        </row>
        <row r="84">
          <cell r="B84">
            <v>306224.34000000003</v>
          </cell>
          <cell r="D84" t="str">
            <v xml:space="preserve">Repairs &amp; maintenance </v>
          </cell>
          <cell r="G84">
            <v>266040.51999999996</v>
          </cell>
          <cell r="H84">
            <v>408984.25</v>
          </cell>
          <cell r="I84">
            <v>142943.73000000004</v>
          </cell>
          <cell r="K84">
            <v>10571.69</v>
          </cell>
          <cell r="M84">
            <v>0</v>
          </cell>
          <cell r="N84">
            <v>48191.61</v>
          </cell>
          <cell r="O84">
            <v>48191.61</v>
          </cell>
        </row>
        <row r="85">
          <cell r="B85">
            <v>19071.84</v>
          </cell>
          <cell r="D85" t="str">
            <v>Security services</v>
          </cell>
          <cell r="G85">
            <v>16956.91</v>
          </cell>
          <cell r="H85">
            <v>19406.97</v>
          </cell>
          <cell r="I85">
            <v>2450.0600000000013</v>
          </cell>
          <cell r="K85">
            <v>1969.56</v>
          </cell>
          <cell r="M85">
            <v>0</v>
          </cell>
          <cell r="N85">
            <v>2156.33</v>
          </cell>
          <cell r="O85">
            <v>2156.33</v>
          </cell>
        </row>
        <row r="86">
          <cell r="B86">
            <v>11887.01</v>
          </cell>
          <cell r="D86" t="str">
            <v>Sundry expenses</v>
          </cell>
          <cell r="G86">
            <v>10066.969999999999</v>
          </cell>
          <cell r="H86">
            <v>13691.85</v>
          </cell>
          <cell r="I86">
            <v>3624.880000000001</v>
          </cell>
          <cell r="K86">
            <v>1240.17</v>
          </cell>
          <cell r="M86">
            <v>0</v>
          </cell>
          <cell r="N86">
            <v>1834.91</v>
          </cell>
          <cell r="O86">
            <v>1834.91</v>
          </cell>
        </row>
        <row r="87">
          <cell r="B87">
            <v>19416.543549859358</v>
          </cell>
          <cell r="D87" t="str">
            <v>Store rental - External</v>
          </cell>
          <cell r="G87">
            <v>12520.377365179633</v>
          </cell>
          <cell r="H87">
            <v>22186.13</v>
          </cell>
          <cell r="I87">
            <v>9665.7526348203683</v>
          </cell>
          <cell r="K87">
            <v>1671.3038227394809</v>
          </cell>
          <cell r="M87">
            <v>-1078.0379708929747</v>
          </cell>
          <cell r="N87">
            <v>2973.27</v>
          </cell>
          <cell r="O87">
            <v>4051.3079708929745</v>
          </cell>
        </row>
        <row r="88">
          <cell r="B88">
            <v>34575.339999999997</v>
          </cell>
          <cell r="D88" t="str">
            <v>Training expenses - Local</v>
          </cell>
          <cell r="G88">
            <v>8131.76</v>
          </cell>
          <cell r="H88">
            <v>28969.67</v>
          </cell>
          <cell r="I88">
            <v>20837.909999999996</v>
          </cell>
          <cell r="K88">
            <v>173.08</v>
          </cell>
          <cell r="M88">
            <v>0</v>
          </cell>
          <cell r="N88">
            <v>3882.37</v>
          </cell>
          <cell r="O88">
            <v>3882.37</v>
          </cell>
        </row>
        <row r="89">
          <cell r="B89">
            <v>0</v>
          </cell>
          <cell r="D89" t="str">
            <v>Telecommunication</v>
          </cell>
          <cell r="G89">
            <v>0</v>
          </cell>
          <cell r="H89">
            <v>0</v>
          </cell>
          <cell r="I89">
            <v>0</v>
          </cell>
          <cell r="K89">
            <v>0</v>
          </cell>
          <cell r="M89">
            <v>0</v>
          </cell>
          <cell r="N89">
            <v>0</v>
          </cell>
          <cell r="O89">
            <v>0</v>
          </cell>
        </row>
        <row r="90">
          <cell r="B90">
            <v>32935.769999999997</v>
          </cell>
          <cell r="D90" t="str">
            <v>Transport - Local Cleanroom</v>
          </cell>
          <cell r="G90">
            <v>29538.9</v>
          </cell>
          <cell r="H90">
            <v>33032.589999999997</v>
          </cell>
          <cell r="I90">
            <v>3493.6899999999951</v>
          </cell>
          <cell r="K90">
            <v>3014.03</v>
          </cell>
          <cell r="M90">
            <v>0</v>
          </cell>
          <cell r="N90">
            <v>4426.8599999999997</v>
          </cell>
          <cell r="O90">
            <v>4426.8599999999997</v>
          </cell>
        </row>
        <row r="91">
          <cell r="B91">
            <v>16378.63</v>
          </cell>
          <cell r="D91" t="str">
            <v>Transport - Local</v>
          </cell>
          <cell r="G91">
            <v>6319.1399999999994</v>
          </cell>
          <cell r="H91">
            <v>19352</v>
          </cell>
          <cell r="I91">
            <v>13032.86</v>
          </cell>
          <cell r="K91">
            <v>467.86</v>
          </cell>
          <cell r="M91">
            <v>0</v>
          </cell>
          <cell r="N91">
            <v>2593.46</v>
          </cell>
          <cell r="O91">
            <v>2593.46</v>
          </cell>
        </row>
        <row r="92">
          <cell r="B92">
            <v>0</v>
          </cell>
          <cell r="D92" t="str">
            <v>Travelling - Oversea</v>
          </cell>
          <cell r="G92">
            <v>0</v>
          </cell>
          <cell r="H92">
            <v>0</v>
          </cell>
          <cell r="I92">
            <v>0</v>
          </cell>
          <cell r="K92">
            <v>0</v>
          </cell>
          <cell r="M92">
            <v>0</v>
          </cell>
          <cell r="N92">
            <v>0</v>
          </cell>
          <cell r="O92">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rrant"/>
      <sheetName val="RSV"/>
      <sheetName val="ISRDATA"/>
      <sheetName val="Dell FAI"/>
      <sheetName val="CpK "/>
      <sheetName val="Dell-Cpk"/>
      <sheetName val="Dell-Cpk (2)"/>
      <sheetName val="Dell-Cpk (3)"/>
      <sheetName val="Dell-Cpk (4)"/>
      <sheetName val="Gage R&amp;R"/>
      <sheetName val="Drawing"/>
      <sheetName val="Matl Cert"/>
      <sheetName val="Issues List"/>
      <sheetName val="SPM Units"/>
      <sheetName val="All"/>
      <sheetName val="Subs"/>
      <sheetName val="Sign Off"/>
      <sheetName val="Hous Rates"/>
      <sheetName val="Anah Rates"/>
      <sheetName val="Minn Rates"/>
      <sheetName val="Mont Rates"/>
      <sheetName val="An pack"/>
      <sheetName val="Paso Rates"/>
      <sheetName val="Engers"/>
      <sheetName val="Lud Rates"/>
      <sheetName val="Data lists"/>
      <sheetName val="Receiving Inspection"/>
      <sheetName val="Price Summary"/>
      <sheetName val="Lookup Tables"/>
      <sheetName val="0414data"/>
      <sheetName val="Dell_FAI"/>
      <sheetName val="CpK_"/>
      <sheetName val="Dell-Cpk_(2)"/>
      <sheetName val="Dell-Cpk_(3)"/>
      <sheetName val="Dell-Cpk_(4)"/>
      <sheetName val="Gage_R&amp;R"/>
      <sheetName val="Matl_Cert"/>
      <sheetName val="Issues_List"/>
      <sheetName val="SPM_Units"/>
      <sheetName val="Receiving_Inspection"/>
      <sheetName val="Sign_Off"/>
      <sheetName val="Hous_Rates"/>
      <sheetName val="Anah_Rates"/>
      <sheetName val="Minn_Rates"/>
      <sheetName val="Mont_Rates"/>
      <sheetName val="An_pack"/>
      <sheetName val="Paso_Rates"/>
      <sheetName val="Lud_Rates"/>
      <sheetName val="Price_Summary"/>
      <sheetName val="Lookup_Tables"/>
      <sheetName val="P&amp;L wCorpAlloc"/>
      <sheetName val="投单明细"/>
      <sheetName val="part_costs"/>
      <sheetName val="0F564 REV X06-00 T2"/>
      <sheetName val="IDX"/>
      <sheetName val="FA_LISTING"/>
      <sheetName val="2E998"/>
      <sheetName val="DELL_Schedule"/>
      <sheetName val="FAI-1-Page1"/>
      <sheetName val="FAI-2-Page1"/>
      <sheetName val="FAI-3-Page1"/>
      <sheetName val="FAI-4-Page1"/>
      <sheetName val="CPK-1"/>
      <sheetName val="CPK-2"/>
      <sheetName val="CPK-3"/>
      <sheetName val="CPK-4"/>
      <sheetName val="GR&amp;R for CTF-# "/>
      <sheetName val="Material Certification"/>
      <sheetName val="Additional Documentation"/>
      <sheetName val="List"/>
      <sheetName val="Material List"/>
      <sheetName val="TORNADO_RANGE"/>
      <sheetName val="非機種"/>
      <sheetName val="A  產業車輛故障項目核對結果"/>
      <sheetName val="L2-車輛詳細資料 "/>
      <sheetName val="0518"/>
      <sheetName val="TITAL2007"/>
      <sheetName val="總表"/>
      <sheetName val="3"/>
      <sheetName val="一厂"/>
      <sheetName val="6"/>
      <sheetName val="Part List"/>
      <sheetName val="Sheet2"/>
      <sheetName val="top# issues"/>
      <sheetName val="Tables"/>
      <sheetName val="FA-LISTING"/>
      <sheetName val="Debug check list"/>
      <sheetName val="Cover"/>
      <sheetName val="Workings"/>
      <sheetName val="Kod3 Table"/>
      <sheetName val="Definition"/>
      <sheetName val="Data"/>
      <sheetName val="C-4"/>
      <sheetName val="A-Note Bug list"/>
      <sheetName val="Revision History"/>
      <sheetName val="Mat Summary"/>
      <sheetName val="Team List"/>
      <sheetName val="Part Data"/>
      <sheetName val="zsdr82 Tab."/>
      <sheetName val="Assumptions"/>
      <sheetName val="期初B"/>
      <sheetName val="ID2"/>
      <sheetName val="Sheet1 (2)"/>
      <sheetName val="Sheet1"/>
      <sheetName val="BLUFORD3 FBOM-update081303"/>
      <sheetName val="costedBOM"/>
      <sheetName val="D45D46"/>
      <sheetName val="Proto 1"/>
      <sheetName val="WI MODEM及SCAN"/>
      <sheetName val="CC507-4x3.5"/>
      <sheetName val="BOM"/>
      <sheetName val="#REF"/>
      <sheetName val="Config"/>
      <sheetName val="xbar-R chart"/>
      <sheetName val="xbar-S chart"/>
      <sheetName val="#REF!"/>
      <sheetName val="Gage R&amp;R -5#"/>
      <sheetName val="Defect Summary"/>
      <sheetName val="99.10.12"/>
      <sheetName val="IP-1 INSP-CAV #2"/>
      <sheetName val="AutoOpen Stub Data"/>
      <sheetName val="Lists"/>
      <sheetName val="Administration"/>
      <sheetName val="StandardMaterialsList"/>
      <sheetName val="Information"/>
      <sheetName val="Metal_list"/>
      <sheetName val="5C Sum"/>
      <sheetName val="Master Lists"/>
      <sheetName val="summary, MTH"/>
      <sheetName val="MetricsData"/>
      <sheetName val="PartsList"/>
      <sheetName val="SupplierBaseInput"/>
      <sheetName val="Demand&amp;Supply"/>
      <sheetName val="Master List"/>
      <sheetName val="Cable"/>
      <sheetName val="BOM簡化"/>
      <sheetName val="Dell_FAI1"/>
      <sheetName val="CpK_1"/>
      <sheetName val="Dell-Cpk_(2)1"/>
      <sheetName val="Dell-Cpk_(3)1"/>
      <sheetName val="Dell-Cpk_(4)1"/>
      <sheetName val="Gage_R&amp;R1"/>
      <sheetName val="Matl_Cert1"/>
      <sheetName val="Issues_List1"/>
      <sheetName val="Receiving_Inspection1"/>
      <sheetName val="SPM_Units1"/>
      <sheetName val="A__產業車輛故障項目核對結果"/>
      <sheetName val="L2-車輛詳細資料_"/>
      <sheetName val="Sign_Off1"/>
      <sheetName val="Hous_Rates1"/>
      <sheetName val="Anah_Rates1"/>
      <sheetName val="Minn_Rates1"/>
      <sheetName val="Mont_Rates1"/>
      <sheetName val="An_pack1"/>
      <sheetName val="Paso_Rates1"/>
      <sheetName val="Lud_Rates1"/>
      <sheetName val="Price_Summary1"/>
      <sheetName val="Lookup_Tables1"/>
      <sheetName val="P&amp;L_wCorpAlloc"/>
      <sheetName val="Data_lists"/>
      <sheetName val="0F564_REV_X06-00_T2"/>
      <sheetName val="GR&amp;R_for_CTF-#_"/>
      <sheetName val="Material_Certification"/>
      <sheetName val="Additional_Documentation"/>
      <sheetName val="Part_List"/>
      <sheetName val="top#_issues"/>
      <sheetName val="Debug_check_list"/>
      <sheetName val="Kod3_Table"/>
      <sheetName val="A-Note_Bug_list"/>
      <sheetName val="Part_Data"/>
      <sheetName val="Mat_Summary"/>
      <sheetName val="Team_List"/>
      <sheetName val="zsdr82_Tab_"/>
      <sheetName val="Material_List"/>
      <sheetName val="Revision_History"/>
      <sheetName val="Master_Lists"/>
      <sheetName val="summary,_MTH"/>
      <sheetName val="Master_List"/>
      <sheetName val="Slim Merlot Block Diagram"/>
      <sheetName val="NetBench_dm"/>
      <sheetName val="IA1"/>
      <sheetName val="Call Down Data OLD"/>
      <sheetName val="Pallet"/>
      <sheetName val="Cyce 3 Descriptions"/>
      <sheetName val="Cost Breakdown"/>
      <sheetName val="WIP_STATION_REPAIR_Q"/>
      <sheetName val="FRU demand"/>
      <sheetName val="Compal open order "/>
      <sheetName val="R CTO demand"/>
      <sheetName val="Compal stock 4.6"/>
      <sheetName val="MonthMapping"/>
      <sheetName val="Forecast"/>
      <sheetName val="MOD"/>
      <sheetName val="ﾀｰｹﾞｯﾄコスト"/>
      <sheetName val="Sheet3"/>
      <sheetName val="Q#3839 Indented Bom d"/>
      <sheetName val="Antenna Window"/>
      <sheetName val="周生產"/>
      <sheetName val="Dbase"/>
      <sheetName val="SCM AV data"/>
      <sheetName val="1"/>
      <sheetName val="Dell_FAI3"/>
      <sheetName val="CpK_3"/>
      <sheetName val="Dell-Cpk_(2)3"/>
      <sheetName val="Dell-Cpk_(3)3"/>
      <sheetName val="Dell-Cpk_(4)3"/>
      <sheetName val="Gage_R&amp;R3"/>
      <sheetName val="Matl_Cert3"/>
      <sheetName val="Proto_13"/>
      <sheetName val="Issues_List3"/>
      <sheetName val="GR&amp;R_for_CTF-#_3"/>
      <sheetName val="Material_Certification3"/>
      <sheetName val="Additional_Documentation3"/>
      <sheetName val="Part_List3"/>
      <sheetName val="top#_issues3"/>
      <sheetName val="Proto_1"/>
      <sheetName val="Proto_11"/>
      <sheetName val="GR&amp;R_for_CTF-#_1"/>
      <sheetName val="Material_Certification1"/>
      <sheetName val="Additional_Documentation1"/>
      <sheetName val="Part_List1"/>
      <sheetName val="top#_issues1"/>
      <sheetName val="Dell_FAI2"/>
      <sheetName val="CpK_2"/>
      <sheetName val="Dell-Cpk_(2)2"/>
      <sheetName val="Dell-Cpk_(3)2"/>
      <sheetName val="Dell-Cpk_(4)2"/>
      <sheetName val="Gage_R&amp;R2"/>
      <sheetName val="Matl_Cert2"/>
      <sheetName val="Proto_12"/>
      <sheetName val="Issues_List2"/>
      <sheetName val="GR&amp;R_for_CTF-#_2"/>
      <sheetName val="Material_Certification2"/>
      <sheetName val="Additional_Documentation2"/>
      <sheetName val="Part_List2"/>
      <sheetName val="top#_issues2"/>
      <sheetName val=""/>
      <sheetName val="Setup"/>
      <sheetName val="OBU"/>
      <sheetName val="Baseline &amp; Summary"/>
      <sheetName val="ArchII"/>
      <sheetName val="Detail"/>
      <sheetName val="Vise"/>
      <sheetName val="Xbox"/>
      <sheetName val="All-In-One"/>
      <sheetName val="Receiving_Inspection2"/>
      <sheetName val="Debug_check_list1"/>
      <sheetName val="Reference"/>
      <sheetName val="Macros"/>
      <sheetName val="FCT August"/>
      <sheetName val="All Parts"/>
      <sheetName val="Classify list"/>
      <sheetName val="詳細資料"/>
      <sheetName val="QuoteFormat"/>
      <sheetName val="Variables1"/>
      <sheetName val="910Nassau"/>
      <sheetName val="IA"/>
      <sheetName val="產能分析"/>
      <sheetName val="data_for_search"/>
      <sheetName val="Summary"/>
      <sheetName val="0F564 REV X06-00 T2.xls"/>
      <sheetName val="전수항목"/>
      <sheetName val="\Users\sanjaysheth\Library\Cont"/>
      <sheetName val="\C\Users\sanjaysheth\Library\Co"/>
      <sheetName val="0F564%20REV%20X06-00%20T2.xls"/>
      <sheetName val="\C\C\Users\sanjaysheth\Library\"/>
      <sheetName val="自动线良率统计图11.1"/>
      <sheetName val="125PIECE"/>
      <sheetName val="TMK280-02"/>
      <sheetName val="SDL"/>
      <sheetName val="KT1 Qual"/>
      <sheetName val="Carlin-G costbom"/>
      <sheetName val="2003 prod2"/>
      <sheetName val="2003 Target"/>
      <sheetName val="SBB Table"/>
      <sheetName val="L1 SP"/>
      <sheetName val="L1 CA"/>
      <sheetName val="L1 CD"/>
      <sheetName val="L1 HD"/>
      <sheetName val="MACRO1.XLM"/>
      <sheetName val="Country List"/>
      <sheetName val="Do not delete"/>
      <sheetName val="截止單據"/>
      <sheetName val="清單"/>
      <sheetName val="MPM"/>
      <sheetName val="Revision"/>
      <sheetName val="XXX Tracking list"/>
      <sheetName val="title page"/>
      <sheetName val="GROSBEAK_0302"/>
      <sheetName val="Dell_FAI4"/>
      <sheetName val="CpK_4"/>
      <sheetName val="Dell-Cpk_(2)4"/>
      <sheetName val="Dell-Cpk_(3)4"/>
      <sheetName val="Dell-Cpk_(4)4"/>
      <sheetName val="Gage_R&amp;R4"/>
      <sheetName val="Matl_Cert4"/>
      <sheetName val="Issues_List4"/>
      <sheetName val="Receiving_Inspection3"/>
      <sheetName val="SPM_Units2"/>
      <sheetName val="Sign_Off2"/>
      <sheetName val="Hous_Rates2"/>
      <sheetName val="Anah_Rates2"/>
      <sheetName val="Minn_Rates2"/>
      <sheetName val="Mont_Rates2"/>
      <sheetName val="An_pack2"/>
      <sheetName val="Paso_Rates2"/>
      <sheetName val="Lud_Rates2"/>
      <sheetName val="A__產業車輛故障項目核對結果1"/>
      <sheetName val="L2-車輛詳細資料_1"/>
      <sheetName val="Price_Summary2"/>
      <sheetName val="Lookup_Tables2"/>
      <sheetName val="P&amp;L_wCorpAlloc1"/>
      <sheetName val="Data_lists1"/>
      <sheetName val="0F564_REV_X06-00_T21"/>
      <sheetName val="GR&amp;R_for_CTF-#_4"/>
      <sheetName val="Material_Certification4"/>
      <sheetName val="Additional_Documentation4"/>
      <sheetName val="Part_List4"/>
      <sheetName val="top#_issues4"/>
      <sheetName val="Debug_check_list2"/>
      <sheetName val="Kod3_Table1"/>
      <sheetName val="A-Note_Bug_list1"/>
      <sheetName val="Material_List1"/>
      <sheetName val="Revision_History1"/>
      <sheetName val="Mat_Summary1"/>
      <sheetName val="Team_List1"/>
      <sheetName val="Part_Data1"/>
      <sheetName val="zsdr82_Tab_1"/>
      <sheetName val="Sheet1_(2)"/>
      <sheetName val="BLUFORD3_FBOM-update081303"/>
      <sheetName val="Proto_14"/>
      <sheetName val="WI_MODEM及SCAN"/>
      <sheetName val="CC507-4x3_5"/>
      <sheetName val="xbar-R_chart"/>
      <sheetName val="xbar-S_chart"/>
      <sheetName val="Gage_R&amp;R_-5#"/>
      <sheetName val="Defect_Summary"/>
      <sheetName val="99_10_12"/>
      <sheetName val="IP-1_INSP-CAV_#2"/>
      <sheetName val="AutoOpen_Stub_Data"/>
      <sheetName val="5C_Sum"/>
      <sheetName val="Master_Lists1"/>
      <sheetName val="summary,_MTH1"/>
      <sheetName val="Master_List1"/>
      <sheetName val="Slim_Merlot_Block_Diagram"/>
      <sheetName val="Call_Down_Data_OLD"/>
      <sheetName val="Cyce_3_Descriptions"/>
      <sheetName val="Cost_Breakdown"/>
      <sheetName val="FRU_demand"/>
      <sheetName val="Compal_open_order_"/>
      <sheetName val="R_CTO_demand"/>
      <sheetName val="Compal_stock_4_6"/>
      <sheetName val="Q#3839_Indented_Bom_d"/>
      <sheetName val="Antenna_Window"/>
      <sheetName val="SCM_AV_data"/>
      <sheetName val="Baseline_&amp;_Summary"/>
      <sheetName val="FCT_August"/>
      <sheetName val="All_Parts"/>
      <sheetName val="Classify_list"/>
      <sheetName val="planning assessment"/>
      <sheetName val="GPU"/>
      <sheetName val="FO"/>
      <sheetName val="QuoteSummary"/>
      <sheetName val="ManualAssyandWaveSolder"/>
      <sheetName val="Pilot Run"/>
      <sheetName val="Total Report Summary"/>
      <sheetName val="Test Summary"/>
      <sheetName val="FAE reports"/>
      <sheetName val="Multibay Optical"/>
      <sheetName val="upload"/>
      <sheetName val="Q#3839"/>
      <sheetName val="재무기준"/>
      <sheetName val="DG"/>
      <sheetName val="Sheet371"/>
      <sheetName val="S1"/>
      <sheetName val="2FDAY"/>
      <sheetName val="追加預算2"/>
      <sheetName val="Data_Selections_(Hide_&amp;_Lock)_1"/>
      <sheetName val="Demand"/>
      <sheetName val="Weekly"/>
      <sheetName val="QC日報表"/>
      <sheetName val="清冊"/>
      <sheetName val="外製先"/>
      <sheetName val="標準類"/>
      <sheetName val="Formulas"/>
      <sheetName val="費用預算表"/>
      <sheetName val="WipRaw"/>
      <sheetName val="資本支出預算"/>
      <sheetName val="8712"/>
      <sheetName val="XL4Test5"/>
      <sheetName val="____"/>
      <sheetName val="2004"/>
      <sheetName val="Input commodity fallout"/>
      <sheetName val="Reporting"/>
      <sheetName val="Cp Cpk 15"/>
      <sheetName val="Ramp-up Prod KLf pro Woche "/>
      <sheetName val="Gage R&amp;R - ANOVA Method"/>
      <sheetName val="Mara Qual Stat"/>
      <sheetName val="MT"/>
      <sheetName val="附圖"/>
      <sheetName val="SheetMetal"/>
      <sheetName val="Report"/>
      <sheetName val="Build Name(MR)"/>
      <sheetName val="Cork"/>
      <sheetName val="model"/>
      <sheetName val="GeneralSummary"/>
      <sheetName val="&amp;MPS#Q1#FY08"/>
      <sheetName val="生产达成"/>
      <sheetName val="稼动率 "/>
      <sheetName val="耗材"/>
      <sheetName val="0"/>
      <sheetName val="劳保用品类"/>
      <sheetName val="daily report"/>
      <sheetName val="OK2x"/>
      <sheetName val="Roll"/>
      <sheetName val="CPK"/>
      <sheetName val="eBOM"/>
      <sheetName val="[0F564 REV X06-00 T2.xls]_Use_2"/>
      <sheetName val="[0F564 REV X06-00 T2.xls]_C_U_2"/>
      <sheetName val="[0F564 REV X06-00 T2.xls]_C_C_2"/>
      <sheetName val="Matl1"/>
      <sheetName val="wksWebqry"/>
      <sheetName val="_Users_sanjaysheth_Library_Cont"/>
      <sheetName val="_C_Users_sanjaysheth_Library_Co"/>
      <sheetName val="_C_C_Users_sanjaysheth_Library_"/>
      <sheetName val="工單差异分攤"/>
      <sheetName val="C_BF3 MSL _March"/>
      <sheetName val="E-DPPM"/>
      <sheetName val="NRE"/>
      <sheetName val="Detailed Quote"/>
      <sheetName val="RDTX"/>
      <sheetName val="Page3"/>
      <sheetName val="SOC"/>
      <sheetName val="ChartData"/>
      <sheetName val="CIOPage1"/>
      <sheetName val="template"/>
      <sheetName val="Valuation"/>
      <sheetName val="Comparison"/>
      <sheetName val="TCC inputs"/>
      <sheetName val="wsts1292"/>
      <sheetName val="FET inputs"/>
      <sheetName val="CONN LIST"/>
      <sheetName val="CONN LIST_範例"/>
      <sheetName val="8  Mic Path Loss"/>
      <sheetName val="Work"/>
      <sheetName val="Q7XA FM data"/>
      <sheetName val="Q72A Channel Analysis Q1"/>
      <sheetName val="Q73A Best Channel Analysis Q1"/>
      <sheetName val="Q73A Better Channel Analysis Q1"/>
      <sheetName val="ODD"/>
      <sheetName val="10x3x3 example"/>
      <sheetName val="MOH-April"/>
      <sheetName val="PktPrice"/>
      <sheetName val="R&amp;R20"/>
      <sheetName val="o2966569"/>
      <sheetName val="BF3_FBOM"/>
      <sheetName val="線割費"/>
      <sheetName val="Electronics"/>
      <sheetName val="Mechanical"/>
      <sheetName val="Keyboard &amp; Accessories"/>
      <sheetName val="Packaging"/>
      <sheetName val="Final Prep"/>
      <sheetName val="Neo"/>
      <sheetName val="wsp 01-07"/>
      <sheetName val="small card 基本資料0216_04"/>
      <sheetName val="AIR (Inbound material)"/>
      <sheetName val="Bluford3 MB BOM-Intel LAN"/>
      <sheetName val="Ref Data"/>
      <sheetName val="TOOL"/>
      <sheetName val="Valores"/>
      <sheetName val="EC Charge"/>
      <sheetName val="Others"/>
      <sheetName val="Rework"/>
      <sheetName val="Display Back"/>
      <sheetName val="BaseData"/>
      <sheetName val="Forwarder_Plan"/>
      <sheetName val="Askey MB44(MOW)"/>
      <sheetName val="所有辅料"/>
      <sheetName val="請勿動"/>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MPU Other"/>
      <sheetName val="Tool_Status1"/>
      <sheetName val="加工材料單價 (2)"/>
      <sheetName val="[0F564 REV X06-00 T2.xls]\Users"/>
      <sheetName val="[0F564 REV X06-00 T2.xls]\C\Use"/>
      <sheetName val="[0F564 REV X06-00 T2.xls]\C\C\U"/>
      <sheetName val="[0F564 REV X06-00 T2.xls][0F564"/>
      <sheetName val="01. air flow_3.5x12 "/>
      <sheetName val="Labour"/>
      <sheetName val="Test Result"/>
      <sheetName val="Test Schedule"/>
      <sheetName val="Hｼｮｯｸ　YMT"/>
      <sheetName val="第二事業"/>
      <sheetName val="Kijyun"/>
      <sheetName val="OPT担当者入力"/>
      <sheetName val="Control Limits(32x)"/>
      <sheetName val="※21改善損益"/>
      <sheetName val="Ｐ６"/>
      <sheetName val="Ｐ７"/>
      <sheetName val="Ｐ８"/>
      <sheetName val="Data_lists2"/>
      <sheetName val="Customer"/>
      <sheetName val="COG"/>
      <sheetName val="94登録"/>
      <sheetName val="_0F564 REV X06-00 T2.xls__0F564"/>
      <sheetName val="_0F564 REV X06-00 T2.xls__Users"/>
      <sheetName val="_0F564 REV X06-00 T2.xls__C_Use"/>
      <sheetName val="_0F564 REV X06-00 T2.xls__C_C_U"/>
      <sheetName val="Do_not_delete"/>
      <sheetName val="MACRO1_XLM"/>
      <sheetName val="0F564_REV_X06-00_T2_xls"/>
      <sheetName val="0F564%20REV%20X06-00%20T2_xls"/>
      <sheetName val="自动线良率统计图11_1"/>
      <sheetName val="20090219Function"/>
      <sheetName val="SpecEntry"/>
      <sheetName val="Spec Entry"/>
      <sheetName val="Defaults"/>
      <sheetName val="Palm"/>
      <sheetName val="superbom 2"/>
      <sheetName val="Transformation Wrksht-Mech"/>
      <sheetName val="HyperionSite"/>
      <sheetName val="AMD MB FBOM_010303"/>
      <sheetName val="Commodity"/>
      <sheetName val="1492分攤"/>
      <sheetName val="Hourly Rate"/>
      <sheetName val="Burnin"/>
      <sheetName val="汇总"/>
      <sheetName val="Scenario1-Fixture"/>
      <sheetName val="Value"/>
      <sheetName val="Fixture Kickoff"/>
      <sheetName val="QoQ Forecast"/>
      <sheetName val="Toolplan"/>
      <sheetName val="PCBA"/>
      <sheetName val="机械产能"/>
      <sheetName val="Calimero BOM"/>
      <sheetName val="P.Consumable"/>
      <sheetName val="P.CUTTERS"/>
      <sheetName val="Broadway"/>
      <sheetName val="Yield Summary"/>
      <sheetName val="EXSEL線性回歸實例"/>
      <sheetName val="Bom(P1)"/>
      <sheetName val="95実績"/>
      <sheetName val="InvoiceList"/>
      <sheetName val="0F564%20REV%20X06-00%20T2"/>
      <sheetName val="SDE NUD &amp; High-Risk Tracker"/>
      <sheetName val="\\17.91.41.171\server\My Docume"/>
      <sheetName val="Yield breakdown"/>
      <sheetName val="Sheet4"/>
      <sheetName val="combine"/>
      <sheetName val="O1OB"/>
      <sheetName val="8605ML91"/>
      <sheetName val="REPAIR DATA - CONTAINER #5"/>
      <sheetName val="02"/>
      <sheetName val="09"/>
      <sheetName val="03"/>
      <sheetName val="04"/>
      <sheetName val="10"/>
      <sheetName val="11"/>
      <sheetName val="12"/>
      <sheetName val="13"/>
      <sheetName val="19"/>
      <sheetName val="21"/>
      <sheetName val="22"/>
      <sheetName val="25"/>
      <sheetName val="Sheet 2"/>
      <sheetName val="新川"/>
      <sheetName val="DATA（客戶設變）"/>
      <sheetName val="設定值"/>
      <sheetName val="OS_Country_Kit"/>
      <sheetName val="SOU03 UPDATE용"/>
      <sheetName val="A-A"/>
      <sheetName val="基本資料"/>
      <sheetName val="QUALITY - DPPM (OBA)"/>
      <sheetName val="配置"/>
      <sheetName val="Keyword"/>
      <sheetName val="TEMP"/>
      <sheetName val="02-华为问题"/>
      <sheetName val="SPC Keytree Weight"/>
      <sheetName val="GR&amp;R"/>
      <sheetName val="Données"/>
      <sheetName val="UMP OPS"/>
      <sheetName val="전체손익표"/>
      <sheetName val="조절Panel"/>
      <sheetName val="총집계내역"/>
      <sheetName val="standard input"/>
      <sheetName val="OK2x_0212"/>
      <sheetName val="L 3 TEP ( AM &amp; PM )"/>
      <sheetName val="Cpk(1)"/>
      <sheetName val="G2TempSheet"/>
      <sheetName val="MTBF_check"/>
      <sheetName val="Data Selections (Hide &amp; Lock) "/>
      <sheetName val="__17.91.41.171_server_My Docume"/>
      <sheetName val="Oper Bal"/>
      <sheetName val="Incr Inv Tool"/>
      <sheetName val="C"/>
      <sheetName val="Elec.&amp;SW"/>
      <sheetName val="Nov"/>
      <sheetName val="Item_List"/>
      <sheetName val="Sheet(2)"/>
      <sheetName val="Sheet(3)"/>
      <sheetName val="Sheet(4)"/>
      <sheetName val="Sheet(1)"/>
      <sheetName val="ForSystem"/>
      <sheetName val="REPAIR_DATA_-_CONTAINER_#5"/>
      <sheetName val="01-P1"/>
      <sheetName val="参数表"/>
      <sheetName val="(Para)"/>
      <sheetName val="D"/>
      <sheetName val="[0F564 REV X06-00 T2.xls]__17_2"/>
      <sheetName val="Calculation"/>
      <sheetName val="CAUDIT"/>
      <sheetName val="姓名一览表"/>
      <sheetName val="po-k類"/>
      <sheetName val="Weekly Manpower"/>
      <sheetName val="Xenon"/>
      <sheetName val="_0F564 REV X06-00 T2.xls__Use_2"/>
      <sheetName val="_0F564 REV X06-00 T2.xls__C_U_2"/>
      <sheetName val="_0F564 REV X06-00 T2.xls__C_C_2"/>
      <sheetName val="Rank"/>
      <sheetName val="REEL CALCULATION COST"/>
    </sheetNames>
    <sheetDataSet>
      <sheetData sheetId="0">
        <row r="4">
          <cell r="C4" t="str">
            <v>0F564</v>
          </cell>
        </row>
      </sheetData>
      <sheetData sheetId="1">
        <row r="4">
          <cell r="C4" t="str">
            <v>0F564</v>
          </cell>
        </row>
      </sheetData>
      <sheetData sheetId="2" refreshError="1"/>
      <sheetData sheetId="3">
        <row r="4">
          <cell r="C4" t="str">
            <v>0F564</v>
          </cell>
        </row>
      </sheetData>
      <sheetData sheetId="4">
        <row r="4">
          <cell r="C4" t="str">
            <v>0F564</v>
          </cell>
        </row>
      </sheetData>
      <sheetData sheetId="5">
        <row r="4">
          <cell r="C4" t="str">
            <v>0F564</v>
          </cell>
        </row>
      </sheetData>
      <sheetData sheetId="6">
        <row r="4">
          <cell r="C4" t="str">
            <v>0F564</v>
          </cell>
        </row>
      </sheetData>
      <sheetData sheetId="7">
        <row r="4">
          <cell r="C4" t="str">
            <v>0F564</v>
          </cell>
        </row>
      </sheetData>
      <sheetData sheetId="8">
        <row r="4">
          <cell r="C4" t="str">
            <v>0F564</v>
          </cell>
        </row>
      </sheetData>
      <sheetData sheetId="9">
        <row r="4">
          <cell r="C4" t="str">
            <v>0F564</v>
          </cell>
        </row>
      </sheetData>
      <sheetData sheetId="10">
        <row r="4">
          <cell r="C4" t="str">
            <v>0F564</v>
          </cell>
        </row>
      </sheetData>
      <sheetData sheetId="11">
        <row r="4">
          <cell r="C4" t="str">
            <v>0F564</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refreshError="1"/>
      <sheetData sheetId="288" refreshError="1"/>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sheetData sheetId="386"/>
      <sheetData sheetId="387"/>
      <sheetData sheetId="388" refreshError="1"/>
      <sheetData sheetId="389" refreshError="1"/>
      <sheetData sheetId="390"/>
      <sheetData sheetId="391" refreshError="1"/>
      <sheetData sheetId="392" refreshError="1"/>
      <sheetData sheetId="393"/>
      <sheetData sheetId="394"/>
      <sheetData sheetId="395"/>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sheetData sheetId="418"/>
      <sheetData sheetId="419"/>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sheetData sheetId="462" refreshError="1"/>
      <sheetData sheetId="463"/>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sheetData sheetId="526"/>
      <sheetData sheetId="527"/>
      <sheetData sheetId="528"/>
      <sheetData sheetId="529"/>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Issues List"/>
      <sheetName val="All Parts"/>
      <sheetName val="期初B"/>
      <sheetName val="Cover"/>
    </sheetNames>
    <sheetDataSet>
      <sheetData sheetId="0" refreshError="1"/>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B83D7-C362-450D-B2A6-FE92020BCE46}">
  <dimension ref="B2:P45"/>
  <sheetViews>
    <sheetView zoomScaleNormal="100" workbookViewId="0">
      <selection activeCell="F11" sqref="F11"/>
    </sheetView>
  </sheetViews>
  <sheetFormatPr defaultRowHeight="12.75" x14ac:dyDescent="0.2"/>
  <cols>
    <col min="2" max="2" width="5" customWidth="1"/>
    <col min="3" max="3" width="33.7109375" style="532" customWidth="1"/>
    <col min="4" max="4" width="38.7109375" style="450" customWidth="1"/>
    <col min="5" max="5" width="33.7109375" style="450" customWidth="1"/>
    <col min="6" max="7" width="8.42578125" customWidth="1"/>
  </cols>
  <sheetData>
    <row r="2" spans="2:5" ht="15" x14ac:dyDescent="0.25">
      <c r="B2" s="482" t="s">
        <v>302</v>
      </c>
    </row>
    <row r="3" spans="2:5" ht="15" x14ac:dyDescent="0.2">
      <c r="B3" s="465"/>
    </row>
    <row r="4" spans="2:5" ht="48.4" customHeight="1" x14ac:dyDescent="0.2">
      <c r="B4" s="466" t="s">
        <v>9</v>
      </c>
      <c r="C4" s="1179" t="s">
        <v>309</v>
      </c>
      <c r="D4" s="1179"/>
      <c r="E4" s="1179"/>
    </row>
    <row r="5" spans="2:5" ht="15.4" customHeight="1" x14ac:dyDescent="0.2">
      <c r="B5" s="466"/>
      <c r="C5" s="1177" t="s">
        <v>310</v>
      </c>
      <c r="D5" s="1177"/>
      <c r="E5" s="1177"/>
    </row>
    <row r="6" spans="2:5" ht="15.4" customHeight="1" x14ac:dyDescent="0.2">
      <c r="B6" s="466"/>
      <c r="C6" s="1177" t="s">
        <v>311</v>
      </c>
      <c r="D6" s="1177"/>
      <c r="E6" s="1177"/>
    </row>
    <row r="7" spans="2:5" ht="15.4" customHeight="1" x14ac:dyDescent="0.2">
      <c r="B7" s="466"/>
      <c r="C7" s="1178" t="s">
        <v>312</v>
      </c>
      <c r="D7" s="1178"/>
      <c r="E7" s="1178"/>
    </row>
    <row r="8" spans="2:5" ht="15.4" customHeight="1" x14ac:dyDescent="0.2">
      <c r="B8" s="466"/>
      <c r="C8" s="1178" t="s">
        <v>303</v>
      </c>
      <c r="D8" s="1178"/>
      <c r="E8" s="1178"/>
    </row>
    <row r="9" spans="2:5" ht="14.65" customHeight="1" x14ac:dyDescent="0.2">
      <c r="B9" s="466"/>
      <c r="C9" s="1177" t="s">
        <v>307</v>
      </c>
      <c r="D9" s="1177"/>
      <c r="E9" s="1177"/>
    </row>
    <row r="10" spans="2:5" ht="15" x14ac:dyDescent="0.2">
      <c r="B10" s="466"/>
      <c r="C10" s="1178"/>
      <c r="D10" s="1178"/>
      <c r="E10" s="1178"/>
    </row>
    <row r="11" spans="2:5" ht="28.9" customHeight="1" x14ac:dyDescent="0.2">
      <c r="B11" s="466" t="s">
        <v>22</v>
      </c>
      <c r="C11" s="1179" t="s">
        <v>306</v>
      </c>
      <c r="D11" s="1179"/>
      <c r="E11" s="1179"/>
    </row>
    <row r="12" spans="2:5" ht="43.15" customHeight="1" x14ac:dyDescent="0.2">
      <c r="B12" s="466" t="s">
        <v>27</v>
      </c>
      <c r="C12" s="1180" t="s">
        <v>304</v>
      </c>
      <c r="D12" s="1180"/>
      <c r="E12" s="1180"/>
    </row>
    <row r="13" spans="2:5" ht="66.400000000000006" customHeight="1" x14ac:dyDescent="0.2">
      <c r="B13" s="466" t="s">
        <v>66</v>
      </c>
      <c r="C13" s="1180" t="s">
        <v>313</v>
      </c>
      <c r="D13" s="1180"/>
      <c r="E13" s="1180"/>
    </row>
    <row r="14" spans="2:5" ht="55.9" customHeight="1" x14ac:dyDescent="0.2">
      <c r="B14" s="466" t="s">
        <v>67</v>
      </c>
      <c r="C14" s="1180" t="s">
        <v>451</v>
      </c>
      <c r="D14" s="1180"/>
      <c r="E14" s="1180"/>
    </row>
    <row r="15" spans="2:5" ht="70.900000000000006" customHeight="1" thickBot="1" x14ac:dyDescent="0.25">
      <c r="B15" s="466" t="s">
        <v>69</v>
      </c>
      <c r="C15" s="1180" t="s">
        <v>308</v>
      </c>
      <c r="D15" s="1180"/>
      <c r="E15" s="1180"/>
    </row>
    <row r="16" spans="2:5" ht="19.5" customHeight="1" thickBot="1" x14ac:dyDescent="0.25">
      <c r="C16" s="483"/>
      <c r="D16" s="473" t="s">
        <v>322</v>
      </c>
      <c r="E16" s="473" t="s">
        <v>316</v>
      </c>
    </row>
    <row r="17" spans="2:16" ht="34.5" customHeight="1" x14ac:dyDescent="0.2">
      <c r="C17" s="1181" t="s">
        <v>320</v>
      </c>
      <c r="D17" s="476" t="s">
        <v>326</v>
      </c>
      <c r="E17" s="477" t="s">
        <v>318</v>
      </c>
    </row>
    <row r="18" spans="2:16" ht="46.9" customHeight="1" thickBot="1" x14ac:dyDescent="0.25">
      <c r="C18" s="1182"/>
      <c r="D18" s="474" t="s">
        <v>325</v>
      </c>
      <c r="E18" s="475" t="s">
        <v>321</v>
      </c>
    </row>
    <row r="19" spans="2:16" ht="13.5" thickBot="1" x14ac:dyDescent="0.25">
      <c r="C19"/>
      <c r="D19"/>
      <c r="E19"/>
    </row>
    <row r="20" spans="2:16" ht="30" customHeight="1" x14ac:dyDescent="0.2">
      <c r="C20" s="1181" t="s">
        <v>317</v>
      </c>
      <c r="D20" s="476" t="s">
        <v>323</v>
      </c>
      <c r="E20" s="477" t="s">
        <v>327</v>
      </c>
    </row>
    <row r="21" spans="2:16" ht="72" customHeight="1" x14ac:dyDescent="0.2">
      <c r="C21" s="1183"/>
      <c r="D21" s="480" t="s">
        <v>324</v>
      </c>
      <c r="E21" s="481" t="s">
        <v>328</v>
      </c>
    </row>
    <row r="22" spans="2:16" ht="58.9" customHeight="1" thickBot="1" x14ac:dyDescent="0.25">
      <c r="C22" s="1182"/>
      <c r="D22" s="478" t="s">
        <v>452</v>
      </c>
      <c r="E22" s="479" t="s">
        <v>319</v>
      </c>
    </row>
    <row r="23" spans="2:16" x14ac:dyDescent="0.2">
      <c r="C23" s="450"/>
    </row>
    <row r="24" spans="2:16" ht="115.5" customHeight="1" x14ac:dyDescent="0.2">
      <c r="B24" s="466" t="s">
        <v>305</v>
      </c>
      <c r="C24" s="1180" t="s">
        <v>387</v>
      </c>
      <c r="D24" s="1180"/>
      <c r="E24" s="1180"/>
    </row>
    <row r="25" spans="2:16" ht="166.15" customHeight="1" x14ac:dyDescent="0.2">
      <c r="B25" s="466" t="s">
        <v>70</v>
      </c>
      <c r="C25" s="1180" t="s">
        <v>453</v>
      </c>
      <c r="D25" s="1180"/>
      <c r="E25" s="1180"/>
    </row>
    <row r="26" spans="2:16" ht="124.9" customHeight="1" x14ac:dyDescent="0.2">
      <c r="B26" s="466" t="s">
        <v>72</v>
      </c>
      <c r="C26" s="1180" t="s">
        <v>454</v>
      </c>
      <c r="D26" s="1180"/>
      <c r="E26" s="1180"/>
    </row>
    <row r="27" spans="2:16" x14ac:dyDescent="0.2">
      <c r="B27" s="466"/>
    </row>
    <row r="28" spans="2:16" x14ac:dyDescent="0.2">
      <c r="B28" s="466"/>
    </row>
    <row r="29" spans="2:16" x14ac:dyDescent="0.2">
      <c r="B29" s="466"/>
    </row>
    <row r="30" spans="2:16" x14ac:dyDescent="0.2">
      <c r="B30" s="466"/>
      <c r="C30" s="567" t="s">
        <v>388</v>
      </c>
      <c r="D30" s="568" t="s">
        <v>389</v>
      </c>
      <c r="E30" s="569" t="s">
        <v>390</v>
      </c>
      <c r="F30" s="569"/>
      <c r="G30" s="569"/>
      <c r="H30" s="569"/>
      <c r="I30" s="569"/>
      <c r="J30" s="569"/>
      <c r="K30" s="569"/>
      <c r="L30" s="569"/>
      <c r="M30" s="569"/>
      <c r="N30" s="569"/>
      <c r="O30" s="569"/>
      <c r="P30" s="570"/>
    </row>
    <row r="31" spans="2:16" x14ac:dyDescent="0.2">
      <c r="B31" s="466"/>
      <c r="C31" s="571" t="s">
        <v>391</v>
      </c>
      <c r="D31" s="572"/>
      <c r="E31" s="573"/>
      <c r="F31" s="573"/>
      <c r="G31" s="573"/>
      <c r="H31" s="573"/>
      <c r="I31" s="573"/>
      <c r="J31" s="573"/>
      <c r="K31" s="573"/>
      <c r="L31" s="573"/>
      <c r="M31" s="573"/>
      <c r="N31" s="573"/>
      <c r="O31" s="573"/>
      <c r="P31" s="574"/>
    </row>
    <row r="32" spans="2:16" x14ac:dyDescent="0.2">
      <c r="C32" s="571" t="s">
        <v>392</v>
      </c>
      <c r="D32" s="572">
        <v>10</v>
      </c>
      <c r="E32" s="573" t="s">
        <v>393</v>
      </c>
      <c r="F32" s="573"/>
      <c r="G32" s="573"/>
      <c r="H32" s="573"/>
      <c r="I32" s="573"/>
      <c r="J32" s="573"/>
      <c r="K32" s="573"/>
      <c r="L32" s="573"/>
      <c r="M32" s="573"/>
      <c r="N32" s="573"/>
      <c r="O32" s="573"/>
      <c r="P32" s="574"/>
    </row>
    <row r="33" spans="2:16" x14ac:dyDescent="0.2">
      <c r="C33" s="571" t="s">
        <v>394</v>
      </c>
      <c r="D33" s="572">
        <v>5</v>
      </c>
      <c r="E33" s="573" t="s">
        <v>395</v>
      </c>
      <c r="F33" s="573"/>
      <c r="G33" s="573"/>
      <c r="H33" s="573"/>
      <c r="I33" s="573"/>
      <c r="J33" s="573"/>
      <c r="K33" s="573"/>
      <c r="L33" s="573"/>
      <c r="M33" s="573"/>
      <c r="N33" s="573"/>
      <c r="O33" s="573"/>
      <c r="P33" s="574"/>
    </row>
    <row r="34" spans="2:16" x14ac:dyDescent="0.2">
      <c r="C34" s="571" t="s">
        <v>396</v>
      </c>
      <c r="D34" s="572">
        <v>3</v>
      </c>
      <c r="E34" s="573" t="s">
        <v>397</v>
      </c>
      <c r="F34" s="573"/>
      <c r="G34" s="573"/>
      <c r="H34" s="573"/>
      <c r="I34" s="573"/>
      <c r="J34" s="573"/>
      <c r="K34" s="573"/>
      <c r="L34" s="573"/>
      <c r="M34" s="573"/>
      <c r="N34" s="573"/>
      <c r="O34" s="573"/>
      <c r="P34" s="574"/>
    </row>
    <row r="35" spans="2:16" x14ac:dyDescent="0.2">
      <c r="C35" s="571" t="s">
        <v>398</v>
      </c>
      <c r="D35" s="572">
        <v>8</v>
      </c>
      <c r="E35" s="573" t="s">
        <v>399</v>
      </c>
      <c r="F35" s="573"/>
      <c r="G35" s="573"/>
      <c r="H35" s="573"/>
      <c r="I35" s="573"/>
      <c r="J35" s="573"/>
      <c r="K35" s="573"/>
      <c r="L35" s="573"/>
      <c r="M35" s="573"/>
      <c r="N35" s="573"/>
      <c r="O35" s="573"/>
      <c r="P35" s="574"/>
    </row>
    <row r="36" spans="2:16" x14ac:dyDescent="0.2">
      <c r="C36" s="571" t="s">
        <v>400</v>
      </c>
      <c r="D36" s="572">
        <v>10</v>
      </c>
      <c r="E36" s="573" t="s">
        <v>401</v>
      </c>
      <c r="F36" s="573"/>
      <c r="G36" s="573"/>
      <c r="H36" s="573"/>
      <c r="I36" s="573"/>
      <c r="J36" s="573"/>
      <c r="K36" s="573"/>
      <c r="L36" s="573"/>
      <c r="M36" s="573"/>
      <c r="N36" s="573"/>
      <c r="O36" s="573"/>
      <c r="P36" s="574"/>
    </row>
    <row r="37" spans="2:16" x14ac:dyDescent="0.2">
      <c r="C37" s="571" t="s">
        <v>402</v>
      </c>
      <c r="D37" s="572">
        <v>3</v>
      </c>
      <c r="E37" s="573" t="s">
        <v>403</v>
      </c>
      <c r="F37" s="573"/>
      <c r="G37" s="573"/>
      <c r="H37" s="573"/>
      <c r="I37" s="573"/>
      <c r="J37" s="573"/>
      <c r="K37" s="573"/>
      <c r="L37" s="573"/>
      <c r="M37" s="573"/>
      <c r="N37" s="573"/>
      <c r="O37" s="573"/>
      <c r="P37" s="574"/>
    </row>
    <row r="38" spans="2:16" x14ac:dyDescent="0.2">
      <c r="B38" s="466"/>
      <c r="C38" s="571" t="s">
        <v>404</v>
      </c>
      <c r="D38" s="572">
        <v>50</v>
      </c>
      <c r="E38" s="573" t="s">
        <v>405</v>
      </c>
      <c r="F38" s="573"/>
      <c r="G38" s="573"/>
      <c r="H38" s="573"/>
      <c r="I38" s="573"/>
      <c r="J38" s="573"/>
      <c r="K38" s="573"/>
      <c r="L38" s="573"/>
      <c r="M38" s="573"/>
      <c r="N38" s="573"/>
      <c r="O38" s="573"/>
      <c r="P38" s="574"/>
    </row>
    <row r="39" spans="2:16" x14ac:dyDescent="0.2">
      <c r="B39" s="466"/>
      <c r="C39" s="571" t="s">
        <v>406</v>
      </c>
      <c r="D39" s="572">
        <v>10</v>
      </c>
      <c r="E39" s="573" t="s">
        <v>407</v>
      </c>
      <c r="F39" s="573"/>
      <c r="G39" s="573"/>
      <c r="H39" s="573"/>
      <c r="I39" s="573"/>
      <c r="J39" s="573"/>
      <c r="K39" s="573"/>
      <c r="L39" s="573"/>
      <c r="M39" s="573"/>
      <c r="N39" s="573"/>
      <c r="O39" s="573"/>
      <c r="P39" s="574"/>
    </row>
    <row r="40" spans="2:16" x14ac:dyDescent="0.2">
      <c r="C40" s="571" t="s">
        <v>455</v>
      </c>
      <c r="D40" s="572">
        <v>3</v>
      </c>
      <c r="E40" s="575" t="s">
        <v>456</v>
      </c>
      <c r="F40" s="575"/>
      <c r="G40" s="575"/>
      <c r="H40" s="575"/>
      <c r="I40" s="575"/>
      <c r="J40" s="575"/>
      <c r="K40" s="575"/>
      <c r="L40" s="575"/>
      <c r="M40" s="575"/>
      <c r="N40" s="575"/>
      <c r="O40" s="575"/>
      <c r="P40" s="576"/>
    </row>
    <row r="41" spans="2:16" x14ac:dyDescent="0.2">
      <c r="C41" s="571" t="s">
        <v>408</v>
      </c>
      <c r="D41" s="572">
        <v>3</v>
      </c>
      <c r="E41" s="577" t="s">
        <v>409</v>
      </c>
      <c r="F41" s="573"/>
      <c r="G41" s="573"/>
      <c r="H41" s="573"/>
      <c r="I41" s="573"/>
      <c r="J41" s="573"/>
      <c r="K41" s="573"/>
      <c r="L41" s="573"/>
      <c r="M41" s="573"/>
      <c r="N41" s="573"/>
      <c r="O41" s="573"/>
      <c r="P41" s="574"/>
    </row>
    <row r="42" spans="2:16" x14ac:dyDescent="0.2">
      <c r="C42" s="571" t="s">
        <v>410</v>
      </c>
      <c r="D42" s="572">
        <v>3</v>
      </c>
      <c r="E42" s="573" t="s">
        <v>411</v>
      </c>
      <c r="F42" s="573"/>
      <c r="G42" s="573"/>
      <c r="H42" s="573"/>
      <c r="I42" s="573"/>
      <c r="J42" s="573"/>
      <c r="K42" s="573"/>
      <c r="L42" s="573"/>
      <c r="M42" s="573"/>
      <c r="N42" s="573"/>
      <c r="O42" s="573"/>
      <c r="P42" s="574"/>
    </row>
    <row r="43" spans="2:16" x14ac:dyDescent="0.2">
      <c r="C43" s="571" t="s">
        <v>412</v>
      </c>
      <c r="D43" s="572">
        <v>8</v>
      </c>
      <c r="E43" s="573" t="s">
        <v>413</v>
      </c>
      <c r="F43" s="573"/>
      <c r="G43" s="573"/>
      <c r="H43" s="573"/>
      <c r="I43" s="573"/>
      <c r="J43" s="573"/>
      <c r="K43" s="573"/>
      <c r="L43" s="573"/>
      <c r="M43" s="573"/>
      <c r="N43" s="573"/>
      <c r="O43" s="573"/>
      <c r="P43" s="574"/>
    </row>
    <row r="44" spans="2:16" x14ac:dyDescent="0.2">
      <c r="C44" s="571" t="s">
        <v>414</v>
      </c>
      <c r="D44" s="572">
        <v>4</v>
      </c>
      <c r="E44" s="573" t="s">
        <v>415</v>
      </c>
      <c r="F44" s="573"/>
      <c r="G44" s="573"/>
      <c r="H44" s="573"/>
      <c r="I44" s="573"/>
      <c r="J44" s="573"/>
      <c r="K44" s="573"/>
      <c r="L44" s="573"/>
      <c r="M44" s="573"/>
      <c r="N44" s="573"/>
      <c r="O44" s="573"/>
      <c r="P44" s="574"/>
    </row>
    <row r="45" spans="2:16" x14ac:dyDescent="0.2">
      <c r="C45" s="578"/>
      <c r="D45" s="579"/>
      <c r="E45" s="579"/>
      <c r="F45" s="579"/>
      <c r="G45" s="579"/>
      <c r="H45" s="579"/>
      <c r="I45" s="579"/>
      <c r="J45" s="579"/>
      <c r="K45" s="579"/>
      <c r="L45" s="579"/>
      <c r="M45" s="579"/>
      <c r="N45" s="579"/>
      <c r="O45" s="579"/>
      <c r="P45" s="580"/>
    </row>
  </sheetData>
  <sheetProtection algorithmName="SHA-512" hashValue="jH1lz5/qpLYT1zuzqWZJYqE9V5X0HFa489yAPqcBVAYWbbeIrwxlNgLxhb0P5ky8QT0ahif28/1otGv7VhETfg==" saltValue="K+2XFIXx/Ke3gI1hSRjnXg==" spinCount="100000" sheet="1" objects="1" scenarios="1"/>
  <mergeCells count="17">
    <mergeCell ref="C24:E24"/>
    <mergeCell ref="C25:E25"/>
    <mergeCell ref="C26:E26"/>
    <mergeCell ref="C17:C18"/>
    <mergeCell ref="C12:E12"/>
    <mergeCell ref="C13:E13"/>
    <mergeCell ref="C14:E14"/>
    <mergeCell ref="C20:C22"/>
    <mergeCell ref="C9:E9"/>
    <mergeCell ref="C10:E10"/>
    <mergeCell ref="C11:E11"/>
    <mergeCell ref="C15:E15"/>
    <mergeCell ref="C4:E4"/>
    <mergeCell ref="C5:E5"/>
    <mergeCell ref="C6:E6"/>
    <mergeCell ref="C7:E7"/>
    <mergeCell ref="C8:E8"/>
  </mergeCells>
  <phoneticPr fontId="15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F3DA0-38BA-4C67-9A4E-FF6BC8B39BB1}">
  <sheetPr>
    <tabColor theme="3" tint="-0.249977111117893"/>
    <pageSetUpPr fitToPage="1"/>
  </sheetPr>
  <dimension ref="A1:BF865"/>
  <sheetViews>
    <sheetView showGridLines="0" topLeftCell="H359" zoomScale="70" zoomScaleNormal="70" workbookViewId="0">
      <selection activeCell="I352" sqref="I352:Y392"/>
    </sheetView>
  </sheetViews>
  <sheetFormatPr defaultColWidth="9.28515625" defaultRowHeight="16.5" outlineLevelRow="1" x14ac:dyDescent="0.3"/>
  <cols>
    <col min="1" max="1" width="9.28515625" style="1" hidden="1" customWidth="1"/>
    <col min="2" max="2" width="5.7109375" style="1" hidden="1" customWidth="1"/>
    <col min="3" max="3" width="4.28515625" style="1" hidden="1" customWidth="1"/>
    <col min="4" max="4" width="4.7109375" style="1" hidden="1" customWidth="1"/>
    <col min="5" max="5" width="5" style="1" hidden="1" customWidth="1"/>
    <col min="6" max="6" width="6.5703125" style="1" hidden="1" customWidth="1"/>
    <col min="7" max="7" width="5.5703125" style="1" hidden="1" customWidth="1"/>
    <col min="8" max="8" width="2.28515625" style="1" customWidth="1"/>
    <col min="9" max="9" width="6.5703125" style="2" customWidth="1"/>
    <col min="10" max="10" width="59.28515625" style="1" customWidth="1"/>
    <col min="11" max="11" width="18.85546875" style="3" customWidth="1"/>
    <col min="12" max="12" width="22.7109375" style="1" customWidth="1"/>
    <col min="13" max="13" width="1.42578125" style="1" customWidth="1"/>
    <col min="14" max="14" width="17.85546875" style="1" customWidth="1"/>
    <col min="15" max="15" width="18.7109375" style="1" customWidth="1"/>
    <col min="16" max="20" width="15" style="1" customWidth="1"/>
    <col min="21" max="21" width="18.5703125" style="1" customWidth="1"/>
    <col min="22" max="29" width="15" style="1" customWidth="1"/>
    <col min="30" max="30" width="18" style="4" customWidth="1"/>
    <col min="31" max="31" width="17.28515625" style="4" customWidth="1"/>
    <col min="32" max="36" width="19" style="1" customWidth="1"/>
    <col min="37" max="40" width="10.28515625" style="1" customWidth="1"/>
    <col min="41" max="51" width="7.7109375" style="1" customWidth="1"/>
    <col min="52" max="52" width="24.28515625" style="1" customWidth="1"/>
    <col min="53" max="56" width="22.28515625" style="1" customWidth="1"/>
    <col min="57" max="16384" width="9.28515625" style="1"/>
  </cols>
  <sheetData>
    <row r="1" spans="8:31" hidden="1" x14ac:dyDescent="0.3"/>
    <row r="2" spans="8:31" hidden="1" x14ac:dyDescent="0.3"/>
    <row r="3" spans="8:31" hidden="1" x14ac:dyDescent="0.3"/>
    <row r="4" spans="8:31" hidden="1" x14ac:dyDescent="0.3"/>
    <row r="5" spans="8:31" hidden="1" x14ac:dyDescent="0.3"/>
    <row r="6" spans="8:31" ht="28.9" hidden="1" customHeight="1" x14ac:dyDescent="0.3">
      <c r="N6" s="445" t="s">
        <v>285</v>
      </c>
      <c r="O6" s="446"/>
      <c r="P6" s="446"/>
      <c r="Q6" s="461"/>
    </row>
    <row r="7" spans="8:31" ht="43.9" customHeight="1" x14ac:dyDescent="0.2">
      <c r="H7" s="5"/>
      <c r="I7" s="1066" t="s">
        <v>0</v>
      </c>
      <c r="J7" s="1065"/>
      <c r="K7" s="1066" t="s">
        <v>463</v>
      </c>
      <c r="L7" s="1065"/>
      <c r="O7" s="7"/>
      <c r="P7" s="7"/>
      <c r="Q7" s="7"/>
      <c r="R7" s="7"/>
      <c r="S7" s="7"/>
      <c r="U7" s="7"/>
      <c r="V7" s="6"/>
      <c r="W7" s="6"/>
      <c r="X7" s="6"/>
      <c r="Y7" s="6"/>
      <c r="Z7" s="6"/>
      <c r="AA7" s="6"/>
      <c r="AB7" s="6"/>
      <c r="AC7" s="6"/>
    </row>
    <row r="8" spans="8:31" ht="27.4" customHeight="1" x14ac:dyDescent="0.2">
      <c r="H8" s="5"/>
      <c r="J8" s="8" t="s">
        <v>279</v>
      </c>
      <c r="K8" s="9" t="s">
        <v>1</v>
      </c>
      <c r="L8" s="10" t="s">
        <v>280</v>
      </c>
      <c r="U8" s="11"/>
      <c r="V8" s="11"/>
      <c r="W8" s="12"/>
      <c r="X8" s="11"/>
      <c r="Y8" s="6"/>
      <c r="Z8" s="6"/>
      <c r="AA8" s="11"/>
      <c r="AB8" s="11"/>
      <c r="AC8" s="11"/>
    </row>
    <row r="9" spans="8:31" ht="39.4" customHeight="1" x14ac:dyDescent="0.2">
      <c r="H9" s="13"/>
      <c r="I9" s="13"/>
      <c r="J9" s="8" t="s">
        <v>457</v>
      </c>
      <c r="K9" s="472" t="s">
        <v>315</v>
      </c>
      <c r="L9" s="717" t="s">
        <v>443</v>
      </c>
      <c r="M9" s="13"/>
      <c r="Q9" s="13"/>
      <c r="R9" s="13"/>
      <c r="U9" s="13"/>
      <c r="V9" s="13"/>
      <c r="W9" s="13"/>
      <c r="X9" s="13"/>
      <c r="Y9" s="13"/>
      <c r="Z9" s="13"/>
    </row>
    <row r="10" spans="8:31" ht="56.65" customHeight="1" x14ac:dyDescent="0.3">
      <c r="J10" s="17" t="s">
        <v>4</v>
      </c>
      <c r="L10" s="718" t="str">
        <f>IF(OR(L11=0,L11="",L12=0,L12=""),"WARNING: 
Must enter SOP YYYY &amp; MM. SAME for all Prog","OK, SOP date entered")</f>
        <v>OK, SOP date entered</v>
      </c>
      <c r="N10" s="19" t="str">
        <f>IF(AND(N220="OK",N221="OK",N241="OK",N255="OK",N305="OK",$K$49="OK,Fully Amortized"),"OK","Wrong")</f>
        <v>OK</v>
      </c>
      <c r="O10" s="19" t="str">
        <f t="shared" ref="O10:AC10" si="0">IF(AND(O220="OK",O221="OK",O241="OK",O255="OK",O305="OK"),"OK","Wrong")</f>
        <v>OK</v>
      </c>
      <c r="P10" s="19" t="str">
        <f t="shared" si="0"/>
        <v>OK</v>
      </c>
      <c r="Q10" s="19" t="str">
        <f t="shared" si="0"/>
        <v>OK</v>
      </c>
      <c r="R10" s="19" t="str">
        <f t="shared" si="0"/>
        <v>OK</v>
      </c>
      <c r="S10" s="19" t="str">
        <f t="shared" si="0"/>
        <v>OK</v>
      </c>
      <c r="T10" s="19" t="str">
        <f t="shared" si="0"/>
        <v>OK</v>
      </c>
      <c r="U10" s="19" t="str">
        <f t="shared" si="0"/>
        <v>OK</v>
      </c>
      <c r="V10" s="19" t="str">
        <f t="shared" si="0"/>
        <v>OK</v>
      </c>
      <c r="W10" s="19" t="str">
        <f t="shared" si="0"/>
        <v>OK</v>
      </c>
      <c r="X10" s="19" t="str">
        <f t="shared" si="0"/>
        <v>OK</v>
      </c>
      <c r="Y10" s="19" t="str">
        <f t="shared" si="0"/>
        <v>OK</v>
      </c>
      <c r="Z10" s="19" t="str">
        <f t="shared" si="0"/>
        <v>OK</v>
      </c>
      <c r="AA10" s="19" t="str">
        <f t="shared" si="0"/>
        <v>OK</v>
      </c>
      <c r="AB10" s="19" t="str">
        <f t="shared" si="0"/>
        <v>OK</v>
      </c>
      <c r="AC10" s="19" t="str">
        <f t="shared" si="0"/>
        <v>OK</v>
      </c>
    </row>
    <row r="11" spans="8:31" ht="21.4" customHeight="1" x14ac:dyDescent="0.25">
      <c r="H11" s="20"/>
      <c r="I11" s="21"/>
      <c r="J11" s="1187" t="str">
        <f>L8</f>
        <v>Currency:</v>
      </c>
      <c r="K11" s="22" t="s">
        <v>5</v>
      </c>
      <c r="L11" s="23">
        <v>2025</v>
      </c>
      <c r="N11" s="1064">
        <f>L11-1</f>
        <v>2024</v>
      </c>
      <c r="O11" s="24">
        <f>N11+1</f>
        <v>2025</v>
      </c>
      <c r="P11" s="24">
        <f t="shared" ref="P11:W11" si="1">O11+1</f>
        <v>2026</v>
      </c>
      <c r="Q11" s="24">
        <f t="shared" si="1"/>
        <v>2027</v>
      </c>
      <c r="R11" s="24">
        <f t="shared" si="1"/>
        <v>2028</v>
      </c>
      <c r="S11" s="24">
        <f t="shared" si="1"/>
        <v>2029</v>
      </c>
      <c r="T11" s="24">
        <f t="shared" si="1"/>
        <v>2030</v>
      </c>
      <c r="U11" s="24">
        <f t="shared" si="1"/>
        <v>2031</v>
      </c>
      <c r="V11" s="24">
        <f t="shared" si="1"/>
        <v>2032</v>
      </c>
      <c r="W11" s="24">
        <f t="shared" si="1"/>
        <v>2033</v>
      </c>
      <c r="X11" s="24">
        <f>IF(W11=0,0,W11+1)</f>
        <v>2034</v>
      </c>
      <c r="Y11" s="24">
        <f t="shared" ref="Y11:AC11" si="2">IF(X11=0,0,X11+1)</f>
        <v>2035</v>
      </c>
      <c r="Z11" s="24">
        <f t="shared" si="2"/>
        <v>2036</v>
      </c>
      <c r="AA11" s="24">
        <f t="shared" si="2"/>
        <v>2037</v>
      </c>
      <c r="AB11" s="24">
        <f t="shared" si="2"/>
        <v>2038</v>
      </c>
      <c r="AC11" s="25">
        <f t="shared" si="2"/>
        <v>2039</v>
      </c>
      <c r="AD11" s="1"/>
      <c r="AE11" s="1"/>
    </row>
    <row r="12" spans="8:31" ht="21.4" customHeight="1" x14ac:dyDescent="0.3">
      <c r="H12" s="20"/>
      <c r="I12" s="26"/>
      <c r="J12" s="1187"/>
      <c r="K12" s="27" t="s">
        <v>6</v>
      </c>
      <c r="L12" s="28">
        <v>12</v>
      </c>
      <c r="N12" s="426" t="s">
        <v>281</v>
      </c>
      <c r="O12" s="29" t="str">
        <f>N12</f>
        <v>Calendar Year</v>
      </c>
      <c r="P12" s="29" t="str">
        <f t="shared" ref="P12:AC12" si="3">O12</f>
        <v>Calendar Year</v>
      </c>
      <c r="Q12" s="29" t="str">
        <f t="shared" si="3"/>
        <v>Calendar Year</v>
      </c>
      <c r="R12" s="29" t="str">
        <f t="shared" si="3"/>
        <v>Calendar Year</v>
      </c>
      <c r="S12" s="29" t="str">
        <f t="shared" si="3"/>
        <v>Calendar Year</v>
      </c>
      <c r="T12" s="29" t="str">
        <f t="shared" si="3"/>
        <v>Calendar Year</v>
      </c>
      <c r="U12" s="29" t="str">
        <f t="shared" si="3"/>
        <v>Calendar Year</v>
      </c>
      <c r="V12" s="29" t="str">
        <f t="shared" si="3"/>
        <v>Calendar Year</v>
      </c>
      <c r="W12" s="29" t="str">
        <f t="shared" si="3"/>
        <v>Calendar Year</v>
      </c>
      <c r="X12" s="29" t="str">
        <f t="shared" si="3"/>
        <v>Calendar Year</v>
      </c>
      <c r="Y12" s="29" t="str">
        <f t="shared" si="3"/>
        <v>Calendar Year</v>
      </c>
      <c r="Z12" s="29" t="str">
        <f t="shared" si="3"/>
        <v>Calendar Year</v>
      </c>
      <c r="AA12" s="29" t="str">
        <f t="shared" si="3"/>
        <v>Calendar Year</v>
      </c>
      <c r="AB12" s="29" t="str">
        <f t="shared" si="3"/>
        <v>Calendar Year</v>
      </c>
      <c r="AC12" s="30" t="str">
        <f t="shared" si="3"/>
        <v>Calendar Year</v>
      </c>
      <c r="AD12" s="17"/>
      <c r="AE12" s="1"/>
    </row>
    <row r="13" spans="8:31" ht="17.25" thickBot="1" x14ac:dyDescent="0.35">
      <c r="AD13" s="1"/>
      <c r="AE13" s="1"/>
    </row>
    <row r="14" spans="8:31" ht="21.75" customHeight="1" x14ac:dyDescent="0.25">
      <c r="H14" s="31"/>
      <c r="I14" s="32">
        <v>1</v>
      </c>
      <c r="J14" s="33" t="s">
        <v>7</v>
      </c>
      <c r="K14" s="33"/>
      <c r="L14" s="34" t="s">
        <v>8</v>
      </c>
      <c r="N14" s="35"/>
      <c r="O14" s="36"/>
      <c r="P14" s="36"/>
      <c r="Q14" s="36"/>
      <c r="R14" s="36"/>
      <c r="S14" s="36"/>
      <c r="T14" s="36"/>
      <c r="U14" s="36"/>
      <c r="V14" s="36"/>
      <c r="W14" s="36"/>
      <c r="X14" s="36"/>
      <c r="Y14" s="36"/>
      <c r="Z14" s="36"/>
      <c r="AA14" s="36"/>
      <c r="AB14" s="36"/>
      <c r="AC14" s="37"/>
      <c r="AD14" s="1"/>
      <c r="AE14" s="1"/>
    </row>
    <row r="15" spans="8:31" ht="21.75" customHeight="1" x14ac:dyDescent="0.4">
      <c r="H15" s="31"/>
      <c r="I15" s="38" t="s">
        <v>9</v>
      </c>
      <c r="J15" s="39" t="s">
        <v>10</v>
      </c>
      <c r="K15" s="31"/>
      <c r="L15" s="40" t="s">
        <v>11</v>
      </c>
      <c r="N15" s="41"/>
      <c r="O15" s="42"/>
      <c r="P15" s="42"/>
      <c r="Q15" s="42"/>
      <c r="R15" s="42"/>
      <c r="S15" s="42"/>
      <c r="T15" s="42"/>
      <c r="U15" s="42"/>
      <c r="V15" s="42"/>
      <c r="W15" s="42"/>
      <c r="X15" s="42"/>
      <c r="Y15" s="42"/>
      <c r="Z15" s="42"/>
      <c r="AA15" s="42"/>
      <c r="AB15" s="42"/>
      <c r="AC15" s="43"/>
      <c r="AD15" s="1"/>
      <c r="AE15" s="1"/>
    </row>
    <row r="16" spans="8:31" ht="17.25" thickBot="1" x14ac:dyDescent="0.35">
      <c r="H16" s="31"/>
      <c r="I16" s="38"/>
      <c r="J16" s="44" t="s">
        <v>12</v>
      </c>
      <c r="K16" s="45" t="str">
        <f>"Years of Rev: "&amp;COUNTIF(N16:AC16,"&gt;0")&amp;" yrs"</f>
        <v>Years of Rev: 0 yrs</v>
      </c>
      <c r="L16" s="720">
        <f>SUM(N16:AC16)</f>
        <v>0</v>
      </c>
      <c r="M16" s="721"/>
      <c r="N16" s="722">
        <f t="shared" ref="N16" si="4">N118</f>
        <v>0</v>
      </c>
      <c r="O16" s="723">
        <f t="shared" ref="O16:AC16" si="5">O118</f>
        <v>0</v>
      </c>
      <c r="P16" s="723">
        <f t="shared" si="5"/>
        <v>0</v>
      </c>
      <c r="Q16" s="723">
        <f t="shared" si="5"/>
        <v>0</v>
      </c>
      <c r="R16" s="723">
        <f t="shared" si="5"/>
        <v>0</v>
      </c>
      <c r="S16" s="723">
        <f t="shared" si="5"/>
        <v>0</v>
      </c>
      <c r="T16" s="723">
        <f t="shared" si="5"/>
        <v>0</v>
      </c>
      <c r="U16" s="723">
        <f t="shared" si="5"/>
        <v>0</v>
      </c>
      <c r="V16" s="723">
        <f t="shared" si="5"/>
        <v>0</v>
      </c>
      <c r="W16" s="723">
        <f t="shared" si="5"/>
        <v>0</v>
      </c>
      <c r="X16" s="723">
        <f t="shared" si="5"/>
        <v>0</v>
      </c>
      <c r="Y16" s="723">
        <f t="shared" si="5"/>
        <v>0</v>
      </c>
      <c r="Z16" s="723">
        <f t="shared" si="5"/>
        <v>0</v>
      </c>
      <c r="AA16" s="723">
        <f t="shared" si="5"/>
        <v>0</v>
      </c>
      <c r="AB16" s="723">
        <f t="shared" si="5"/>
        <v>0</v>
      </c>
      <c r="AC16" s="724">
        <f t="shared" si="5"/>
        <v>0</v>
      </c>
      <c r="AD16" s="1"/>
      <c r="AE16" s="1"/>
    </row>
    <row r="17" spans="8:34" s="50" customFormat="1" thickTop="1" x14ac:dyDescent="0.25">
      <c r="H17" s="46"/>
      <c r="I17" s="47"/>
      <c r="J17" s="48" t="s">
        <v>13</v>
      </c>
      <c r="K17" s="47"/>
      <c r="L17" s="49">
        <f>K125</f>
        <v>0</v>
      </c>
      <c r="N17" s="51">
        <f t="shared" ref="N17" si="6">N125</f>
        <v>0</v>
      </c>
      <c r="O17" s="52">
        <f t="shared" ref="O17:AC17" si="7">O125</f>
        <v>0</v>
      </c>
      <c r="P17" s="52">
        <f t="shared" si="7"/>
        <v>0</v>
      </c>
      <c r="Q17" s="52">
        <f t="shared" si="7"/>
        <v>0</v>
      </c>
      <c r="R17" s="52">
        <f t="shared" si="7"/>
        <v>0</v>
      </c>
      <c r="S17" s="52">
        <f t="shared" si="7"/>
        <v>0</v>
      </c>
      <c r="T17" s="52">
        <f t="shared" si="7"/>
        <v>0</v>
      </c>
      <c r="U17" s="52">
        <f t="shared" si="7"/>
        <v>0</v>
      </c>
      <c r="V17" s="52">
        <f t="shared" si="7"/>
        <v>0</v>
      </c>
      <c r="W17" s="52">
        <f t="shared" si="7"/>
        <v>0</v>
      </c>
      <c r="X17" s="52">
        <f t="shared" si="7"/>
        <v>0</v>
      </c>
      <c r="Y17" s="52">
        <f t="shared" si="7"/>
        <v>0</v>
      </c>
      <c r="Z17" s="52">
        <f t="shared" si="7"/>
        <v>0</v>
      </c>
      <c r="AA17" s="52">
        <f t="shared" si="7"/>
        <v>0</v>
      </c>
      <c r="AB17" s="52">
        <f t="shared" si="7"/>
        <v>0</v>
      </c>
      <c r="AC17" s="53">
        <f t="shared" si="7"/>
        <v>0</v>
      </c>
    </row>
    <row r="18" spans="8:34" ht="15.75" x14ac:dyDescent="0.25">
      <c r="H18" s="31"/>
      <c r="I18" s="38"/>
      <c r="J18" s="54" t="s">
        <v>14</v>
      </c>
      <c r="K18" s="38"/>
      <c r="L18" s="725">
        <f>SUM(N18:AC18)</f>
        <v>0</v>
      </c>
      <c r="M18" s="726"/>
      <c r="N18" s="727">
        <f t="shared" ref="N18" si="8">N153</f>
        <v>0</v>
      </c>
      <c r="O18" s="728">
        <f t="shared" ref="O18:AC18" si="9">O153</f>
        <v>0</v>
      </c>
      <c r="P18" s="728">
        <f t="shared" si="9"/>
        <v>0</v>
      </c>
      <c r="Q18" s="728">
        <f t="shared" si="9"/>
        <v>0</v>
      </c>
      <c r="R18" s="728">
        <f t="shared" si="9"/>
        <v>0</v>
      </c>
      <c r="S18" s="728">
        <f t="shared" si="9"/>
        <v>0</v>
      </c>
      <c r="T18" s="728">
        <f t="shared" si="9"/>
        <v>0</v>
      </c>
      <c r="U18" s="728">
        <f t="shared" si="9"/>
        <v>0</v>
      </c>
      <c r="V18" s="728">
        <f t="shared" si="9"/>
        <v>0</v>
      </c>
      <c r="W18" s="728">
        <f t="shared" si="9"/>
        <v>0</v>
      </c>
      <c r="X18" s="728">
        <f t="shared" si="9"/>
        <v>0</v>
      </c>
      <c r="Y18" s="728">
        <f t="shared" si="9"/>
        <v>0</v>
      </c>
      <c r="Z18" s="728">
        <f t="shared" si="9"/>
        <v>0</v>
      </c>
      <c r="AA18" s="728">
        <f t="shared" si="9"/>
        <v>0</v>
      </c>
      <c r="AB18" s="728">
        <f t="shared" si="9"/>
        <v>0</v>
      </c>
      <c r="AC18" s="729">
        <f t="shared" si="9"/>
        <v>0</v>
      </c>
      <c r="AD18" s="1"/>
      <c r="AE18" s="1"/>
    </row>
    <row r="19" spans="8:34" ht="15.75" x14ac:dyDescent="0.25">
      <c r="H19" s="31"/>
      <c r="I19" s="38"/>
      <c r="J19" s="54" t="s">
        <v>15</v>
      </c>
      <c r="K19" s="38"/>
      <c r="L19" s="58">
        <f>IFERROR(L18/L$16,0)</f>
        <v>0</v>
      </c>
      <c r="N19" s="59">
        <f t="shared" ref="N19" si="10">IFERROR(N18/N16,)</f>
        <v>0</v>
      </c>
      <c r="O19" s="60">
        <f t="shared" ref="O19:AC19" si="11">IFERROR(O18/O16,)</f>
        <v>0</v>
      </c>
      <c r="P19" s="60">
        <f t="shared" si="11"/>
        <v>0</v>
      </c>
      <c r="Q19" s="60">
        <f t="shared" si="11"/>
        <v>0</v>
      </c>
      <c r="R19" s="60">
        <f t="shared" si="11"/>
        <v>0</v>
      </c>
      <c r="S19" s="60">
        <f t="shared" si="11"/>
        <v>0</v>
      </c>
      <c r="T19" s="60">
        <f t="shared" si="11"/>
        <v>0</v>
      </c>
      <c r="U19" s="60">
        <f t="shared" si="11"/>
        <v>0</v>
      </c>
      <c r="V19" s="60">
        <f t="shared" si="11"/>
        <v>0</v>
      </c>
      <c r="W19" s="60">
        <f t="shared" si="11"/>
        <v>0</v>
      </c>
      <c r="X19" s="60">
        <f t="shared" si="11"/>
        <v>0</v>
      </c>
      <c r="Y19" s="60">
        <f t="shared" si="11"/>
        <v>0</v>
      </c>
      <c r="Z19" s="60">
        <f t="shared" si="11"/>
        <v>0</v>
      </c>
      <c r="AA19" s="60">
        <f t="shared" si="11"/>
        <v>0</v>
      </c>
      <c r="AB19" s="60">
        <f t="shared" si="11"/>
        <v>0</v>
      </c>
      <c r="AC19" s="61">
        <f t="shared" si="11"/>
        <v>0</v>
      </c>
      <c r="AD19" s="1"/>
      <c r="AE19" s="1"/>
    </row>
    <row r="20" spans="8:34" ht="15.75" x14ac:dyDescent="0.25">
      <c r="H20" s="31"/>
      <c r="I20" s="38"/>
      <c r="J20" s="44" t="s">
        <v>16</v>
      </c>
      <c r="K20" s="38"/>
      <c r="L20" s="730">
        <f>SUM(N20:AC20)</f>
        <v>0</v>
      </c>
      <c r="M20" s="726"/>
      <c r="N20" s="731">
        <f t="shared" ref="N20" si="12">N162</f>
        <v>0</v>
      </c>
      <c r="O20" s="732">
        <f t="shared" ref="O20:AC20" si="13">O162</f>
        <v>0</v>
      </c>
      <c r="P20" s="732">
        <f t="shared" si="13"/>
        <v>0</v>
      </c>
      <c r="Q20" s="732">
        <f t="shared" si="13"/>
        <v>0</v>
      </c>
      <c r="R20" s="732">
        <f t="shared" si="13"/>
        <v>0</v>
      </c>
      <c r="S20" s="732">
        <f t="shared" si="13"/>
        <v>0</v>
      </c>
      <c r="T20" s="732">
        <f t="shared" si="13"/>
        <v>0</v>
      </c>
      <c r="U20" s="732">
        <f t="shared" si="13"/>
        <v>0</v>
      </c>
      <c r="V20" s="732">
        <f t="shared" si="13"/>
        <v>0</v>
      </c>
      <c r="W20" s="732">
        <f t="shared" si="13"/>
        <v>0</v>
      </c>
      <c r="X20" s="732">
        <f t="shared" si="13"/>
        <v>0</v>
      </c>
      <c r="Y20" s="732">
        <f t="shared" si="13"/>
        <v>0</v>
      </c>
      <c r="Z20" s="732">
        <f t="shared" si="13"/>
        <v>0</v>
      </c>
      <c r="AA20" s="732">
        <f t="shared" si="13"/>
        <v>0</v>
      </c>
      <c r="AB20" s="732">
        <f t="shared" si="13"/>
        <v>0</v>
      </c>
      <c r="AC20" s="733">
        <f t="shared" si="13"/>
        <v>0</v>
      </c>
      <c r="AD20" s="1"/>
      <c r="AE20" s="1"/>
    </row>
    <row r="21" spans="8:34" ht="15.75" x14ac:dyDescent="0.25">
      <c r="H21" s="31"/>
      <c r="I21" s="38"/>
      <c r="J21" s="566" t="s">
        <v>423</v>
      </c>
      <c r="K21" s="38"/>
      <c r="L21" s="62">
        <f>IFERROR(L20/(L16+K139),0)</f>
        <v>0</v>
      </c>
      <c r="N21" s="63">
        <f t="shared" ref="N21" si="14">IFERROR(N20/(N16+N139),0)</f>
        <v>0</v>
      </c>
      <c r="O21" s="64">
        <f t="shared" ref="O21:AC21" si="15">IFERROR(O20/(O16+O139),0)</f>
        <v>0</v>
      </c>
      <c r="P21" s="64">
        <f t="shared" si="15"/>
        <v>0</v>
      </c>
      <c r="Q21" s="64">
        <f t="shared" si="15"/>
        <v>0</v>
      </c>
      <c r="R21" s="64">
        <f t="shared" si="15"/>
        <v>0</v>
      </c>
      <c r="S21" s="64">
        <f t="shared" si="15"/>
        <v>0</v>
      </c>
      <c r="T21" s="64">
        <f t="shared" si="15"/>
        <v>0</v>
      </c>
      <c r="U21" s="64">
        <f t="shared" si="15"/>
        <v>0</v>
      </c>
      <c r="V21" s="64">
        <f t="shared" si="15"/>
        <v>0</v>
      </c>
      <c r="W21" s="64">
        <f t="shared" si="15"/>
        <v>0</v>
      </c>
      <c r="X21" s="64">
        <f t="shared" si="15"/>
        <v>0</v>
      </c>
      <c r="Y21" s="64">
        <f t="shared" si="15"/>
        <v>0</v>
      </c>
      <c r="Z21" s="64">
        <f t="shared" si="15"/>
        <v>0</v>
      </c>
      <c r="AA21" s="64">
        <f t="shared" si="15"/>
        <v>0</v>
      </c>
      <c r="AB21" s="64">
        <f t="shared" si="15"/>
        <v>0</v>
      </c>
      <c r="AC21" s="65">
        <f t="shared" si="15"/>
        <v>0</v>
      </c>
      <c r="AD21" s="1"/>
      <c r="AE21" s="1"/>
    </row>
    <row r="22" spans="8:34" ht="15.75" x14ac:dyDescent="0.25">
      <c r="H22" s="31"/>
      <c r="I22" s="38"/>
      <c r="J22" s="538" t="s">
        <v>424</v>
      </c>
      <c r="K22" s="734"/>
      <c r="L22" s="539">
        <f>K166</f>
        <v>0</v>
      </c>
      <c r="M22" s="633"/>
      <c r="N22" s="540">
        <f t="shared" ref="N22" si="16">N166</f>
        <v>0</v>
      </c>
      <c r="O22" s="541">
        <f t="shared" ref="O22:AC22" si="17">O166</f>
        <v>0</v>
      </c>
      <c r="P22" s="541">
        <f t="shared" si="17"/>
        <v>0</v>
      </c>
      <c r="Q22" s="541">
        <f t="shared" si="17"/>
        <v>0</v>
      </c>
      <c r="R22" s="541">
        <f t="shared" si="17"/>
        <v>0</v>
      </c>
      <c r="S22" s="541">
        <f t="shared" si="17"/>
        <v>0</v>
      </c>
      <c r="T22" s="541">
        <f t="shared" si="17"/>
        <v>0</v>
      </c>
      <c r="U22" s="541">
        <f t="shared" si="17"/>
        <v>0</v>
      </c>
      <c r="V22" s="541">
        <f t="shared" si="17"/>
        <v>0</v>
      </c>
      <c r="W22" s="541">
        <f t="shared" si="17"/>
        <v>0</v>
      </c>
      <c r="X22" s="541">
        <f t="shared" si="17"/>
        <v>0</v>
      </c>
      <c r="Y22" s="541">
        <f t="shared" si="17"/>
        <v>0</v>
      </c>
      <c r="Z22" s="541">
        <f t="shared" si="17"/>
        <v>0</v>
      </c>
      <c r="AA22" s="541">
        <f t="shared" si="17"/>
        <v>0</v>
      </c>
      <c r="AB22" s="541">
        <f t="shared" si="17"/>
        <v>0</v>
      </c>
      <c r="AC22" s="542">
        <f t="shared" si="17"/>
        <v>0</v>
      </c>
      <c r="AD22" s="1"/>
      <c r="AE22" s="1"/>
    </row>
    <row r="23" spans="8:34" s="66" customFormat="1" ht="20.25" customHeight="1" thickBot="1" x14ac:dyDescent="0.3">
      <c r="H23" s="31"/>
      <c r="I23" s="38"/>
      <c r="J23" s="31" t="s">
        <v>17</v>
      </c>
      <c r="K23" s="38"/>
      <c r="L23" s="735">
        <f>SUM(N23:AC23)</f>
        <v>0</v>
      </c>
      <c r="M23" s="726"/>
      <c r="N23" s="736">
        <f t="shared" ref="N23" si="18">N324</f>
        <v>0</v>
      </c>
      <c r="O23" s="737">
        <f t="shared" ref="O23:AC23" si="19">O324</f>
        <v>0</v>
      </c>
      <c r="P23" s="737">
        <f t="shared" si="19"/>
        <v>0</v>
      </c>
      <c r="Q23" s="737">
        <f t="shared" si="19"/>
        <v>0</v>
      </c>
      <c r="R23" s="737">
        <f t="shared" si="19"/>
        <v>0</v>
      </c>
      <c r="S23" s="737">
        <f t="shared" si="19"/>
        <v>0</v>
      </c>
      <c r="T23" s="737">
        <f t="shared" si="19"/>
        <v>0</v>
      </c>
      <c r="U23" s="737">
        <f t="shared" si="19"/>
        <v>0</v>
      </c>
      <c r="V23" s="737">
        <f t="shared" si="19"/>
        <v>0</v>
      </c>
      <c r="W23" s="737">
        <f t="shared" si="19"/>
        <v>0</v>
      </c>
      <c r="X23" s="737">
        <f t="shared" si="19"/>
        <v>0</v>
      </c>
      <c r="Y23" s="737">
        <f t="shared" si="19"/>
        <v>0</v>
      </c>
      <c r="Z23" s="737">
        <f t="shared" si="19"/>
        <v>0</v>
      </c>
      <c r="AA23" s="737">
        <f t="shared" si="19"/>
        <v>0</v>
      </c>
      <c r="AB23" s="737">
        <f t="shared" si="19"/>
        <v>0</v>
      </c>
      <c r="AC23" s="738">
        <f t="shared" si="19"/>
        <v>0</v>
      </c>
    </row>
    <row r="24" spans="8:34" ht="20.25" customHeight="1" x14ac:dyDescent="0.3">
      <c r="H24" s="31"/>
      <c r="I24" s="38"/>
      <c r="J24" s="67" t="s">
        <v>374</v>
      </c>
      <c r="K24" s="45"/>
      <c r="L24" s="739">
        <f>SUM(N24:AC24)</f>
        <v>0</v>
      </c>
      <c r="M24" s="726"/>
      <c r="N24" s="740">
        <f>N70</f>
        <v>0</v>
      </c>
      <c r="O24" s="741">
        <f t="shared" ref="O24:AC24" si="20">O70</f>
        <v>0</v>
      </c>
      <c r="P24" s="741">
        <f t="shared" si="20"/>
        <v>0</v>
      </c>
      <c r="Q24" s="741">
        <f t="shared" si="20"/>
        <v>0</v>
      </c>
      <c r="R24" s="741">
        <f t="shared" si="20"/>
        <v>0</v>
      </c>
      <c r="S24" s="741">
        <f t="shared" si="20"/>
        <v>0</v>
      </c>
      <c r="T24" s="741">
        <f t="shared" si="20"/>
        <v>0</v>
      </c>
      <c r="U24" s="741">
        <f t="shared" si="20"/>
        <v>0</v>
      </c>
      <c r="V24" s="741">
        <f t="shared" si="20"/>
        <v>0</v>
      </c>
      <c r="W24" s="741">
        <f t="shared" si="20"/>
        <v>0</v>
      </c>
      <c r="X24" s="741">
        <f t="shared" si="20"/>
        <v>0</v>
      </c>
      <c r="Y24" s="741">
        <f t="shared" si="20"/>
        <v>0</v>
      </c>
      <c r="Z24" s="741">
        <f t="shared" si="20"/>
        <v>0</v>
      </c>
      <c r="AA24" s="741">
        <f t="shared" si="20"/>
        <v>0</v>
      </c>
      <c r="AB24" s="741">
        <f t="shared" si="20"/>
        <v>0</v>
      </c>
      <c r="AC24" s="742">
        <f t="shared" si="20"/>
        <v>0</v>
      </c>
      <c r="AD24" s="1"/>
      <c r="AE24" s="1"/>
    </row>
    <row r="25" spans="8:34" ht="20.25" customHeight="1" thickBot="1" x14ac:dyDescent="0.3">
      <c r="H25" s="31"/>
      <c r="I25" s="38"/>
      <c r="J25" s="67" t="s">
        <v>375</v>
      </c>
      <c r="K25" s="38"/>
      <c r="L25" s="743">
        <f>SUM(N25:AC25)</f>
        <v>0</v>
      </c>
      <c r="M25" s="726"/>
      <c r="N25" s="744">
        <f>SUM(N73,N74)</f>
        <v>0</v>
      </c>
      <c r="O25" s="745">
        <f t="shared" ref="O25:AC25" si="21">SUM(O73,O74)</f>
        <v>0</v>
      </c>
      <c r="P25" s="745">
        <f t="shared" si="21"/>
        <v>0</v>
      </c>
      <c r="Q25" s="745">
        <f t="shared" si="21"/>
        <v>0</v>
      </c>
      <c r="R25" s="745">
        <f t="shared" si="21"/>
        <v>0</v>
      </c>
      <c r="S25" s="745">
        <f t="shared" si="21"/>
        <v>0</v>
      </c>
      <c r="T25" s="745">
        <f t="shared" si="21"/>
        <v>0</v>
      </c>
      <c r="U25" s="745">
        <f t="shared" si="21"/>
        <v>0</v>
      </c>
      <c r="V25" s="745">
        <f t="shared" si="21"/>
        <v>0</v>
      </c>
      <c r="W25" s="745">
        <f t="shared" si="21"/>
        <v>0</v>
      </c>
      <c r="X25" s="745">
        <f t="shared" si="21"/>
        <v>0</v>
      </c>
      <c r="Y25" s="745">
        <f t="shared" si="21"/>
        <v>0</v>
      </c>
      <c r="Z25" s="745">
        <f t="shared" si="21"/>
        <v>0</v>
      </c>
      <c r="AA25" s="745">
        <f t="shared" si="21"/>
        <v>0</v>
      </c>
      <c r="AB25" s="745">
        <f t="shared" si="21"/>
        <v>0</v>
      </c>
      <c r="AC25" s="746">
        <f t="shared" si="21"/>
        <v>0</v>
      </c>
      <c r="AD25" s="1"/>
      <c r="AE25" s="1"/>
    </row>
    <row r="26" spans="8:34" s="66" customFormat="1" ht="20.25" customHeight="1" x14ac:dyDescent="0.25">
      <c r="H26" s="31"/>
      <c r="I26" s="38"/>
      <c r="J26" s="72" t="str">
        <f>IF(L75&gt;0,"Annual Funding Gap (including IC asset transfer)","Annual Funding Gap")</f>
        <v>Annual Funding Gap</v>
      </c>
      <c r="K26" s="38"/>
      <c r="L26" s="747">
        <f>SUM(N26:AC26)</f>
        <v>0</v>
      </c>
      <c r="M26" s="726"/>
      <c r="N26" s="740">
        <f>-N65</f>
        <v>0</v>
      </c>
      <c r="O26" s="741">
        <f t="shared" ref="O26:AC26" si="22">-O65</f>
        <v>0</v>
      </c>
      <c r="P26" s="741">
        <f t="shared" si="22"/>
        <v>0</v>
      </c>
      <c r="Q26" s="741">
        <f t="shared" si="22"/>
        <v>0</v>
      </c>
      <c r="R26" s="741">
        <f t="shared" si="22"/>
        <v>0</v>
      </c>
      <c r="S26" s="741">
        <f t="shared" si="22"/>
        <v>0</v>
      </c>
      <c r="T26" s="741">
        <f t="shared" si="22"/>
        <v>0</v>
      </c>
      <c r="U26" s="741">
        <f t="shared" si="22"/>
        <v>0</v>
      </c>
      <c r="V26" s="741">
        <f t="shared" si="22"/>
        <v>0</v>
      </c>
      <c r="W26" s="741">
        <f t="shared" si="22"/>
        <v>0</v>
      </c>
      <c r="X26" s="741">
        <f t="shared" si="22"/>
        <v>0</v>
      </c>
      <c r="Y26" s="741">
        <f t="shared" si="22"/>
        <v>0</v>
      </c>
      <c r="Z26" s="741">
        <f t="shared" si="22"/>
        <v>0</v>
      </c>
      <c r="AA26" s="741">
        <f t="shared" si="22"/>
        <v>0</v>
      </c>
      <c r="AB26" s="741">
        <f t="shared" si="22"/>
        <v>0</v>
      </c>
      <c r="AC26" s="742">
        <f t="shared" si="22"/>
        <v>0</v>
      </c>
    </row>
    <row r="27" spans="8:34" s="66" customFormat="1" ht="19.5" customHeight="1" thickBot="1" x14ac:dyDescent="0.3">
      <c r="H27" s="31"/>
      <c r="I27" s="38"/>
      <c r="J27" s="72" t="str">
        <f>IF(L75&gt;0,"Peak Funding Gap (including IC asset transfer)","Peak Funding Gap")</f>
        <v>Peak Funding Gap</v>
      </c>
      <c r="K27" s="38"/>
      <c r="L27" s="748">
        <f>MIN(N27:AC27)</f>
        <v>0</v>
      </c>
      <c r="M27" s="726"/>
      <c r="N27" s="744">
        <f>N274</f>
        <v>0</v>
      </c>
      <c r="O27" s="745">
        <f t="shared" ref="O27:AC27" si="23">O274</f>
        <v>0</v>
      </c>
      <c r="P27" s="745">
        <f t="shared" si="23"/>
        <v>0</v>
      </c>
      <c r="Q27" s="745">
        <f t="shared" si="23"/>
        <v>0</v>
      </c>
      <c r="R27" s="745">
        <f t="shared" si="23"/>
        <v>0</v>
      </c>
      <c r="S27" s="745">
        <f t="shared" si="23"/>
        <v>0</v>
      </c>
      <c r="T27" s="745">
        <f t="shared" si="23"/>
        <v>0</v>
      </c>
      <c r="U27" s="745">
        <f t="shared" si="23"/>
        <v>0</v>
      </c>
      <c r="V27" s="745">
        <f t="shared" si="23"/>
        <v>0</v>
      </c>
      <c r="W27" s="745">
        <f t="shared" si="23"/>
        <v>0</v>
      </c>
      <c r="X27" s="745">
        <f t="shared" si="23"/>
        <v>0</v>
      </c>
      <c r="Y27" s="745">
        <f t="shared" si="23"/>
        <v>0</v>
      </c>
      <c r="Z27" s="745">
        <f t="shared" si="23"/>
        <v>0</v>
      </c>
      <c r="AA27" s="745">
        <f t="shared" si="23"/>
        <v>0</v>
      </c>
      <c r="AB27" s="745">
        <f t="shared" si="23"/>
        <v>0</v>
      </c>
      <c r="AC27" s="746">
        <f t="shared" si="23"/>
        <v>0</v>
      </c>
    </row>
    <row r="28" spans="8:34" ht="10.5" customHeight="1" x14ac:dyDescent="0.2">
      <c r="I28" s="1"/>
      <c r="K28" s="1"/>
      <c r="AD28" s="1"/>
      <c r="AE28" s="1"/>
    </row>
    <row r="29" spans="8:34" ht="17.649999999999999" customHeight="1" outlineLevel="1" x14ac:dyDescent="0.4">
      <c r="I29" s="1"/>
      <c r="J29" s="73" t="s">
        <v>18</v>
      </c>
      <c r="K29" s="1"/>
      <c r="AD29" s="1"/>
      <c r="AE29" s="1"/>
    </row>
    <row r="30" spans="8:34" s="76" customFormat="1" outlineLevel="1" x14ac:dyDescent="0.3">
      <c r="H30" s="31"/>
      <c r="I30" s="38"/>
      <c r="J30" s="74" t="s">
        <v>19</v>
      </c>
      <c r="K30" s="75" t="s">
        <v>20</v>
      </c>
      <c r="L30" s="867">
        <f>SUM(N30:AC30)</f>
        <v>0</v>
      </c>
      <c r="M30" s="868"/>
      <c r="N30" s="869">
        <f t="shared" ref="N30:AC30" si="24">SUM(N123,N132)</f>
        <v>0</v>
      </c>
      <c r="O30" s="870">
        <f t="shared" si="24"/>
        <v>0</v>
      </c>
      <c r="P30" s="870">
        <f t="shared" si="24"/>
        <v>0</v>
      </c>
      <c r="Q30" s="870">
        <f t="shared" si="24"/>
        <v>0</v>
      </c>
      <c r="R30" s="870">
        <f t="shared" si="24"/>
        <v>0</v>
      </c>
      <c r="S30" s="870">
        <f t="shared" si="24"/>
        <v>0</v>
      </c>
      <c r="T30" s="870">
        <f t="shared" si="24"/>
        <v>0</v>
      </c>
      <c r="U30" s="870">
        <f t="shared" si="24"/>
        <v>0</v>
      </c>
      <c r="V30" s="870">
        <f t="shared" si="24"/>
        <v>0</v>
      </c>
      <c r="W30" s="870">
        <f t="shared" si="24"/>
        <v>0</v>
      </c>
      <c r="X30" s="870">
        <f t="shared" si="24"/>
        <v>0</v>
      </c>
      <c r="Y30" s="870">
        <f t="shared" si="24"/>
        <v>0</v>
      </c>
      <c r="Z30" s="870">
        <f t="shared" si="24"/>
        <v>0</v>
      </c>
      <c r="AA30" s="870">
        <f t="shared" si="24"/>
        <v>0</v>
      </c>
      <c r="AB30" s="870">
        <f t="shared" si="24"/>
        <v>0</v>
      </c>
      <c r="AC30" s="871">
        <f t="shared" si="24"/>
        <v>0</v>
      </c>
    </row>
    <row r="31" spans="8:34" s="76" customFormat="1" ht="19.899999999999999" customHeight="1" outlineLevel="1" x14ac:dyDescent="0.3">
      <c r="H31" s="31"/>
      <c r="I31" s="38"/>
      <c r="J31" s="77" t="s">
        <v>21</v>
      </c>
      <c r="K31" s="75" t="str">
        <f>IF(P107="Yes","Imputed in ROI","Not imputed in ROI")</f>
        <v>Not imputed in ROI</v>
      </c>
      <c r="L31" s="872">
        <f>SUM(N31:AC31)</f>
        <v>0</v>
      </c>
      <c r="M31" s="868"/>
      <c r="N31" s="873">
        <f t="shared" ref="N31:AC31" si="25">IF(N167&gt;0,0,N167)</f>
        <v>0</v>
      </c>
      <c r="O31" s="874">
        <f t="shared" si="25"/>
        <v>0</v>
      </c>
      <c r="P31" s="874">
        <f t="shared" si="25"/>
        <v>0</v>
      </c>
      <c r="Q31" s="874">
        <f t="shared" si="25"/>
        <v>0</v>
      </c>
      <c r="R31" s="874">
        <f t="shared" si="25"/>
        <v>0</v>
      </c>
      <c r="S31" s="874">
        <f t="shared" si="25"/>
        <v>0</v>
      </c>
      <c r="T31" s="874">
        <f t="shared" si="25"/>
        <v>0</v>
      </c>
      <c r="U31" s="874">
        <f t="shared" si="25"/>
        <v>0</v>
      </c>
      <c r="V31" s="874">
        <f t="shared" si="25"/>
        <v>0</v>
      </c>
      <c r="W31" s="874">
        <f t="shared" si="25"/>
        <v>0</v>
      </c>
      <c r="X31" s="874">
        <f t="shared" si="25"/>
        <v>0</v>
      </c>
      <c r="Y31" s="874">
        <f t="shared" si="25"/>
        <v>0</v>
      </c>
      <c r="Z31" s="874">
        <f t="shared" si="25"/>
        <v>0</v>
      </c>
      <c r="AA31" s="874">
        <f t="shared" si="25"/>
        <v>0</v>
      </c>
      <c r="AB31" s="874">
        <f t="shared" si="25"/>
        <v>0</v>
      </c>
      <c r="AC31" s="875">
        <f t="shared" si="25"/>
        <v>0</v>
      </c>
    </row>
    <row r="32" spans="8:34" outlineLevel="1" thickBot="1" x14ac:dyDescent="0.3">
      <c r="H32" s="31"/>
      <c r="I32" s="38"/>
      <c r="J32" s="67"/>
      <c r="K32" s="67"/>
      <c r="L32" s="67"/>
      <c r="N32" s="67"/>
      <c r="O32" s="67"/>
      <c r="P32" s="67"/>
      <c r="Q32" s="67"/>
      <c r="R32" s="67"/>
      <c r="S32" s="67"/>
      <c r="T32" s="67"/>
      <c r="U32" s="67"/>
      <c r="V32" s="67"/>
      <c r="W32" s="67"/>
      <c r="X32" s="67"/>
      <c r="Y32" s="67"/>
      <c r="Z32" s="67"/>
      <c r="AA32" s="67"/>
      <c r="AB32" s="67"/>
      <c r="AC32" s="67"/>
      <c r="AD32" s="67"/>
      <c r="AE32" s="67"/>
      <c r="AF32" s="67"/>
      <c r="AG32" s="67"/>
      <c r="AH32" s="67"/>
    </row>
    <row r="33" spans="8:31" ht="18" x14ac:dyDescent="0.4">
      <c r="H33" s="31"/>
      <c r="I33" s="38" t="s">
        <v>22</v>
      </c>
      <c r="J33" s="39" t="s">
        <v>23</v>
      </c>
      <c r="K33" s="31"/>
      <c r="L33" s="78"/>
      <c r="N33" s="79"/>
      <c r="O33" s="80"/>
      <c r="P33" s="80"/>
      <c r="Q33" s="80"/>
      <c r="R33" s="80"/>
      <c r="S33" s="80"/>
      <c r="T33" s="80"/>
      <c r="U33" s="80"/>
      <c r="V33" s="80"/>
      <c r="W33" s="80"/>
      <c r="X33" s="80"/>
      <c r="Y33" s="80"/>
      <c r="Z33" s="80"/>
      <c r="AA33" s="80"/>
      <c r="AB33" s="80"/>
      <c r="AC33" s="81"/>
      <c r="AD33" s="1"/>
      <c r="AE33" s="1"/>
    </row>
    <row r="34" spans="8:31" ht="15.75" x14ac:dyDescent="0.25">
      <c r="H34" s="31"/>
      <c r="I34" s="38"/>
      <c r="J34" s="31" t="s">
        <v>24</v>
      </c>
      <c r="K34" s="1188" t="str">
        <f>IFERROR(CONCATENATE("CPCF Multiple: ",ROUND(L34/L65,1),"x"),"MOIC Multiple")</f>
        <v>MOIC Multiple</v>
      </c>
      <c r="L34" s="749">
        <f>AC34</f>
        <v>0</v>
      </c>
      <c r="M34" s="750"/>
      <c r="N34" s="751">
        <f t="shared" ref="N34:AC34" si="26">N325</f>
        <v>0</v>
      </c>
      <c r="O34" s="752">
        <f t="shared" si="26"/>
        <v>0</v>
      </c>
      <c r="P34" s="752">
        <f t="shared" si="26"/>
        <v>0</v>
      </c>
      <c r="Q34" s="752">
        <f t="shared" si="26"/>
        <v>0</v>
      </c>
      <c r="R34" s="752">
        <f t="shared" si="26"/>
        <v>0</v>
      </c>
      <c r="S34" s="752">
        <f t="shared" si="26"/>
        <v>0</v>
      </c>
      <c r="T34" s="752">
        <f t="shared" si="26"/>
        <v>0</v>
      </c>
      <c r="U34" s="752">
        <f t="shared" si="26"/>
        <v>0</v>
      </c>
      <c r="V34" s="752">
        <f t="shared" si="26"/>
        <v>0</v>
      </c>
      <c r="W34" s="752">
        <f t="shared" si="26"/>
        <v>0</v>
      </c>
      <c r="X34" s="752">
        <f t="shared" si="26"/>
        <v>0</v>
      </c>
      <c r="Y34" s="752">
        <f t="shared" si="26"/>
        <v>0</v>
      </c>
      <c r="Z34" s="752">
        <f t="shared" si="26"/>
        <v>0</v>
      </c>
      <c r="AA34" s="752">
        <f t="shared" si="26"/>
        <v>0</v>
      </c>
      <c r="AB34" s="752">
        <f t="shared" si="26"/>
        <v>0</v>
      </c>
      <c r="AC34" s="753">
        <f t="shared" si="26"/>
        <v>0</v>
      </c>
      <c r="AD34" s="83"/>
      <c r="AE34" s="1"/>
    </row>
    <row r="35" spans="8:31" ht="15.75" x14ac:dyDescent="0.25">
      <c r="H35" s="31"/>
      <c r="I35" s="38"/>
      <c r="J35" s="31" t="s">
        <v>25</v>
      </c>
      <c r="K35" s="1188"/>
      <c r="L35" s="82" t="str">
        <f>IF($L$335="No Full Recovery","No Full Recovery",CONCATENATE(ROUND(SUM(N326:AC326),1)," yrs"))</f>
        <v>0 yrs</v>
      </c>
      <c r="N35" s="84" t="str">
        <f>IF($L$335="No Full Recovery","",ROUND(N326,2)&amp;" yrs")</f>
        <v>0 yrs</v>
      </c>
      <c r="O35" s="85" t="str">
        <f>IF($L$335="No Full Recovery","",ROUND(O326,2)&amp;" yrs")</f>
        <v>0 yrs</v>
      </c>
      <c r="P35" s="85" t="str">
        <f t="shared" ref="P35:AC35" si="27">IF($L$335="No Full Recovery","",ROUND(P326,2)&amp;" yrs")</f>
        <v>0 yrs</v>
      </c>
      <c r="Q35" s="85" t="str">
        <f t="shared" si="27"/>
        <v>0 yrs</v>
      </c>
      <c r="R35" s="85" t="str">
        <f t="shared" si="27"/>
        <v>0 yrs</v>
      </c>
      <c r="S35" s="85" t="str">
        <f t="shared" si="27"/>
        <v>0 yrs</v>
      </c>
      <c r="T35" s="85" t="str">
        <f t="shared" si="27"/>
        <v>0 yrs</v>
      </c>
      <c r="U35" s="85" t="str">
        <f t="shared" si="27"/>
        <v>0 yrs</v>
      </c>
      <c r="V35" s="85" t="str">
        <f t="shared" si="27"/>
        <v>0 yrs</v>
      </c>
      <c r="W35" s="85" t="str">
        <f t="shared" si="27"/>
        <v>0 yrs</v>
      </c>
      <c r="X35" s="85" t="str">
        <f t="shared" si="27"/>
        <v>0 yrs</v>
      </c>
      <c r="Y35" s="85" t="str">
        <f t="shared" si="27"/>
        <v>0 yrs</v>
      </c>
      <c r="Z35" s="85" t="str">
        <f t="shared" si="27"/>
        <v>0 yrs</v>
      </c>
      <c r="AA35" s="85" t="str">
        <f t="shared" si="27"/>
        <v>0 yrs</v>
      </c>
      <c r="AB35" s="85" t="str">
        <f t="shared" si="27"/>
        <v>0 yrs</v>
      </c>
      <c r="AC35" s="86" t="str">
        <f t="shared" si="27"/>
        <v>0 yrs</v>
      </c>
      <c r="AD35" s="83"/>
      <c r="AE35" s="1"/>
    </row>
    <row r="36" spans="8:31" ht="15.75" x14ac:dyDescent="0.25">
      <c r="H36" s="31"/>
      <c r="I36" s="38"/>
      <c r="J36" s="31" t="s">
        <v>26</v>
      </c>
      <c r="K36" s="87" t="str">
        <f>CONCATENATE("WACC@",$L$98*100,"%")</f>
        <v>WACC@15%</v>
      </c>
      <c r="L36" s="749">
        <f>AC36</f>
        <v>0</v>
      </c>
      <c r="M36" s="750"/>
      <c r="N36" s="751">
        <f>SUM($N327:N327)</f>
        <v>0</v>
      </c>
      <c r="O36" s="752">
        <f>SUM($N327:O327)</f>
        <v>0</v>
      </c>
      <c r="P36" s="752">
        <f>SUM($N327:P327)</f>
        <v>0</v>
      </c>
      <c r="Q36" s="752">
        <f>SUM($N327:Q327)</f>
        <v>0</v>
      </c>
      <c r="R36" s="752">
        <f>SUM($N327:R327)</f>
        <v>0</v>
      </c>
      <c r="S36" s="752">
        <f>SUM($N327:S327)</f>
        <v>0</v>
      </c>
      <c r="T36" s="752">
        <f>SUM($N327:T327)</f>
        <v>0</v>
      </c>
      <c r="U36" s="752">
        <f>SUM($N327:U327)</f>
        <v>0</v>
      </c>
      <c r="V36" s="752">
        <f>SUM($N327:V327)</f>
        <v>0</v>
      </c>
      <c r="W36" s="752">
        <f>SUM($N327:W327)</f>
        <v>0</v>
      </c>
      <c r="X36" s="752">
        <f>SUM($N327:X327)</f>
        <v>0</v>
      </c>
      <c r="Y36" s="752">
        <f>SUM($N327:Y327)</f>
        <v>0</v>
      </c>
      <c r="Z36" s="752">
        <f>SUM($N327:Z327)</f>
        <v>0</v>
      </c>
      <c r="AA36" s="752">
        <f>SUM($N327:AA327)</f>
        <v>0</v>
      </c>
      <c r="AB36" s="752">
        <f>SUM($N327:AB327)</f>
        <v>0</v>
      </c>
      <c r="AC36" s="753">
        <f>SUM($N327:AC327)</f>
        <v>0</v>
      </c>
      <c r="AD36" s="83"/>
      <c r="AE36" s="1"/>
    </row>
    <row r="37" spans="8:31" ht="15.75" x14ac:dyDescent="0.25">
      <c r="H37" s="31"/>
      <c r="I37" s="38"/>
      <c r="J37" s="31"/>
      <c r="K37" s="87" t="str">
        <f>CONCATENATE("IRR: ",ROUND($L$334*100,1),"%")</f>
        <v>IRR: 0%</v>
      </c>
      <c r="L37" s="88"/>
      <c r="N37" s="89"/>
      <c r="O37" s="90"/>
      <c r="P37" s="90"/>
      <c r="Q37" s="90"/>
      <c r="R37" s="90"/>
      <c r="S37" s="90"/>
      <c r="T37" s="90"/>
      <c r="U37" s="90"/>
      <c r="V37" s="90"/>
      <c r="W37" s="90"/>
      <c r="X37" s="90"/>
      <c r="Y37" s="90"/>
      <c r="Z37" s="90"/>
      <c r="AA37" s="90"/>
      <c r="AB37" s="90"/>
      <c r="AC37" s="91"/>
      <c r="AD37" s="83"/>
      <c r="AE37" s="1"/>
    </row>
    <row r="38" spans="8:31" ht="20.25" customHeight="1" x14ac:dyDescent="0.4">
      <c r="I38" s="38" t="s">
        <v>27</v>
      </c>
      <c r="J38" s="39" t="s">
        <v>28</v>
      </c>
      <c r="L38" s="754">
        <f>IFERROR(AVERAGEIF(O38:AC38,"&gt;100",O38:AC38),)</f>
        <v>0</v>
      </c>
      <c r="M38" s="750"/>
      <c r="N38" s="755">
        <f>SUM(N40:N48)-N41</f>
        <v>0</v>
      </c>
      <c r="O38" s="756">
        <f t="shared" ref="O38:AC38" si="28">SUM(O40:O48)-O41</f>
        <v>0</v>
      </c>
      <c r="P38" s="756">
        <f t="shared" si="28"/>
        <v>0</v>
      </c>
      <c r="Q38" s="756">
        <f t="shared" si="28"/>
        <v>0</v>
      </c>
      <c r="R38" s="756">
        <f t="shared" si="28"/>
        <v>0</v>
      </c>
      <c r="S38" s="756">
        <f t="shared" si="28"/>
        <v>0</v>
      </c>
      <c r="T38" s="756">
        <f t="shared" si="28"/>
        <v>0</v>
      </c>
      <c r="U38" s="756">
        <f t="shared" si="28"/>
        <v>0</v>
      </c>
      <c r="V38" s="756">
        <f t="shared" si="28"/>
        <v>0</v>
      </c>
      <c r="W38" s="756">
        <f t="shared" si="28"/>
        <v>0</v>
      </c>
      <c r="X38" s="756">
        <f t="shared" si="28"/>
        <v>0</v>
      </c>
      <c r="Y38" s="756">
        <f t="shared" si="28"/>
        <v>0</v>
      </c>
      <c r="Z38" s="756">
        <f t="shared" si="28"/>
        <v>0</v>
      </c>
      <c r="AA38" s="756">
        <f t="shared" si="28"/>
        <v>0</v>
      </c>
      <c r="AB38" s="756">
        <f t="shared" si="28"/>
        <v>0</v>
      </c>
      <c r="AC38" s="757">
        <f t="shared" si="28"/>
        <v>0</v>
      </c>
      <c r="AD38" s="83"/>
      <c r="AE38" s="1"/>
    </row>
    <row r="39" spans="8:31" ht="15.75" x14ac:dyDescent="0.25">
      <c r="H39" s="31"/>
      <c r="I39" s="38"/>
      <c r="J39" s="31" t="s">
        <v>29</v>
      </c>
      <c r="K39" s="38"/>
      <c r="L39" s="92" t="str">
        <f>IFERROR(SUM(N38:AC38)/SUM(N16:AC16),"")</f>
        <v/>
      </c>
      <c r="N39" s="93" t="str">
        <f t="shared" ref="N39:AC39" si="29">IFERROR(N38/N16,"")</f>
        <v/>
      </c>
      <c r="O39" s="94" t="str">
        <f t="shared" si="29"/>
        <v/>
      </c>
      <c r="P39" s="94" t="str">
        <f t="shared" si="29"/>
        <v/>
      </c>
      <c r="Q39" s="94" t="str">
        <f t="shared" si="29"/>
        <v/>
      </c>
      <c r="R39" s="94" t="str">
        <f t="shared" si="29"/>
        <v/>
      </c>
      <c r="S39" s="94" t="str">
        <f t="shared" si="29"/>
        <v/>
      </c>
      <c r="T39" s="94" t="str">
        <f t="shared" si="29"/>
        <v/>
      </c>
      <c r="U39" s="94" t="str">
        <f t="shared" si="29"/>
        <v/>
      </c>
      <c r="V39" s="94" t="str">
        <f t="shared" si="29"/>
        <v/>
      </c>
      <c r="W39" s="94" t="str">
        <f t="shared" si="29"/>
        <v/>
      </c>
      <c r="X39" s="94" t="str">
        <f t="shared" si="29"/>
        <v/>
      </c>
      <c r="Y39" s="94" t="str">
        <f t="shared" si="29"/>
        <v/>
      </c>
      <c r="Z39" s="94" t="str">
        <f t="shared" si="29"/>
        <v/>
      </c>
      <c r="AA39" s="94" t="str">
        <f t="shared" si="29"/>
        <v/>
      </c>
      <c r="AB39" s="94" t="str">
        <f t="shared" si="29"/>
        <v/>
      </c>
      <c r="AC39" s="95" t="str">
        <f t="shared" si="29"/>
        <v/>
      </c>
      <c r="AD39" s="1"/>
      <c r="AE39" s="1"/>
    </row>
    <row r="40" spans="8:31" x14ac:dyDescent="0.3">
      <c r="I40" s="96"/>
      <c r="J40" s="97" t="s">
        <v>30</v>
      </c>
      <c r="L40" s="758">
        <f>IFERROR(AVERAGEIF(N40:AC40,"&gt;0",N40:AC40),)</f>
        <v>0</v>
      </c>
      <c r="M40" s="750"/>
      <c r="N40" s="751">
        <f t="shared" ref="N40:AC40" si="30">N200</f>
        <v>0</v>
      </c>
      <c r="O40" s="752">
        <f t="shared" si="30"/>
        <v>0</v>
      </c>
      <c r="P40" s="752">
        <f t="shared" si="30"/>
        <v>0</v>
      </c>
      <c r="Q40" s="752">
        <f t="shared" si="30"/>
        <v>0</v>
      </c>
      <c r="R40" s="752">
        <f t="shared" si="30"/>
        <v>0</v>
      </c>
      <c r="S40" s="752">
        <f t="shared" si="30"/>
        <v>0</v>
      </c>
      <c r="T40" s="752">
        <f t="shared" si="30"/>
        <v>0</v>
      </c>
      <c r="U40" s="752">
        <f t="shared" si="30"/>
        <v>0</v>
      </c>
      <c r="V40" s="752">
        <f t="shared" si="30"/>
        <v>0</v>
      </c>
      <c r="W40" s="752">
        <f t="shared" si="30"/>
        <v>0</v>
      </c>
      <c r="X40" s="752">
        <f t="shared" si="30"/>
        <v>0</v>
      </c>
      <c r="Y40" s="752">
        <f t="shared" si="30"/>
        <v>0</v>
      </c>
      <c r="Z40" s="752">
        <f t="shared" si="30"/>
        <v>0</v>
      </c>
      <c r="AA40" s="752">
        <f t="shared" si="30"/>
        <v>0</v>
      </c>
      <c r="AB40" s="752">
        <f t="shared" si="30"/>
        <v>0</v>
      </c>
      <c r="AC40" s="753">
        <f t="shared" si="30"/>
        <v>0</v>
      </c>
      <c r="AD40" s="83"/>
      <c r="AE40" s="1"/>
    </row>
    <row r="41" spans="8:31" x14ac:dyDescent="0.3">
      <c r="I41" s="96"/>
      <c r="J41" s="97" t="s">
        <v>299</v>
      </c>
      <c r="L41" s="758">
        <f>IFERROR(AVERAGEIF(N41:AC41,"&gt;0",N41:AC41),)</f>
        <v>0</v>
      </c>
      <c r="M41" s="750"/>
      <c r="N41" s="751">
        <f>SUM(N42:N45)</f>
        <v>0</v>
      </c>
      <c r="O41" s="752">
        <f t="shared" ref="O41:AC41" si="31">SUM(O42:O45)</f>
        <v>0</v>
      </c>
      <c r="P41" s="752">
        <f t="shared" si="31"/>
        <v>0</v>
      </c>
      <c r="Q41" s="752">
        <f t="shared" si="31"/>
        <v>0</v>
      </c>
      <c r="R41" s="752">
        <f t="shared" si="31"/>
        <v>0</v>
      </c>
      <c r="S41" s="752">
        <f t="shared" si="31"/>
        <v>0</v>
      </c>
      <c r="T41" s="752">
        <f t="shared" si="31"/>
        <v>0</v>
      </c>
      <c r="U41" s="752">
        <f t="shared" si="31"/>
        <v>0</v>
      </c>
      <c r="V41" s="752">
        <f t="shared" si="31"/>
        <v>0</v>
      </c>
      <c r="W41" s="752">
        <f t="shared" si="31"/>
        <v>0</v>
      </c>
      <c r="X41" s="752">
        <f t="shared" si="31"/>
        <v>0</v>
      </c>
      <c r="Y41" s="752">
        <f t="shared" si="31"/>
        <v>0</v>
      </c>
      <c r="Z41" s="752">
        <f t="shared" si="31"/>
        <v>0</v>
      </c>
      <c r="AA41" s="752">
        <f t="shared" si="31"/>
        <v>0</v>
      </c>
      <c r="AB41" s="752">
        <f t="shared" si="31"/>
        <v>0</v>
      </c>
      <c r="AC41" s="753">
        <f t="shared" si="31"/>
        <v>0</v>
      </c>
      <c r="AD41" s="83"/>
      <c r="AE41" s="1"/>
    </row>
    <row r="42" spans="8:31" x14ac:dyDescent="0.3">
      <c r="I42" s="96"/>
      <c r="J42" s="456" t="s">
        <v>295</v>
      </c>
      <c r="L42" s="759">
        <f>IFERROR(AVERAGEIF(N42:AC42,"&gt;0",N42:AC42),)</f>
        <v>0</v>
      </c>
      <c r="M42" s="760"/>
      <c r="N42" s="761">
        <f>N201</f>
        <v>0</v>
      </c>
      <c r="O42" s="762">
        <f t="shared" ref="O42:AC42" si="32">O201</f>
        <v>0</v>
      </c>
      <c r="P42" s="762">
        <f t="shared" si="32"/>
        <v>0</v>
      </c>
      <c r="Q42" s="762">
        <f t="shared" si="32"/>
        <v>0</v>
      </c>
      <c r="R42" s="762">
        <f t="shared" si="32"/>
        <v>0</v>
      </c>
      <c r="S42" s="762">
        <f t="shared" si="32"/>
        <v>0</v>
      </c>
      <c r="T42" s="762">
        <f t="shared" si="32"/>
        <v>0</v>
      </c>
      <c r="U42" s="762">
        <f t="shared" si="32"/>
        <v>0</v>
      </c>
      <c r="V42" s="762">
        <f t="shared" si="32"/>
        <v>0</v>
      </c>
      <c r="W42" s="762">
        <f t="shared" si="32"/>
        <v>0</v>
      </c>
      <c r="X42" s="762">
        <f t="shared" si="32"/>
        <v>0</v>
      </c>
      <c r="Y42" s="762">
        <f t="shared" si="32"/>
        <v>0</v>
      </c>
      <c r="Z42" s="762">
        <f t="shared" si="32"/>
        <v>0</v>
      </c>
      <c r="AA42" s="762">
        <f t="shared" si="32"/>
        <v>0</v>
      </c>
      <c r="AB42" s="762">
        <f t="shared" si="32"/>
        <v>0</v>
      </c>
      <c r="AC42" s="763">
        <f t="shared" si="32"/>
        <v>0</v>
      </c>
      <c r="AD42" s="83"/>
      <c r="AE42" s="1"/>
    </row>
    <row r="43" spans="8:31" x14ac:dyDescent="0.3">
      <c r="I43" s="96"/>
      <c r="J43" s="456" t="s">
        <v>296</v>
      </c>
      <c r="L43" s="759">
        <f t="shared" ref="L43:L45" si="33">IFERROR(AVERAGEIF(N43:AC43,"&gt;0",N43:AC43),)</f>
        <v>0</v>
      </c>
      <c r="M43" s="760"/>
      <c r="N43" s="761">
        <f t="shared" ref="N43:AC43" si="34">N202</f>
        <v>0</v>
      </c>
      <c r="O43" s="762">
        <f t="shared" si="34"/>
        <v>0</v>
      </c>
      <c r="P43" s="762">
        <f t="shared" si="34"/>
        <v>0</v>
      </c>
      <c r="Q43" s="762">
        <f t="shared" si="34"/>
        <v>0</v>
      </c>
      <c r="R43" s="762">
        <f t="shared" si="34"/>
        <v>0</v>
      </c>
      <c r="S43" s="762">
        <f t="shared" si="34"/>
        <v>0</v>
      </c>
      <c r="T43" s="762">
        <f t="shared" si="34"/>
        <v>0</v>
      </c>
      <c r="U43" s="762">
        <f t="shared" si="34"/>
        <v>0</v>
      </c>
      <c r="V43" s="762">
        <f t="shared" si="34"/>
        <v>0</v>
      </c>
      <c r="W43" s="762">
        <f t="shared" si="34"/>
        <v>0</v>
      </c>
      <c r="X43" s="762">
        <f t="shared" si="34"/>
        <v>0</v>
      </c>
      <c r="Y43" s="762">
        <f t="shared" si="34"/>
        <v>0</v>
      </c>
      <c r="Z43" s="762">
        <f t="shared" si="34"/>
        <v>0</v>
      </c>
      <c r="AA43" s="762">
        <f t="shared" si="34"/>
        <v>0</v>
      </c>
      <c r="AB43" s="762">
        <f t="shared" si="34"/>
        <v>0</v>
      </c>
      <c r="AC43" s="763">
        <f t="shared" si="34"/>
        <v>0</v>
      </c>
      <c r="AD43" s="83"/>
      <c r="AE43" s="1"/>
    </row>
    <row r="44" spans="8:31" x14ac:dyDescent="0.3">
      <c r="I44" s="96"/>
      <c r="J44" s="456" t="s">
        <v>458</v>
      </c>
      <c r="L44" s="759">
        <f t="shared" si="33"/>
        <v>0</v>
      </c>
      <c r="M44" s="760"/>
      <c r="N44" s="761">
        <f t="shared" ref="N44:AC44" si="35">N203</f>
        <v>0</v>
      </c>
      <c r="O44" s="762">
        <f t="shared" si="35"/>
        <v>0</v>
      </c>
      <c r="P44" s="762">
        <f t="shared" si="35"/>
        <v>0</v>
      </c>
      <c r="Q44" s="762">
        <f t="shared" si="35"/>
        <v>0</v>
      </c>
      <c r="R44" s="762">
        <f t="shared" si="35"/>
        <v>0</v>
      </c>
      <c r="S44" s="762">
        <f t="shared" si="35"/>
        <v>0</v>
      </c>
      <c r="T44" s="762">
        <f t="shared" si="35"/>
        <v>0</v>
      </c>
      <c r="U44" s="762">
        <f t="shared" si="35"/>
        <v>0</v>
      </c>
      <c r="V44" s="762">
        <f t="shared" si="35"/>
        <v>0</v>
      </c>
      <c r="W44" s="762">
        <f t="shared" si="35"/>
        <v>0</v>
      </c>
      <c r="X44" s="762">
        <f t="shared" si="35"/>
        <v>0</v>
      </c>
      <c r="Y44" s="762">
        <f t="shared" si="35"/>
        <v>0</v>
      </c>
      <c r="Z44" s="762">
        <f t="shared" si="35"/>
        <v>0</v>
      </c>
      <c r="AA44" s="762">
        <f t="shared" si="35"/>
        <v>0</v>
      </c>
      <c r="AB44" s="762">
        <f t="shared" si="35"/>
        <v>0</v>
      </c>
      <c r="AC44" s="763">
        <f t="shared" si="35"/>
        <v>0</v>
      </c>
      <c r="AD44" s="83"/>
      <c r="AE44" s="1"/>
    </row>
    <row r="45" spans="8:31" x14ac:dyDescent="0.3">
      <c r="I45" s="96"/>
      <c r="J45" s="456" t="s">
        <v>298</v>
      </c>
      <c r="L45" s="759">
        <f t="shared" si="33"/>
        <v>0</v>
      </c>
      <c r="M45" s="760"/>
      <c r="N45" s="761">
        <f t="shared" ref="N45:AC45" si="36">N204</f>
        <v>0</v>
      </c>
      <c r="O45" s="762">
        <f t="shared" si="36"/>
        <v>0</v>
      </c>
      <c r="P45" s="762">
        <f t="shared" si="36"/>
        <v>0</v>
      </c>
      <c r="Q45" s="762">
        <f t="shared" si="36"/>
        <v>0</v>
      </c>
      <c r="R45" s="762">
        <f t="shared" si="36"/>
        <v>0</v>
      </c>
      <c r="S45" s="762">
        <f t="shared" si="36"/>
        <v>0</v>
      </c>
      <c r="T45" s="762">
        <f t="shared" si="36"/>
        <v>0</v>
      </c>
      <c r="U45" s="762">
        <f t="shared" si="36"/>
        <v>0</v>
      </c>
      <c r="V45" s="762">
        <f t="shared" si="36"/>
        <v>0</v>
      </c>
      <c r="W45" s="762">
        <f t="shared" si="36"/>
        <v>0</v>
      </c>
      <c r="X45" s="762">
        <f t="shared" si="36"/>
        <v>0</v>
      </c>
      <c r="Y45" s="762">
        <f t="shared" si="36"/>
        <v>0</v>
      </c>
      <c r="Z45" s="762">
        <f t="shared" si="36"/>
        <v>0</v>
      </c>
      <c r="AA45" s="762">
        <f t="shared" si="36"/>
        <v>0</v>
      </c>
      <c r="AB45" s="762">
        <f t="shared" si="36"/>
        <v>0</v>
      </c>
      <c r="AC45" s="763">
        <f t="shared" si="36"/>
        <v>0</v>
      </c>
      <c r="AD45" s="83"/>
      <c r="AE45" s="1"/>
    </row>
    <row r="46" spans="8:31" x14ac:dyDescent="0.3">
      <c r="I46" s="96"/>
      <c r="J46" s="97" t="s">
        <v>31</v>
      </c>
      <c r="L46" s="758">
        <f>IFERROR(AVERAGEIF(N46:AC46,"&lt;0",N46:AC46),)</f>
        <v>0</v>
      </c>
      <c r="M46" s="750"/>
      <c r="N46" s="751">
        <f>-N211</f>
        <v>0</v>
      </c>
      <c r="O46" s="752">
        <f>-O211</f>
        <v>0</v>
      </c>
      <c r="P46" s="752">
        <f t="shared" ref="P46:AC46" si="37">-P211</f>
        <v>0</v>
      </c>
      <c r="Q46" s="752">
        <f t="shared" si="37"/>
        <v>0</v>
      </c>
      <c r="R46" s="752">
        <f t="shared" si="37"/>
        <v>0</v>
      </c>
      <c r="S46" s="752">
        <f t="shared" si="37"/>
        <v>0</v>
      </c>
      <c r="T46" s="752">
        <f t="shared" si="37"/>
        <v>0</v>
      </c>
      <c r="U46" s="752">
        <f t="shared" si="37"/>
        <v>0</v>
      </c>
      <c r="V46" s="752">
        <f t="shared" si="37"/>
        <v>0</v>
      </c>
      <c r="W46" s="752">
        <f t="shared" si="37"/>
        <v>0</v>
      </c>
      <c r="X46" s="752">
        <f t="shared" si="37"/>
        <v>0</v>
      </c>
      <c r="Y46" s="752">
        <f t="shared" si="37"/>
        <v>0</v>
      </c>
      <c r="Z46" s="752">
        <f t="shared" si="37"/>
        <v>0</v>
      </c>
      <c r="AA46" s="752">
        <f t="shared" si="37"/>
        <v>0</v>
      </c>
      <c r="AB46" s="752">
        <f t="shared" si="37"/>
        <v>0</v>
      </c>
      <c r="AC46" s="753">
        <f t="shared" si="37"/>
        <v>0</v>
      </c>
      <c r="AD46" s="83"/>
      <c r="AE46" s="1"/>
    </row>
    <row r="47" spans="8:31" x14ac:dyDescent="0.3">
      <c r="I47" s="96"/>
      <c r="J47" s="97" t="s">
        <v>32</v>
      </c>
      <c r="L47" s="758">
        <f>IFERROR(AVERAGEIF(N47:AC47,"&gt;0",N47:AC47),)</f>
        <v>0</v>
      </c>
      <c r="M47" s="750"/>
      <c r="N47" s="751">
        <f>N206</f>
        <v>0</v>
      </c>
      <c r="O47" s="752">
        <f t="shared" ref="O47:AC47" si="38">O206</f>
        <v>0</v>
      </c>
      <c r="P47" s="752">
        <f t="shared" si="38"/>
        <v>0</v>
      </c>
      <c r="Q47" s="752">
        <f t="shared" si="38"/>
        <v>0</v>
      </c>
      <c r="R47" s="752">
        <f t="shared" si="38"/>
        <v>0</v>
      </c>
      <c r="S47" s="752">
        <f t="shared" si="38"/>
        <v>0</v>
      </c>
      <c r="T47" s="752">
        <f t="shared" si="38"/>
        <v>0</v>
      </c>
      <c r="U47" s="752">
        <f t="shared" si="38"/>
        <v>0</v>
      </c>
      <c r="V47" s="752">
        <f t="shared" si="38"/>
        <v>0</v>
      </c>
      <c r="W47" s="752">
        <f t="shared" si="38"/>
        <v>0</v>
      </c>
      <c r="X47" s="752">
        <f t="shared" si="38"/>
        <v>0</v>
      </c>
      <c r="Y47" s="752">
        <f t="shared" si="38"/>
        <v>0</v>
      </c>
      <c r="Z47" s="752">
        <f t="shared" si="38"/>
        <v>0</v>
      </c>
      <c r="AA47" s="752">
        <f t="shared" si="38"/>
        <v>0</v>
      </c>
      <c r="AB47" s="752">
        <f t="shared" si="38"/>
        <v>0</v>
      </c>
      <c r="AC47" s="753">
        <f t="shared" si="38"/>
        <v>0</v>
      </c>
      <c r="AD47" s="83"/>
      <c r="AE47" s="1"/>
    </row>
    <row r="48" spans="8:31" x14ac:dyDescent="0.3">
      <c r="I48" s="96"/>
      <c r="J48" s="97" t="s">
        <v>33</v>
      </c>
      <c r="L48" s="764">
        <f>IFERROR(AVERAGEIF(N48:AC48,"&gt;&lt;0",N48:AC48),)</f>
        <v>0</v>
      </c>
      <c r="M48" s="750"/>
      <c r="N48" s="765">
        <f>N205-N212</f>
        <v>0</v>
      </c>
      <c r="O48" s="766">
        <f t="shared" ref="O48:AC48" si="39">O205-O212</f>
        <v>0</v>
      </c>
      <c r="P48" s="766">
        <f t="shared" si="39"/>
        <v>0</v>
      </c>
      <c r="Q48" s="766">
        <f t="shared" si="39"/>
        <v>0</v>
      </c>
      <c r="R48" s="766">
        <f t="shared" si="39"/>
        <v>0</v>
      </c>
      <c r="S48" s="766">
        <f t="shared" si="39"/>
        <v>0</v>
      </c>
      <c r="T48" s="766">
        <f t="shared" si="39"/>
        <v>0</v>
      </c>
      <c r="U48" s="766">
        <f t="shared" si="39"/>
        <v>0</v>
      </c>
      <c r="V48" s="766">
        <f t="shared" si="39"/>
        <v>0</v>
      </c>
      <c r="W48" s="766">
        <f t="shared" si="39"/>
        <v>0</v>
      </c>
      <c r="X48" s="766">
        <f t="shared" si="39"/>
        <v>0</v>
      </c>
      <c r="Y48" s="766">
        <f t="shared" si="39"/>
        <v>0</v>
      </c>
      <c r="Z48" s="766">
        <f t="shared" si="39"/>
        <v>0</v>
      </c>
      <c r="AA48" s="766">
        <f t="shared" si="39"/>
        <v>0</v>
      </c>
      <c r="AB48" s="766">
        <f t="shared" si="39"/>
        <v>0</v>
      </c>
      <c r="AC48" s="767">
        <f t="shared" si="39"/>
        <v>0</v>
      </c>
      <c r="AD48" s="83"/>
      <c r="AE48" s="1"/>
    </row>
    <row r="49" spans="8:31" ht="15.75" x14ac:dyDescent="0.25">
      <c r="I49" s="38"/>
      <c r="J49" s="31" t="s">
        <v>34</v>
      </c>
      <c r="K49" s="98" t="str">
        <f>K297</f>
        <v>OK,Fully Amortized</v>
      </c>
      <c r="L49" s="768">
        <f>IFERROR(AVERAGEIF(N49:AC49,"&gt;0",N49:AC49),)</f>
        <v>0</v>
      </c>
      <c r="M49" s="750"/>
      <c r="N49" s="769">
        <f>N207</f>
        <v>0</v>
      </c>
      <c r="O49" s="770">
        <f t="shared" ref="O49:AC49" si="40">O207</f>
        <v>0</v>
      </c>
      <c r="P49" s="770">
        <f t="shared" si="40"/>
        <v>0</v>
      </c>
      <c r="Q49" s="770">
        <f t="shared" si="40"/>
        <v>0</v>
      </c>
      <c r="R49" s="770">
        <f t="shared" si="40"/>
        <v>0</v>
      </c>
      <c r="S49" s="770">
        <f t="shared" si="40"/>
        <v>0</v>
      </c>
      <c r="T49" s="770">
        <f t="shared" si="40"/>
        <v>0</v>
      </c>
      <c r="U49" s="770">
        <f t="shared" si="40"/>
        <v>0</v>
      </c>
      <c r="V49" s="770">
        <f t="shared" si="40"/>
        <v>0</v>
      </c>
      <c r="W49" s="770">
        <f t="shared" si="40"/>
        <v>0</v>
      </c>
      <c r="X49" s="770">
        <f t="shared" si="40"/>
        <v>0</v>
      </c>
      <c r="Y49" s="770">
        <f t="shared" si="40"/>
        <v>0</v>
      </c>
      <c r="Z49" s="770">
        <f t="shared" si="40"/>
        <v>0</v>
      </c>
      <c r="AA49" s="770">
        <f t="shared" si="40"/>
        <v>0</v>
      </c>
      <c r="AB49" s="770">
        <f t="shared" si="40"/>
        <v>0</v>
      </c>
      <c r="AC49" s="771">
        <f t="shared" si="40"/>
        <v>0</v>
      </c>
      <c r="AD49" s="83"/>
      <c r="AE49" s="1"/>
    </row>
    <row r="50" spans="8:31" thickBot="1" x14ac:dyDescent="0.3">
      <c r="I50" s="99"/>
      <c r="J50" s="31"/>
      <c r="K50" s="31"/>
      <c r="L50" s="100"/>
      <c r="N50" s="101"/>
      <c r="O50" s="102"/>
      <c r="P50" s="102"/>
      <c r="Q50" s="102"/>
      <c r="R50" s="102"/>
      <c r="S50" s="102"/>
      <c r="T50" s="102"/>
      <c r="U50" s="102"/>
      <c r="V50" s="102"/>
      <c r="W50" s="102"/>
      <c r="X50" s="102"/>
      <c r="Y50" s="102"/>
      <c r="Z50" s="102"/>
      <c r="AA50" s="102"/>
      <c r="AB50" s="102"/>
      <c r="AC50" s="103"/>
      <c r="AD50" s="1"/>
      <c r="AE50" s="1"/>
    </row>
    <row r="51" spans="8:31" ht="18" outlineLevel="1" x14ac:dyDescent="0.2">
      <c r="I51" s="104" t="s">
        <v>35</v>
      </c>
      <c r="J51" s="105" t="s">
        <v>36</v>
      </c>
      <c r="K51" s="105"/>
      <c r="L51" s="105" t="s">
        <v>8</v>
      </c>
      <c r="M51" s="106"/>
      <c r="N51" s="107">
        <f>N$11</f>
        <v>2024</v>
      </c>
      <c r="O51" s="107">
        <f t="shared" ref="O51:AC51" si="41">O$11</f>
        <v>2025</v>
      </c>
      <c r="P51" s="107">
        <f t="shared" si="41"/>
        <v>2026</v>
      </c>
      <c r="Q51" s="107">
        <f t="shared" si="41"/>
        <v>2027</v>
      </c>
      <c r="R51" s="107">
        <f t="shared" si="41"/>
        <v>2028</v>
      </c>
      <c r="S51" s="107">
        <f t="shared" si="41"/>
        <v>2029</v>
      </c>
      <c r="T51" s="107">
        <f t="shared" si="41"/>
        <v>2030</v>
      </c>
      <c r="U51" s="107">
        <f t="shared" si="41"/>
        <v>2031</v>
      </c>
      <c r="V51" s="107">
        <f t="shared" si="41"/>
        <v>2032</v>
      </c>
      <c r="W51" s="107">
        <f t="shared" si="41"/>
        <v>2033</v>
      </c>
      <c r="X51" s="107">
        <f t="shared" si="41"/>
        <v>2034</v>
      </c>
      <c r="Y51" s="107">
        <f t="shared" si="41"/>
        <v>2035</v>
      </c>
      <c r="Z51" s="107">
        <f t="shared" si="41"/>
        <v>2036</v>
      </c>
      <c r="AA51" s="107">
        <f t="shared" si="41"/>
        <v>2037</v>
      </c>
      <c r="AB51" s="107">
        <f t="shared" si="41"/>
        <v>2038</v>
      </c>
      <c r="AC51" s="107">
        <f t="shared" si="41"/>
        <v>2039</v>
      </c>
      <c r="AD51" s="1"/>
      <c r="AE51" s="1"/>
    </row>
    <row r="52" spans="8:31" ht="25.5" customHeight="1" outlineLevel="1" x14ac:dyDescent="0.4">
      <c r="I52" s="99">
        <v>1</v>
      </c>
      <c r="J52" s="39" t="s">
        <v>37</v>
      </c>
      <c r="K52" s="31"/>
      <c r="L52" s="108" t="s">
        <v>11</v>
      </c>
      <c r="N52" s="109"/>
      <c r="O52" s="110"/>
      <c r="P52" s="110"/>
      <c r="Q52" s="110"/>
      <c r="R52" s="110"/>
      <c r="S52" s="110"/>
      <c r="T52" s="110"/>
      <c r="U52" s="110"/>
      <c r="V52" s="110"/>
      <c r="W52" s="110"/>
      <c r="X52" s="110"/>
      <c r="Y52" s="110"/>
      <c r="Z52" s="110"/>
      <c r="AA52" s="110"/>
      <c r="AB52" s="110"/>
      <c r="AC52" s="111"/>
      <c r="AD52" s="1"/>
      <c r="AE52" s="1"/>
    </row>
    <row r="53" spans="8:31" ht="18.75" customHeight="1" outlineLevel="1" x14ac:dyDescent="0.25">
      <c r="H53" s="31"/>
      <c r="I53" s="99"/>
      <c r="J53" s="31" t="s">
        <v>38</v>
      </c>
      <c r="K53" s="38"/>
      <c r="L53" s="82">
        <f>SUM(N53:AC53)</f>
        <v>0</v>
      </c>
      <c r="N53" s="55">
        <f t="shared" ref="N53:AC53" si="42">N228</f>
        <v>0</v>
      </c>
      <c r="O53" s="56">
        <f t="shared" si="42"/>
        <v>0</v>
      </c>
      <c r="P53" s="56">
        <f t="shared" si="42"/>
        <v>0</v>
      </c>
      <c r="Q53" s="56">
        <f t="shared" si="42"/>
        <v>0</v>
      </c>
      <c r="R53" s="56">
        <f t="shared" si="42"/>
        <v>0</v>
      </c>
      <c r="S53" s="56">
        <f t="shared" si="42"/>
        <v>0</v>
      </c>
      <c r="T53" s="56">
        <f t="shared" si="42"/>
        <v>0</v>
      </c>
      <c r="U53" s="56">
        <f t="shared" si="42"/>
        <v>0</v>
      </c>
      <c r="V53" s="56">
        <f t="shared" si="42"/>
        <v>0</v>
      </c>
      <c r="W53" s="56">
        <f t="shared" si="42"/>
        <v>0</v>
      </c>
      <c r="X53" s="56">
        <f t="shared" si="42"/>
        <v>0</v>
      </c>
      <c r="Y53" s="56">
        <f t="shared" si="42"/>
        <v>0</v>
      </c>
      <c r="Z53" s="56">
        <f t="shared" si="42"/>
        <v>0</v>
      </c>
      <c r="AA53" s="56">
        <f t="shared" si="42"/>
        <v>0</v>
      </c>
      <c r="AB53" s="56">
        <f t="shared" si="42"/>
        <v>0</v>
      </c>
      <c r="AC53" s="57">
        <f t="shared" si="42"/>
        <v>0</v>
      </c>
      <c r="AD53" s="1"/>
      <c r="AE53" s="1"/>
    </row>
    <row r="54" spans="8:31" ht="18.75" customHeight="1" outlineLevel="1" x14ac:dyDescent="0.25">
      <c r="H54" s="31"/>
      <c r="I54" s="99"/>
      <c r="J54" s="31" t="s">
        <v>39</v>
      </c>
      <c r="K54" s="38"/>
      <c r="L54" s="82">
        <f>SUM(N54:AC54)</f>
        <v>0</v>
      </c>
      <c r="N54" s="55">
        <f t="shared" ref="N54:AC54" si="43">-N232</f>
        <v>0</v>
      </c>
      <c r="O54" s="56">
        <f t="shared" si="43"/>
        <v>0</v>
      </c>
      <c r="P54" s="56">
        <f t="shared" si="43"/>
        <v>0</v>
      </c>
      <c r="Q54" s="56">
        <f t="shared" si="43"/>
        <v>0</v>
      </c>
      <c r="R54" s="56">
        <f t="shared" si="43"/>
        <v>0</v>
      </c>
      <c r="S54" s="56">
        <f t="shared" si="43"/>
        <v>0</v>
      </c>
      <c r="T54" s="56">
        <f t="shared" si="43"/>
        <v>0</v>
      </c>
      <c r="U54" s="56">
        <f t="shared" si="43"/>
        <v>0</v>
      </c>
      <c r="V54" s="56">
        <f t="shared" si="43"/>
        <v>0</v>
      </c>
      <c r="W54" s="56">
        <f t="shared" si="43"/>
        <v>0</v>
      </c>
      <c r="X54" s="56">
        <f t="shared" si="43"/>
        <v>0</v>
      </c>
      <c r="Y54" s="56">
        <f t="shared" si="43"/>
        <v>0</v>
      </c>
      <c r="Z54" s="56">
        <f t="shared" si="43"/>
        <v>0</v>
      </c>
      <c r="AA54" s="56">
        <f t="shared" si="43"/>
        <v>0</v>
      </c>
      <c r="AB54" s="56">
        <f t="shared" si="43"/>
        <v>0</v>
      </c>
      <c r="AC54" s="57">
        <f t="shared" si="43"/>
        <v>0</v>
      </c>
      <c r="AD54" s="1"/>
      <c r="AE54" s="1"/>
    </row>
    <row r="55" spans="8:31" ht="18.75" customHeight="1" outlineLevel="1" x14ac:dyDescent="0.25">
      <c r="H55" s="31"/>
      <c r="I55" s="99"/>
      <c r="J55" s="31" t="s">
        <v>40</v>
      </c>
      <c r="K55" s="38"/>
      <c r="L55" s="112">
        <f>SUM(N55:AC55)</f>
        <v>0</v>
      </c>
      <c r="N55" s="113">
        <f t="shared" ref="N55:AC55" si="44">SUM(N53:N54)</f>
        <v>0</v>
      </c>
      <c r="O55" s="114">
        <f t="shared" si="44"/>
        <v>0</v>
      </c>
      <c r="P55" s="114">
        <f t="shared" si="44"/>
        <v>0</v>
      </c>
      <c r="Q55" s="114">
        <f t="shared" si="44"/>
        <v>0</v>
      </c>
      <c r="R55" s="114">
        <f t="shared" si="44"/>
        <v>0</v>
      </c>
      <c r="S55" s="114">
        <f t="shared" si="44"/>
        <v>0</v>
      </c>
      <c r="T55" s="114">
        <f t="shared" si="44"/>
        <v>0</v>
      </c>
      <c r="U55" s="114">
        <f t="shared" si="44"/>
        <v>0</v>
      </c>
      <c r="V55" s="114">
        <f t="shared" si="44"/>
        <v>0</v>
      </c>
      <c r="W55" s="114">
        <f t="shared" si="44"/>
        <v>0</v>
      </c>
      <c r="X55" s="114">
        <f t="shared" si="44"/>
        <v>0</v>
      </c>
      <c r="Y55" s="114">
        <f t="shared" si="44"/>
        <v>0</v>
      </c>
      <c r="Z55" s="114">
        <f t="shared" si="44"/>
        <v>0</v>
      </c>
      <c r="AA55" s="114">
        <f t="shared" si="44"/>
        <v>0</v>
      </c>
      <c r="AB55" s="114">
        <f t="shared" si="44"/>
        <v>0</v>
      </c>
      <c r="AC55" s="115">
        <f t="shared" si="44"/>
        <v>0</v>
      </c>
      <c r="AD55" s="1"/>
      <c r="AE55" s="1"/>
    </row>
    <row r="56" spans="8:31" ht="18.75" customHeight="1" outlineLevel="1" x14ac:dyDescent="0.25">
      <c r="H56" s="31"/>
      <c r="I56" s="99"/>
      <c r="J56" s="31" t="s">
        <v>41</v>
      </c>
      <c r="K56" s="38"/>
      <c r="L56" s="82">
        <f>AC56</f>
        <v>0</v>
      </c>
      <c r="N56" s="55">
        <f>SUM($N55:N55)</f>
        <v>0</v>
      </c>
      <c r="O56" s="56">
        <f>SUM($N55:O55)</f>
        <v>0</v>
      </c>
      <c r="P56" s="56">
        <f>SUM($N55:P55)</f>
        <v>0</v>
      </c>
      <c r="Q56" s="56">
        <f>SUM($N55:Q55)</f>
        <v>0</v>
      </c>
      <c r="R56" s="56">
        <f>SUM($N55:R55)</f>
        <v>0</v>
      </c>
      <c r="S56" s="56">
        <f>SUM($N55:S55)</f>
        <v>0</v>
      </c>
      <c r="T56" s="56">
        <f>SUM($N55:T55)</f>
        <v>0</v>
      </c>
      <c r="U56" s="56">
        <f>SUM($N55:U55)</f>
        <v>0</v>
      </c>
      <c r="V56" s="56">
        <f>SUM($N55:V55)</f>
        <v>0</v>
      </c>
      <c r="W56" s="56">
        <f>SUM($N55:W55)</f>
        <v>0</v>
      </c>
      <c r="X56" s="56">
        <f>SUM($N55:X55)</f>
        <v>0</v>
      </c>
      <c r="Y56" s="56">
        <f>SUM($N55:Y55)</f>
        <v>0</v>
      </c>
      <c r="Z56" s="56">
        <f>SUM($N55:Z55)</f>
        <v>0</v>
      </c>
      <c r="AA56" s="56">
        <f>SUM($N55:AA55)</f>
        <v>0</v>
      </c>
      <c r="AB56" s="56">
        <f>SUM($N55:AB55)</f>
        <v>0</v>
      </c>
      <c r="AC56" s="57">
        <f>SUM($N55:AC55)</f>
        <v>0</v>
      </c>
      <c r="AD56" s="1"/>
      <c r="AE56" s="1"/>
    </row>
    <row r="57" spans="8:31" ht="18.75" customHeight="1" outlineLevel="1" x14ac:dyDescent="0.25">
      <c r="H57" s="31"/>
      <c r="I57" s="99"/>
      <c r="J57" s="31" t="s">
        <v>42</v>
      </c>
      <c r="K57" s="38"/>
      <c r="L57" s="82">
        <f>AC57</f>
        <v>0</v>
      </c>
      <c r="N57" s="55">
        <f>N199</f>
        <v>0</v>
      </c>
      <c r="O57" s="56">
        <f t="shared" ref="O57:AC57" si="45">O199</f>
        <v>0</v>
      </c>
      <c r="P57" s="56">
        <f t="shared" si="45"/>
        <v>0</v>
      </c>
      <c r="Q57" s="56">
        <f t="shared" si="45"/>
        <v>0</v>
      </c>
      <c r="R57" s="56">
        <f t="shared" si="45"/>
        <v>0</v>
      </c>
      <c r="S57" s="56">
        <f t="shared" si="45"/>
        <v>0</v>
      </c>
      <c r="T57" s="56">
        <f t="shared" si="45"/>
        <v>0</v>
      </c>
      <c r="U57" s="56">
        <f t="shared" si="45"/>
        <v>0</v>
      </c>
      <c r="V57" s="56">
        <f t="shared" si="45"/>
        <v>0</v>
      </c>
      <c r="W57" s="56">
        <f t="shared" si="45"/>
        <v>0</v>
      </c>
      <c r="X57" s="56">
        <f t="shared" si="45"/>
        <v>0</v>
      </c>
      <c r="Y57" s="56">
        <f t="shared" si="45"/>
        <v>0</v>
      </c>
      <c r="Z57" s="56">
        <f t="shared" si="45"/>
        <v>0</v>
      </c>
      <c r="AA57" s="56">
        <f t="shared" si="45"/>
        <v>0</v>
      </c>
      <c r="AB57" s="56">
        <f t="shared" si="45"/>
        <v>0</v>
      </c>
      <c r="AC57" s="57">
        <f t="shared" si="45"/>
        <v>0</v>
      </c>
      <c r="AD57" s="1"/>
      <c r="AE57" s="1"/>
    </row>
    <row r="58" spans="8:31" ht="28.5" customHeight="1" outlineLevel="1" x14ac:dyDescent="0.4">
      <c r="H58" s="31"/>
      <c r="I58" s="99">
        <v>2</v>
      </c>
      <c r="J58" s="39" t="s">
        <v>43</v>
      </c>
      <c r="K58" s="38"/>
      <c r="L58" s="116"/>
      <c r="N58" s="117"/>
      <c r="O58" s="118"/>
      <c r="P58" s="118"/>
      <c r="Q58" s="118"/>
      <c r="R58" s="118"/>
      <c r="S58" s="118"/>
      <c r="T58" s="118"/>
      <c r="U58" s="118"/>
      <c r="V58" s="118"/>
      <c r="W58" s="118"/>
      <c r="X58" s="118"/>
      <c r="Y58" s="118"/>
      <c r="Z58" s="118"/>
      <c r="AA58" s="118"/>
      <c r="AB58" s="118"/>
      <c r="AC58" s="119"/>
      <c r="AD58" s="1"/>
      <c r="AE58" s="1"/>
    </row>
    <row r="59" spans="8:31" ht="18.75" customHeight="1" outlineLevel="1" x14ac:dyDescent="0.25">
      <c r="H59" s="31"/>
      <c r="I59" s="99"/>
      <c r="J59" s="31" t="s">
        <v>44</v>
      </c>
      <c r="K59" s="38" t="s">
        <v>45</v>
      </c>
      <c r="L59" s="82">
        <f>IFERROR(SUM(N59:AC59)/COUNTIF(N59:AC59,"&gt;10000"),0)</f>
        <v>0</v>
      </c>
      <c r="N59" s="55">
        <f t="shared" ref="N59:AC59" si="46">N288</f>
        <v>0</v>
      </c>
      <c r="O59" s="56">
        <f t="shared" si="46"/>
        <v>0</v>
      </c>
      <c r="P59" s="56">
        <f t="shared" si="46"/>
        <v>0</v>
      </c>
      <c r="Q59" s="56">
        <f t="shared" si="46"/>
        <v>0</v>
      </c>
      <c r="R59" s="56">
        <f t="shared" si="46"/>
        <v>0</v>
      </c>
      <c r="S59" s="56">
        <f t="shared" si="46"/>
        <v>0</v>
      </c>
      <c r="T59" s="56">
        <f t="shared" si="46"/>
        <v>0</v>
      </c>
      <c r="U59" s="56">
        <f t="shared" si="46"/>
        <v>0</v>
      </c>
      <c r="V59" s="56">
        <f t="shared" si="46"/>
        <v>0</v>
      </c>
      <c r="W59" s="56">
        <f t="shared" si="46"/>
        <v>0</v>
      </c>
      <c r="X59" s="56">
        <f t="shared" si="46"/>
        <v>0</v>
      </c>
      <c r="Y59" s="56">
        <f t="shared" si="46"/>
        <v>0</v>
      </c>
      <c r="Z59" s="56">
        <f t="shared" si="46"/>
        <v>0</v>
      </c>
      <c r="AA59" s="56">
        <f t="shared" si="46"/>
        <v>0</v>
      </c>
      <c r="AB59" s="56">
        <f t="shared" si="46"/>
        <v>0</v>
      </c>
      <c r="AC59" s="57">
        <f t="shared" si="46"/>
        <v>0</v>
      </c>
      <c r="AD59" s="1"/>
      <c r="AE59" s="1"/>
    </row>
    <row r="60" spans="8:31" ht="18.75" customHeight="1" outlineLevel="1" x14ac:dyDescent="0.25">
      <c r="H60" s="31"/>
      <c r="I60" s="99"/>
      <c r="J60" s="31" t="s">
        <v>46</v>
      </c>
      <c r="K60" s="38" t="s">
        <v>45</v>
      </c>
      <c r="L60" s="82">
        <f>IFERROR(SUM(N60:AC60)/COUNTIF(N60:AC60,"&gt;1000"),0)</f>
        <v>0</v>
      </c>
      <c r="N60" s="55">
        <f t="shared" ref="N60:AC60" si="47">N295</f>
        <v>0</v>
      </c>
      <c r="O60" s="56">
        <f t="shared" si="47"/>
        <v>0</v>
      </c>
      <c r="P60" s="56">
        <f t="shared" si="47"/>
        <v>0</v>
      </c>
      <c r="Q60" s="56">
        <f t="shared" si="47"/>
        <v>0</v>
      </c>
      <c r="R60" s="56">
        <f t="shared" si="47"/>
        <v>0</v>
      </c>
      <c r="S60" s="56">
        <f t="shared" si="47"/>
        <v>0</v>
      </c>
      <c r="T60" s="56">
        <f t="shared" si="47"/>
        <v>0</v>
      </c>
      <c r="U60" s="56">
        <f t="shared" si="47"/>
        <v>0</v>
      </c>
      <c r="V60" s="56">
        <f t="shared" si="47"/>
        <v>0</v>
      </c>
      <c r="W60" s="56">
        <f t="shared" si="47"/>
        <v>0</v>
      </c>
      <c r="X60" s="56">
        <f t="shared" si="47"/>
        <v>0</v>
      </c>
      <c r="Y60" s="56">
        <f t="shared" si="47"/>
        <v>0</v>
      </c>
      <c r="Z60" s="56">
        <f t="shared" si="47"/>
        <v>0</v>
      </c>
      <c r="AA60" s="56">
        <f t="shared" si="47"/>
        <v>0</v>
      </c>
      <c r="AB60" s="56">
        <f t="shared" si="47"/>
        <v>0</v>
      </c>
      <c r="AC60" s="57">
        <f t="shared" si="47"/>
        <v>0</v>
      </c>
      <c r="AD60" s="1"/>
      <c r="AE60" s="1"/>
    </row>
    <row r="61" spans="8:31" ht="18.75" customHeight="1" outlineLevel="1" thickBot="1" x14ac:dyDescent="0.3">
      <c r="H61" s="31"/>
      <c r="I61" s="99"/>
      <c r="J61" s="120" t="s">
        <v>47</v>
      </c>
      <c r="K61" s="38" t="s">
        <v>45</v>
      </c>
      <c r="L61" s="68">
        <f>IFERROR(SUM(N61:AC61)/COUNTIF(N61:AC61,"&gt;10000"),0)</f>
        <v>0</v>
      </c>
      <c r="N61" s="69">
        <f t="shared" ref="N61:AC61" si="48">N314</f>
        <v>0</v>
      </c>
      <c r="O61" s="70">
        <f t="shared" si="48"/>
        <v>0</v>
      </c>
      <c r="P61" s="70">
        <f t="shared" si="48"/>
        <v>0</v>
      </c>
      <c r="Q61" s="70">
        <f t="shared" si="48"/>
        <v>0</v>
      </c>
      <c r="R61" s="70">
        <f t="shared" si="48"/>
        <v>0</v>
      </c>
      <c r="S61" s="70">
        <f t="shared" si="48"/>
        <v>0</v>
      </c>
      <c r="T61" s="70">
        <f t="shared" si="48"/>
        <v>0</v>
      </c>
      <c r="U61" s="70">
        <f t="shared" si="48"/>
        <v>0</v>
      </c>
      <c r="V61" s="70">
        <f t="shared" si="48"/>
        <v>0</v>
      </c>
      <c r="W61" s="70">
        <f t="shared" si="48"/>
        <v>0</v>
      </c>
      <c r="X61" s="70">
        <f t="shared" si="48"/>
        <v>0</v>
      </c>
      <c r="Y61" s="70">
        <f t="shared" si="48"/>
        <v>0</v>
      </c>
      <c r="Z61" s="70">
        <f t="shared" si="48"/>
        <v>0</v>
      </c>
      <c r="AA61" s="70">
        <f t="shared" si="48"/>
        <v>0</v>
      </c>
      <c r="AB61" s="70">
        <f t="shared" si="48"/>
        <v>0</v>
      </c>
      <c r="AC61" s="71">
        <f t="shared" si="48"/>
        <v>0</v>
      </c>
      <c r="AD61" s="1"/>
      <c r="AE61" s="1"/>
    </row>
    <row r="62" spans="8:31" ht="28.5" customHeight="1" outlineLevel="1" thickTop="1" x14ac:dyDescent="0.4">
      <c r="H62" s="31"/>
      <c r="I62" s="99">
        <v>3</v>
      </c>
      <c r="J62" s="39" t="s">
        <v>48</v>
      </c>
      <c r="K62" s="38"/>
      <c r="L62" s="121"/>
      <c r="N62" s="122"/>
      <c r="O62" s="123"/>
      <c r="P62" s="123"/>
      <c r="Q62" s="123"/>
      <c r="R62" s="123"/>
      <c r="S62" s="123"/>
      <c r="T62" s="123"/>
      <c r="U62" s="123"/>
      <c r="V62" s="123"/>
      <c r="W62" s="123"/>
      <c r="X62" s="123"/>
      <c r="Y62" s="123"/>
      <c r="Z62" s="123"/>
      <c r="AA62" s="123"/>
      <c r="AB62" s="123"/>
      <c r="AC62" s="124"/>
      <c r="AD62" s="1"/>
      <c r="AE62" s="1"/>
    </row>
    <row r="63" spans="8:31" ht="18.75" customHeight="1" outlineLevel="1" x14ac:dyDescent="0.25">
      <c r="I63" s="99"/>
      <c r="J63" s="31" t="s">
        <v>49</v>
      </c>
      <c r="K63" s="125" t="s">
        <v>50</v>
      </c>
      <c r="L63" s="82">
        <f>SUM(N63:AC63)</f>
        <v>0</v>
      </c>
      <c r="N63" s="55" t="str">
        <f t="shared" ref="N63:AC64" si="49">IF(N101&lt;=0,"Nil",N101)</f>
        <v>Nil</v>
      </c>
      <c r="O63" s="56" t="str">
        <f t="shared" si="49"/>
        <v>Nil</v>
      </c>
      <c r="P63" s="56" t="str">
        <f t="shared" si="49"/>
        <v>Nil</v>
      </c>
      <c r="Q63" s="56" t="str">
        <f t="shared" si="49"/>
        <v>Nil</v>
      </c>
      <c r="R63" s="56" t="str">
        <f t="shared" si="49"/>
        <v>Nil</v>
      </c>
      <c r="S63" s="56" t="str">
        <f t="shared" si="49"/>
        <v>Nil</v>
      </c>
      <c r="T63" s="56" t="str">
        <f t="shared" si="49"/>
        <v>Nil</v>
      </c>
      <c r="U63" s="56" t="str">
        <f t="shared" si="49"/>
        <v>Nil</v>
      </c>
      <c r="V63" s="56" t="str">
        <f t="shared" si="49"/>
        <v>Nil</v>
      </c>
      <c r="W63" s="56" t="str">
        <f t="shared" si="49"/>
        <v>Nil</v>
      </c>
      <c r="X63" s="56" t="str">
        <f t="shared" si="49"/>
        <v>Nil</v>
      </c>
      <c r="Y63" s="56" t="str">
        <f t="shared" si="49"/>
        <v>Nil</v>
      </c>
      <c r="Z63" s="56" t="str">
        <f t="shared" si="49"/>
        <v>Nil</v>
      </c>
      <c r="AA63" s="56" t="str">
        <f t="shared" si="49"/>
        <v>Nil</v>
      </c>
      <c r="AB63" s="56" t="str">
        <f t="shared" si="49"/>
        <v>Nil</v>
      </c>
      <c r="AC63" s="57" t="str">
        <f t="shared" si="49"/>
        <v>Nil</v>
      </c>
      <c r="AD63" s="1"/>
      <c r="AE63" s="1"/>
    </row>
    <row r="64" spans="8:31" ht="18.75" customHeight="1" outlineLevel="1" x14ac:dyDescent="0.25">
      <c r="H64" s="31"/>
      <c r="I64" s="99"/>
      <c r="J64" s="31" t="s">
        <v>51</v>
      </c>
      <c r="K64" s="125" t="s">
        <v>52</v>
      </c>
      <c r="L64" s="82">
        <f>SUM(N64:AC64)</f>
        <v>0</v>
      </c>
      <c r="N64" s="55" t="str">
        <f t="shared" si="49"/>
        <v>Nil</v>
      </c>
      <c r="O64" s="56" t="str">
        <f t="shared" si="49"/>
        <v>Nil</v>
      </c>
      <c r="P64" s="56" t="str">
        <f t="shared" si="49"/>
        <v>Nil</v>
      </c>
      <c r="Q64" s="56" t="str">
        <f t="shared" si="49"/>
        <v>Nil</v>
      </c>
      <c r="R64" s="56" t="str">
        <f t="shared" si="49"/>
        <v>Nil</v>
      </c>
      <c r="S64" s="56" t="str">
        <f t="shared" si="49"/>
        <v>Nil</v>
      </c>
      <c r="T64" s="56" t="str">
        <f t="shared" si="49"/>
        <v>Nil</v>
      </c>
      <c r="U64" s="56" t="str">
        <f t="shared" si="49"/>
        <v>Nil</v>
      </c>
      <c r="V64" s="56" t="str">
        <f t="shared" si="49"/>
        <v>Nil</v>
      </c>
      <c r="W64" s="56" t="str">
        <f t="shared" si="49"/>
        <v>Nil</v>
      </c>
      <c r="X64" s="56" t="str">
        <f t="shared" si="49"/>
        <v>Nil</v>
      </c>
      <c r="Y64" s="56" t="str">
        <f t="shared" si="49"/>
        <v>Nil</v>
      </c>
      <c r="Z64" s="56" t="str">
        <f t="shared" si="49"/>
        <v>Nil</v>
      </c>
      <c r="AA64" s="56" t="str">
        <f t="shared" si="49"/>
        <v>Nil</v>
      </c>
      <c r="AB64" s="56" t="str">
        <f t="shared" si="49"/>
        <v>Nil</v>
      </c>
      <c r="AC64" s="57" t="str">
        <f t="shared" si="49"/>
        <v>Nil</v>
      </c>
      <c r="AD64" s="1"/>
      <c r="AE64" s="1"/>
    </row>
    <row r="65" spans="8:34" ht="18.75" customHeight="1" outlineLevel="1" thickBot="1" x14ac:dyDescent="0.3">
      <c r="H65" s="31"/>
      <c r="I65" s="99"/>
      <c r="J65" s="31" t="s">
        <v>53</v>
      </c>
      <c r="K65" s="126"/>
      <c r="L65" s="68">
        <f>SUM(N65:AC65)</f>
        <v>0</v>
      </c>
      <c r="N65" s="69">
        <f>SUM(N63:N64)</f>
        <v>0</v>
      </c>
      <c r="O65" s="70">
        <f t="shared" ref="O65:AC65" si="50">SUM(O63:O64)</f>
        <v>0</v>
      </c>
      <c r="P65" s="70">
        <f t="shared" si="50"/>
        <v>0</v>
      </c>
      <c r="Q65" s="70">
        <f t="shared" si="50"/>
        <v>0</v>
      </c>
      <c r="R65" s="70">
        <f t="shared" si="50"/>
        <v>0</v>
      </c>
      <c r="S65" s="70">
        <f t="shared" si="50"/>
        <v>0</v>
      </c>
      <c r="T65" s="70">
        <f t="shared" si="50"/>
        <v>0</v>
      </c>
      <c r="U65" s="70">
        <f t="shared" si="50"/>
        <v>0</v>
      </c>
      <c r="V65" s="70">
        <f t="shared" si="50"/>
        <v>0</v>
      </c>
      <c r="W65" s="70">
        <f t="shared" si="50"/>
        <v>0</v>
      </c>
      <c r="X65" s="70">
        <f t="shared" si="50"/>
        <v>0</v>
      </c>
      <c r="Y65" s="70">
        <f t="shared" si="50"/>
        <v>0</v>
      </c>
      <c r="Z65" s="70">
        <f t="shared" si="50"/>
        <v>0</v>
      </c>
      <c r="AA65" s="70">
        <f t="shared" si="50"/>
        <v>0</v>
      </c>
      <c r="AB65" s="70">
        <f t="shared" si="50"/>
        <v>0</v>
      </c>
      <c r="AC65" s="71">
        <f t="shared" si="50"/>
        <v>0</v>
      </c>
      <c r="AD65" s="1"/>
      <c r="AE65" s="1"/>
    </row>
    <row r="66" spans="8:34" ht="18" outlineLevel="1" thickTop="1" thickBot="1" x14ac:dyDescent="0.35">
      <c r="H66" s="31"/>
      <c r="I66" s="99"/>
      <c r="J66" s="127"/>
      <c r="K66" s="127"/>
      <c r="L66" s="128"/>
      <c r="N66" s="129"/>
      <c r="O66" s="130"/>
      <c r="P66" s="130"/>
      <c r="Q66" s="130"/>
      <c r="R66" s="130"/>
      <c r="S66" s="130"/>
      <c r="T66" s="130"/>
      <c r="U66" s="130"/>
      <c r="V66" s="130"/>
      <c r="W66" s="130"/>
      <c r="X66" s="130"/>
      <c r="Y66" s="130"/>
      <c r="Z66" s="130"/>
      <c r="AA66" s="130"/>
      <c r="AB66" s="130"/>
      <c r="AC66" s="131"/>
      <c r="AD66" s="1"/>
      <c r="AE66" s="1"/>
    </row>
    <row r="67" spans="8:34" ht="18" x14ac:dyDescent="0.2">
      <c r="I67" s="132">
        <v>2</v>
      </c>
      <c r="J67" s="33" t="s">
        <v>54</v>
      </c>
      <c r="K67" s="33"/>
      <c r="L67" s="33"/>
      <c r="N67" s="133">
        <f>N$11</f>
        <v>2024</v>
      </c>
      <c r="O67" s="133">
        <f t="shared" ref="O67:AC67" si="51">O$11</f>
        <v>2025</v>
      </c>
      <c r="P67" s="133">
        <f t="shared" si="51"/>
        <v>2026</v>
      </c>
      <c r="Q67" s="133">
        <f t="shared" si="51"/>
        <v>2027</v>
      </c>
      <c r="R67" s="133">
        <f t="shared" si="51"/>
        <v>2028</v>
      </c>
      <c r="S67" s="133">
        <f t="shared" si="51"/>
        <v>2029</v>
      </c>
      <c r="T67" s="133">
        <f t="shared" si="51"/>
        <v>2030</v>
      </c>
      <c r="U67" s="133">
        <f t="shared" si="51"/>
        <v>2031</v>
      </c>
      <c r="V67" s="133">
        <f t="shared" si="51"/>
        <v>2032</v>
      </c>
      <c r="W67" s="133">
        <f t="shared" si="51"/>
        <v>2033</v>
      </c>
      <c r="X67" s="133">
        <f t="shared" si="51"/>
        <v>2034</v>
      </c>
      <c r="Y67" s="133">
        <f t="shared" si="51"/>
        <v>2035</v>
      </c>
      <c r="Z67" s="133">
        <f t="shared" si="51"/>
        <v>2036</v>
      </c>
      <c r="AA67" s="133">
        <f t="shared" si="51"/>
        <v>2037</v>
      </c>
      <c r="AB67" s="133">
        <f t="shared" si="51"/>
        <v>2038</v>
      </c>
      <c r="AC67" s="133">
        <f t="shared" si="51"/>
        <v>2039</v>
      </c>
      <c r="AD67" s="1"/>
      <c r="AE67" s="1"/>
    </row>
    <row r="68" spans="8:34" x14ac:dyDescent="0.3">
      <c r="I68" s="99"/>
      <c r="J68" s="66"/>
      <c r="K68" s="134" t="s">
        <v>55</v>
      </c>
      <c r="L68" s="135"/>
      <c r="N68" s="66"/>
      <c r="O68" s="66"/>
      <c r="P68" s="66"/>
      <c r="Q68" s="66"/>
      <c r="R68" s="66"/>
      <c r="S68" s="66"/>
      <c r="T68" s="66"/>
      <c r="U68" s="66"/>
      <c r="V68" s="66"/>
      <c r="W68" s="66"/>
      <c r="X68" s="66"/>
      <c r="Y68" s="66"/>
      <c r="Z68" s="66"/>
      <c r="AA68" s="66"/>
      <c r="AB68" s="66"/>
      <c r="AC68" s="66"/>
      <c r="AD68" s="1"/>
      <c r="AE68" s="1"/>
    </row>
    <row r="69" spans="8:34" ht="19.5" customHeight="1" x14ac:dyDescent="0.25">
      <c r="I69" s="38" t="s">
        <v>9</v>
      </c>
      <c r="J69" s="136" t="s">
        <v>384</v>
      </c>
      <c r="K69" s="137" t="s">
        <v>56</v>
      </c>
      <c r="L69" s="772">
        <f>SUM(N69:AC69)</f>
        <v>0</v>
      </c>
      <c r="M69" s="750"/>
      <c r="N69" s="773">
        <f>SUM(N70,N73,N74)</f>
        <v>0</v>
      </c>
      <c r="O69" s="774">
        <f t="shared" ref="O69:AC69" si="52">SUM(O70,O73,O74)</f>
        <v>0</v>
      </c>
      <c r="P69" s="774">
        <f t="shared" si="52"/>
        <v>0</v>
      </c>
      <c r="Q69" s="774">
        <f t="shared" si="52"/>
        <v>0</v>
      </c>
      <c r="R69" s="774">
        <f t="shared" si="52"/>
        <v>0</v>
      </c>
      <c r="S69" s="774">
        <f t="shared" si="52"/>
        <v>0</v>
      </c>
      <c r="T69" s="774">
        <f t="shared" si="52"/>
        <v>0</v>
      </c>
      <c r="U69" s="774">
        <f t="shared" si="52"/>
        <v>0</v>
      </c>
      <c r="V69" s="774">
        <f t="shared" si="52"/>
        <v>0</v>
      </c>
      <c r="W69" s="774">
        <f t="shared" si="52"/>
        <v>0</v>
      </c>
      <c r="X69" s="774">
        <f t="shared" si="52"/>
        <v>0</v>
      </c>
      <c r="Y69" s="774">
        <f t="shared" si="52"/>
        <v>0</v>
      </c>
      <c r="Z69" s="774">
        <f t="shared" si="52"/>
        <v>0</v>
      </c>
      <c r="AA69" s="774">
        <f t="shared" si="52"/>
        <v>0</v>
      </c>
      <c r="AB69" s="774">
        <f t="shared" si="52"/>
        <v>0</v>
      </c>
      <c r="AC69" s="775">
        <f t="shared" si="52"/>
        <v>0</v>
      </c>
      <c r="AD69" s="1"/>
      <c r="AE69" s="1"/>
    </row>
    <row r="70" spans="8:34" ht="19.5" customHeight="1" x14ac:dyDescent="0.25">
      <c r="I70" s="38" t="s">
        <v>22</v>
      </c>
      <c r="J70" s="138" t="s">
        <v>57</v>
      </c>
      <c r="K70" s="137" t="s">
        <v>56</v>
      </c>
      <c r="L70" s="776">
        <f>SUM(N70:AC70)</f>
        <v>0</v>
      </c>
      <c r="M70" s="750"/>
      <c r="N70" s="785">
        <f>SUM(N71:N72)</f>
        <v>0</v>
      </c>
      <c r="O70" s="786">
        <f t="shared" ref="O70:AC70" si="53">SUM(O71:O72)</f>
        <v>0</v>
      </c>
      <c r="P70" s="786">
        <f t="shared" si="53"/>
        <v>0</v>
      </c>
      <c r="Q70" s="786">
        <f t="shared" si="53"/>
        <v>0</v>
      </c>
      <c r="R70" s="786">
        <f t="shared" si="53"/>
        <v>0</v>
      </c>
      <c r="S70" s="786">
        <f t="shared" si="53"/>
        <v>0</v>
      </c>
      <c r="T70" s="786">
        <f t="shared" si="53"/>
        <v>0</v>
      </c>
      <c r="U70" s="786">
        <f t="shared" si="53"/>
        <v>0</v>
      </c>
      <c r="V70" s="786">
        <f t="shared" si="53"/>
        <v>0</v>
      </c>
      <c r="W70" s="786">
        <f t="shared" si="53"/>
        <v>0</v>
      </c>
      <c r="X70" s="786">
        <f t="shared" si="53"/>
        <v>0</v>
      </c>
      <c r="Y70" s="786">
        <f t="shared" si="53"/>
        <v>0</v>
      </c>
      <c r="Z70" s="786">
        <f t="shared" si="53"/>
        <v>0</v>
      </c>
      <c r="AA70" s="786">
        <f t="shared" si="53"/>
        <v>0</v>
      </c>
      <c r="AB70" s="786">
        <f t="shared" si="53"/>
        <v>0</v>
      </c>
      <c r="AC70" s="787">
        <f t="shared" si="53"/>
        <v>0</v>
      </c>
      <c r="AD70" s="1"/>
      <c r="AE70" s="1"/>
    </row>
    <row r="71" spans="8:34" ht="19.5" customHeight="1" x14ac:dyDescent="0.25">
      <c r="I71" s="38" t="s">
        <v>58</v>
      </c>
      <c r="J71" s="139" t="s">
        <v>59</v>
      </c>
      <c r="K71" s="137"/>
      <c r="L71" s="776">
        <f t="shared" ref="L71:L73" si="54">SUM(N71:AC71)</f>
        <v>0</v>
      </c>
      <c r="M71" s="750"/>
      <c r="N71" s="788">
        <f>SUM('Bgn&gt;&gt;:&lt;&lt;End'!N71)</f>
        <v>0</v>
      </c>
      <c r="O71" s="789">
        <f>SUM('Bgn&gt;&gt;:&lt;&lt;End'!O71)</f>
        <v>0</v>
      </c>
      <c r="P71" s="789">
        <f>SUM('Bgn&gt;&gt;:&lt;&lt;End'!P71)</f>
        <v>0</v>
      </c>
      <c r="Q71" s="789">
        <f>SUM('Bgn&gt;&gt;:&lt;&lt;End'!Q71)</f>
        <v>0</v>
      </c>
      <c r="R71" s="789">
        <f>SUM('Bgn&gt;&gt;:&lt;&lt;End'!R71)</f>
        <v>0</v>
      </c>
      <c r="S71" s="789">
        <f>SUM('Bgn&gt;&gt;:&lt;&lt;End'!S71)</f>
        <v>0</v>
      </c>
      <c r="T71" s="789">
        <f>SUM('Bgn&gt;&gt;:&lt;&lt;End'!T71)</f>
        <v>0</v>
      </c>
      <c r="U71" s="789">
        <f>SUM('Bgn&gt;&gt;:&lt;&lt;End'!U71)</f>
        <v>0</v>
      </c>
      <c r="V71" s="789">
        <f>SUM('Bgn&gt;&gt;:&lt;&lt;End'!V71)</f>
        <v>0</v>
      </c>
      <c r="W71" s="789">
        <f>SUM('Bgn&gt;&gt;:&lt;&lt;End'!W71)</f>
        <v>0</v>
      </c>
      <c r="X71" s="789">
        <f>SUM('Bgn&gt;&gt;:&lt;&lt;End'!X71)</f>
        <v>0</v>
      </c>
      <c r="Y71" s="789">
        <f>SUM('Bgn&gt;&gt;:&lt;&lt;End'!Y71)</f>
        <v>0</v>
      </c>
      <c r="Z71" s="789">
        <f>SUM('Bgn&gt;&gt;:&lt;&lt;End'!Z71)</f>
        <v>0</v>
      </c>
      <c r="AA71" s="789">
        <f>SUM('Bgn&gt;&gt;:&lt;&lt;End'!AA71)</f>
        <v>0</v>
      </c>
      <c r="AB71" s="789">
        <f>SUM('Bgn&gt;&gt;:&lt;&lt;End'!AB71)</f>
        <v>0</v>
      </c>
      <c r="AC71" s="790">
        <f>SUM('Bgn&gt;&gt;:&lt;&lt;End'!AC71)</f>
        <v>0</v>
      </c>
      <c r="AD71" s="1"/>
      <c r="AE71" s="1"/>
    </row>
    <row r="72" spans="8:34" ht="19.5" customHeight="1" x14ac:dyDescent="0.25">
      <c r="I72" s="38" t="s">
        <v>60</v>
      </c>
      <c r="J72" s="139" t="s">
        <v>61</v>
      </c>
      <c r="K72" s="137"/>
      <c r="L72" s="776">
        <f t="shared" si="54"/>
        <v>0</v>
      </c>
      <c r="M72" s="750"/>
      <c r="N72" s="788">
        <f>SUM('Bgn&gt;&gt;:&lt;&lt;End'!N72)</f>
        <v>0</v>
      </c>
      <c r="O72" s="789">
        <f>SUM('Bgn&gt;&gt;:&lt;&lt;End'!O72)</f>
        <v>0</v>
      </c>
      <c r="P72" s="789">
        <f>SUM('Bgn&gt;&gt;:&lt;&lt;End'!P72)</f>
        <v>0</v>
      </c>
      <c r="Q72" s="789">
        <f>SUM('Bgn&gt;&gt;:&lt;&lt;End'!Q72)</f>
        <v>0</v>
      </c>
      <c r="R72" s="789">
        <f>SUM('Bgn&gt;&gt;:&lt;&lt;End'!R72)</f>
        <v>0</v>
      </c>
      <c r="S72" s="789">
        <f>SUM('Bgn&gt;&gt;:&lt;&lt;End'!S72)</f>
        <v>0</v>
      </c>
      <c r="T72" s="789">
        <f>SUM('Bgn&gt;&gt;:&lt;&lt;End'!T72)</f>
        <v>0</v>
      </c>
      <c r="U72" s="789">
        <f>SUM('Bgn&gt;&gt;:&lt;&lt;End'!U72)</f>
        <v>0</v>
      </c>
      <c r="V72" s="789">
        <f>SUM('Bgn&gt;&gt;:&lt;&lt;End'!V72)</f>
        <v>0</v>
      </c>
      <c r="W72" s="789">
        <f>SUM('Bgn&gt;&gt;:&lt;&lt;End'!W72)</f>
        <v>0</v>
      </c>
      <c r="X72" s="789">
        <f>SUM('Bgn&gt;&gt;:&lt;&lt;End'!X72)</f>
        <v>0</v>
      </c>
      <c r="Y72" s="789">
        <f>SUM('Bgn&gt;&gt;:&lt;&lt;End'!Y72)</f>
        <v>0</v>
      </c>
      <c r="Z72" s="789">
        <f>SUM('Bgn&gt;&gt;:&lt;&lt;End'!Z72)</f>
        <v>0</v>
      </c>
      <c r="AA72" s="789">
        <f>SUM('Bgn&gt;&gt;:&lt;&lt;End'!AA72)</f>
        <v>0</v>
      </c>
      <c r="AB72" s="789">
        <f>SUM('Bgn&gt;&gt;:&lt;&lt;End'!AB72)</f>
        <v>0</v>
      </c>
      <c r="AC72" s="790">
        <f>SUM('Bgn&gt;&gt;:&lt;&lt;End'!AC72)</f>
        <v>0</v>
      </c>
      <c r="AD72" s="1"/>
      <c r="AE72" s="1"/>
    </row>
    <row r="73" spans="8:34" ht="19.5" customHeight="1" x14ac:dyDescent="0.25">
      <c r="I73" s="38" t="s">
        <v>349</v>
      </c>
      <c r="J73" s="138" t="s">
        <v>376</v>
      </c>
      <c r="K73" s="137"/>
      <c r="L73" s="776">
        <f t="shared" si="54"/>
        <v>0</v>
      </c>
      <c r="M73" s="750"/>
      <c r="N73" s="777">
        <f>-IF(N142&lt;0,N142,0)</f>
        <v>0</v>
      </c>
      <c r="O73" s="778">
        <f t="shared" ref="O73:AC73" si="55">-IF(O142&lt;0,O142,0)</f>
        <v>0</v>
      </c>
      <c r="P73" s="778">
        <f t="shared" si="55"/>
        <v>0</v>
      </c>
      <c r="Q73" s="778">
        <f t="shared" si="55"/>
        <v>0</v>
      </c>
      <c r="R73" s="778">
        <f t="shared" si="55"/>
        <v>0</v>
      </c>
      <c r="S73" s="778">
        <f t="shared" si="55"/>
        <v>0</v>
      </c>
      <c r="T73" s="778">
        <f t="shared" si="55"/>
        <v>0</v>
      </c>
      <c r="U73" s="778">
        <f t="shared" si="55"/>
        <v>0</v>
      </c>
      <c r="V73" s="778">
        <f t="shared" si="55"/>
        <v>0</v>
      </c>
      <c r="W73" s="778">
        <f t="shared" si="55"/>
        <v>0</v>
      </c>
      <c r="X73" s="778">
        <f t="shared" si="55"/>
        <v>0</v>
      </c>
      <c r="Y73" s="778">
        <f t="shared" si="55"/>
        <v>0</v>
      </c>
      <c r="Z73" s="778">
        <f t="shared" si="55"/>
        <v>0</v>
      </c>
      <c r="AA73" s="778">
        <f t="shared" si="55"/>
        <v>0</v>
      </c>
      <c r="AB73" s="778">
        <f t="shared" si="55"/>
        <v>0</v>
      </c>
      <c r="AC73" s="779">
        <f t="shared" si="55"/>
        <v>0</v>
      </c>
      <c r="AD73" s="1"/>
      <c r="AE73" s="1"/>
    </row>
    <row r="74" spans="8:34" ht="19.5" customHeight="1" x14ac:dyDescent="0.25">
      <c r="I74" s="38" t="s">
        <v>350</v>
      </c>
      <c r="J74" s="138" t="s">
        <v>378</v>
      </c>
      <c r="K74" s="137" t="s">
        <v>56</v>
      </c>
      <c r="L74" s="783">
        <f>SUM(N74:AC74)</f>
        <v>0</v>
      </c>
      <c r="M74" s="750"/>
      <c r="N74" s="788">
        <f>SUM('Bgn&gt;&gt;:&lt;&lt;End'!N74)</f>
        <v>0</v>
      </c>
      <c r="O74" s="789">
        <f>SUM('Bgn&gt;&gt;:&lt;&lt;End'!O74)</f>
        <v>0</v>
      </c>
      <c r="P74" s="789">
        <f>SUM('Bgn&gt;&gt;:&lt;&lt;End'!P74)</f>
        <v>0</v>
      </c>
      <c r="Q74" s="789">
        <f>SUM('Bgn&gt;&gt;:&lt;&lt;End'!Q74)</f>
        <v>0</v>
      </c>
      <c r="R74" s="789">
        <f>SUM('Bgn&gt;&gt;:&lt;&lt;End'!R74)</f>
        <v>0</v>
      </c>
      <c r="S74" s="789">
        <f>SUM('Bgn&gt;&gt;:&lt;&lt;End'!S74)</f>
        <v>0</v>
      </c>
      <c r="T74" s="789">
        <f>SUM('Bgn&gt;&gt;:&lt;&lt;End'!T74)</f>
        <v>0</v>
      </c>
      <c r="U74" s="789">
        <f>SUM('Bgn&gt;&gt;:&lt;&lt;End'!U74)</f>
        <v>0</v>
      </c>
      <c r="V74" s="789">
        <f>SUM('Bgn&gt;&gt;:&lt;&lt;End'!V74)</f>
        <v>0</v>
      </c>
      <c r="W74" s="789">
        <f>SUM('Bgn&gt;&gt;:&lt;&lt;End'!W74)</f>
        <v>0</v>
      </c>
      <c r="X74" s="789">
        <f>SUM('Bgn&gt;&gt;:&lt;&lt;End'!X74)</f>
        <v>0</v>
      </c>
      <c r="Y74" s="789">
        <f>SUM('Bgn&gt;&gt;:&lt;&lt;End'!Y74)</f>
        <v>0</v>
      </c>
      <c r="Z74" s="789">
        <f>SUM('Bgn&gt;&gt;:&lt;&lt;End'!Z74)</f>
        <v>0</v>
      </c>
      <c r="AA74" s="789">
        <f>SUM('Bgn&gt;&gt;:&lt;&lt;End'!AA74)</f>
        <v>0</v>
      </c>
      <c r="AB74" s="789">
        <f>SUM('Bgn&gt;&gt;:&lt;&lt;End'!AB74)</f>
        <v>0</v>
      </c>
      <c r="AC74" s="790">
        <f>SUM('Bgn&gt;&gt;:&lt;&lt;End'!AC74)</f>
        <v>0</v>
      </c>
      <c r="AD74" s="1"/>
      <c r="AE74" s="1"/>
    </row>
    <row r="75" spans="8:34" ht="19.5" customHeight="1" x14ac:dyDescent="0.25">
      <c r="I75" s="38" t="s">
        <v>62</v>
      </c>
      <c r="J75" s="138" t="s">
        <v>63</v>
      </c>
      <c r="K75" s="137" t="s">
        <v>56</v>
      </c>
      <c r="L75" s="784">
        <f>SUM(N75:AC75)</f>
        <v>0</v>
      </c>
      <c r="M75" s="750"/>
      <c r="N75" s="791">
        <f>SUM('Bgn&gt;&gt;:&lt;&lt;End'!N75)</f>
        <v>0</v>
      </c>
      <c r="O75" s="792">
        <f>SUM('Bgn&gt;&gt;:&lt;&lt;End'!O75)</f>
        <v>0</v>
      </c>
      <c r="P75" s="792">
        <f>SUM('Bgn&gt;&gt;:&lt;&lt;End'!P75)</f>
        <v>0</v>
      </c>
      <c r="Q75" s="792">
        <f>SUM('Bgn&gt;&gt;:&lt;&lt;End'!Q75)</f>
        <v>0</v>
      </c>
      <c r="R75" s="792">
        <f>SUM('Bgn&gt;&gt;:&lt;&lt;End'!R75)</f>
        <v>0</v>
      </c>
      <c r="S75" s="792">
        <f>SUM('Bgn&gt;&gt;:&lt;&lt;End'!S75)</f>
        <v>0</v>
      </c>
      <c r="T75" s="792">
        <f>SUM('Bgn&gt;&gt;:&lt;&lt;End'!T75)</f>
        <v>0</v>
      </c>
      <c r="U75" s="792">
        <f>SUM('Bgn&gt;&gt;:&lt;&lt;End'!U75)</f>
        <v>0</v>
      </c>
      <c r="V75" s="792">
        <f>SUM('Bgn&gt;&gt;:&lt;&lt;End'!V75)</f>
        <v>0</v>
      </c>
      <c r="W75" s="792">
        <f>SUM('Bgn&gt;&gt;:&lt;&lt;End'!W75)</f>
        <v>0</v>
      </c>
      <c r="X75" s="792">
        <f>SUM('Bgn&gt;&gt;:&lt;&lt;End'!X75)</f>
        <v>0</v>
      </c>
      <c r="Y75" s="792">
        <f>SUM('Bgn&gt;&gt;:&lt;&lt;End'!Y75)</f>
        <v>0</v>
      </c>
      <c r="Z75" s="792">
        <f>SUM('Bgn&gt;&gt;:&lt;&lt;End'!Z75)</f>
        <v>0</v>
      </c>
      <c r="AA75" s="792">
        <f>SUM('Bgn&gt;&gt;:&lt;&lt;End'!AA75)</f>
        <v>0</v>
      </c>
      <c r="AB75" s="792">
        <f>SUM('Bgn&gt;&gt;:&lt;&lt;End'!AB75)</f>
        <v>0</v>
      </c>
      <c r="AC75" s="793">
        <f>SUM('Bgn&gt;&gt;:&lt;&lt;End'!AC75)</f>
        <v>0</v>
      </c>
      <c r="AD75" s="1"/>
      <c r="AE75" s="1"/>
    </row>
    <row r="76" spans="8:34" ht="15.75" x14ac:dyDescent="0.25">
      <c r="I76" s="140"/>
      <c r="J76" s="110"/>
      <c r="K76" s="141"/>
      <c r="L76" s="141"/>
      <c r="N76" s="142"/>
      <c r="O76" s="142"/>
      <c r="P76" s="142"/>
      <c r="Q76" s="142"/>
      <c r="R76" s="142"/>
      <c r="S76" s="142"/>
      <c r="T76" s="142"/>
      <c r="U76" s="142"/>
      <c r="V76" s="142"/>
      <c r="W76" s="142"/>
      <c r="X76" s="142"/>
      <c r="Y76" s="142"/>
      <c r="Z76" s="142"/>
      <c r="AA76" s="142"/>
      <c r="AB76" s="142"/>
      <c r="AC76" s="142"/>
      <c r="AD76" s="1"/>
      <c r="AE76" s="1"/>
    </row>
    <row r="77" spans="8:34" ht="18" x14ac:dyDescent="0.4">
      <c r="I77" s="38"/>
      <c r="J77" s="143" t="s">
        <v>64</v>
      </c>
      <c r="K77" s="144"/>
      <c r="L77" s="135" t="s">
        <v>65</v>
      </c>
      <c r="N77" s="110"/>
      <c r="O77" s="110"/>
      <c r="P77" s="110"/>
      <c r="Q77" s="110"/>
      <c r="R77" s="110"/>
      <c r="S77" s="110"/>
      <c r="T77" s="110"/>
      <c r="U77" s="110"/>
      <c r="V77" s="110"/>
      <c r="W77" s="110"/>
      <c r="X77" s="110"/>
      <c r="Y77" s="110"/>
      <c r="Z77" s="110"/>
      <c r="AA77" s="110"/>
      <c r="AB77" s="110"/>
      <c r="AC77" s="110"/>
      <c r="AD77" s="1"/>
      <c r="AE77" s="1"/>
    </row>
    <row r="78" spans="8:34" ht="15.75" x14ac:dyDescent="0.25">
      <c r="I78" s="38" t="s">
        <v>66</v>
      </c>
      <c r="J78" s="97" t="s">
        <v>444</v>
      </c>
      <c r="K78" s="137"/>
      <c r="N78" s="145">
        <v>1</v>
      </c>
      <c r="O78" s="531">
        <f>ROUND((13-$L$12)*365/12,0)</f>
        <v>30</v>
      </c>
      <c r="P78" s="146">
        <v>365</v>
      </c>
      <c r="Q78" s="146">
        <f t="shared" ref="Q78" si="56">P78</f>
        <v>365</v>
      </c>
      <c r="R78" s="146">
        <f t="shared" ref="R78:AC78" si="57">Q78</f>
        <v>365</v>
      </c>
      <c r="S78" s="146">
        <f t="shared" si="57"/>
        <v>365</v>
      </c>
      <c r="T78" s="146">
        <f t="shared" si="57"/>
        <v>365</v>
      </c>
      <c r="U78" s="146">
        <f t="shared" si="57"/>
        <v>365</v>
      </c>
      <c r="V78" s="146">
        <f t="shared" si="57"/>
        <v>365</v>
      </c>
      <c r="W78" s="146">
        <f t="shared" si="57"/>
        <v>365</v>
      </c>
      <c r="X78" s="146">
        <f t="shared" si="57"/>
        <v>365</v>
      </c>
      <c r="Y78" s="146">
        <f t="shared" si="57"/>
        <v>365</v>
      </c>
      <c r="Z78" s="146">
        <f t="shared" si="57"/>
        <v>365</v>
      </c>
      <c r="AA78" s="146">
        <f t="shared" si="57"/>
        <v>365</v>
      </c>
      <c r="AB78" s="146">
        <f t="shared" si="57"/>
        <v>365</v>
      </c>
      <c r="AC78" s="147">
        <f t="shared" si="57"/>
        <v>365</v>
      </c>
      <c r="AD78" s="1"/>
      <c r="AE78" s="1"/>
      <c r="AH78" s="148"/>
    </row>
    <row r="79" spans="8:34" ht="15.75" x14ac:dyDescent="0.25">
      <c r="I79" s="38" t="s">
        <v>67</v>
      </c>
      <c r="J79" s="97" t="s">
        <v>68</v>
      </c>
      <c r="K79" s="137" t="s">
        <v>56</v>
      </c>
      <c r="L79" s="149">
        <f>IFERROR(AVERAGEIF(N79:AC79,"&gt;0.001",N79:AC79),)</f>
        <v>0</v>
      </c>
      <c r="N79" s="433">
        <f t="shared" ref="N79:AC79" si="58">IFERROR(N200/N118*N78,)</f>
        <v>0</v>
      </c>
      <c r="O79" s="431">
        <f t="shared" si="58"/>
        <v>0</v>
      </c>
      <c r="P79" s="431">
        <f t="shared" si="58"/>
        <v>0</v>
      </c>
      <c r="Q79" s="431">
        <f t="shared" si="58"/>
        <v>0</v>
      </c>
      <c r="R79" s="431">
        <f t="shared" si="58"/>
        <v>0</v>
      </c>
      <c r="S79" s="431">
        <f t="shared" si="58"/>
        <v>0</v>
      </c>
      <c r="T79" s="431">
        <f t="shared" si="58"/>
        <v>0</v>
      </c>
      <c r="U79" s="431">
        <f t="shared" si="58"/>
        <v>0</v>
      </c>
      <c r="V79" s="431">
        <f t="shared" si="58"/>
        <v>0</v>
      </c>
      <c r="W79" s="431">
        <f t="shared" si="58"/>
        <v>0</v>
      </c>
      <c r="X79" s="431">
        <f t="shared" si="58"/>
        <v>0</v>
      </c>
      <c r="Y79" s="431">
        <f t="shared" si="58"/>
        <v>0</v>
      </c>
      <c r="Z79" s="431">
        <f t="shared" si="58"/>
        <v>0</v>
      </c>
      <c r="AA79" s="431">
        <f t="shared" si="58"/>
        <v>0</v>
      </c>
      <c r="AB79" s="431">
        <f t="shared" si="58"/>
        <v>0</v>
      </c>
      <c r="AC79" s="434">
        <f t="shared" si="58"/>
        <v>0</v>
      </c>
      <c r="AD79" s="1"/>
      <c r="AE79" s="1"/>
      <c r="AH79" s="148"/>
    </row>
    <row r="80" spans="8:34" ht="15.75" x14ac:dyDescent="0.25">
      <c r="I80" s="38" t="s">
        <v>69</v>
      </c>
      <c r="J80" s="97" t="s">
        <v>289</v>
      </c>
      <c r="K80" s="137"/>
      <c r="L80" s="137"/>
      <c r="N80" s="453"/>
      <c r="O80" s="454"/>
      <c r="P80" s="454"/>
      <c r="Q80" s="454"/>
      <c r="R80" s="454"/>
      <c r="S80" s="454"/>
      <c r="T80" s="454"/>
      <c r="U80" s="454"/>
      <c r="V80" s="454"/>
      <c r="W80" s="454"/>
      <c r="X80" s="454"/>
      <c r="Y80" s="454"/>
      <c r="Z80" s="454"/>
      <c r="AA80" s="454"/>
      <c r="AB80" s="454"/>
      <c r="AC80" s="455"/>
      <c r="AD80" s="1"/>
      <c r="AE80" s="1"/>
      <c r="AH80" s="148"/>
    </row>
    <row r="81" spans="9:34" x14ac:dyDescent="0.3">
      <c r="I81" s="38" t="s">
        <v>290</v>
      </c>
      <c r="J81" s="456" t="s">
        <v>291</v>
      </c>
      <c r="K81" s="137" t="s">
        <v>56</v>
      </c>
      <c r="L81" s="153">
        <f>IFERROR(AVERAGEIF(N81:AC81,"&gt;0.001",N81:AC81),)</f>
        <v>0</v>
      </c>
      <c r="N81" s="458">
        <f t="shared" ref="N81:AC81" si="59">IFERROR(-N201/(SUM(N119:N123)+N148)*N78,)</f>
        <v>0</v>
      </c>
      <c r="O81" s="459">
        <f t="shared" si="59"/>
        <v>0</v>
      </c>
      <c r="P81" s="459">
        <f t="shared" si="59"/>
        <v>0</v>
      </c>
      <c r="Q81" s="459">
        <f t="shared" si="59"/>
        <v>0</v>
      </c>
      <c r="R81" s="459">
        <f t="shared" si="59"/>
        <v>0</v>
      </c>
      <c r="S81" s="459">
        <f t="shared" si="59"/>
        <v>0</v>
      </c>
      <c r="T81" s="459">
        <f t="shared" si="59"/>
        <v>0</v>
      </c>
      <c r="U81" s="459">
        <f t="shared" si="59"/>
        <v>0</v>
      </c>
      <c r="V81" s="459">
        <f t="shared" si="59"/>
        <v>0</v>
      </c>
      <c r="W81" s="459">
        <f t="shared" si="59"/>
        <v>0</v>
      </c>
      <c r="X81" s="459">
        <f t="shared" si="59"/>
        <v>0</v>
      </c>
      <c r="Y81" s="459">
        <f t="shared" si="59"/>
        <v>0</v>
      </c>
      <c r="Z81" s="459">
        <f t="shared" si="59"/>
        <v>0</v>
      </c>
      <c r="AA81" s="459">
        <f t="shared" si="59"/>
        <v>0</v>
      </c>
      <c r="AB81" s="459">
        <f t="shared" si="59"/>
        <v>0</v>
      </c>
      <c r="AC81" s="460">
        <f t="shared" si="59"/>
        <v>0</v>
      </c>
      <c r="AD81" s="1"/>
      <c r="AE81" s="1"/>
      <c r="AH81" s="148"/>
    </row>
    <row r="82" spans="9:34" x14ac:dyDescent="0.3">
      <c r="I82" s="38" t="s">
        <v>292</v>
      </c>
      <c r="J82" s="563" t="str">
        <f>"WIP (Prod leadtime, level load), O/head absorptn @"&amp;(K82*100)&amp;"%"</f>
        <v>WIP (Prod leadtime, level load), O/head absorptn @0%</v>
      </c>
      <c r="K82" s="137"/>
      <c r="L82" s="153">
        <f t="shared" ref="L82:L84" si="60">IFERROR(AVERAGEIF(N82:AC82,"&gt;0.001",N82:AC82),)</f>
        <v>0</v>
      </c>
      <c r="N82" s="458">
        <f t="shared" ref="N82:AC82" si="61">IFERROR(-N202/(SUM(N$119:N$123)+SUM(N$126:N$129)+SUM(N$149:N$150))*N$78,)</f>
        <v>0</v>
      </c>
      <c r="O82" s="459">
        <f t="shared" si="61"/>
        <v>0</v>
      </c>
      <c r="P82" s="459">
        <f t="shared" si="61"/>
        <v>0</v>
      </c>
      <c r="Q82" s="459">
        <f t="shared" si="61"/>
        <v>0</v>
      </c>
      <c r="R82" s="459">
        <f t="shared" si="61"/>
        <v>0</v>
      </c>
      <c r="S82" s="459">
        <f t="shared" si="61"/>
        <v>0</v>
      </c>
      <c r="T82" s="459">
        <f t="shared" si="61"/>
        <v>0</v>
      </c>
      <c r="U82" s="459">
        <f t="shared" si="61"/>
        <v>0</v>
      </c>
      <c r="V82" s="459">
        <f t="shared" si="61"/>
        <v>0</v>
      </c>
      <c r="W82" s="459">
        <f t="shared" si="61"/>
        <v>0</v>
      </c>
      <c r="X82" s="459">
        <f t="shared" si="61"/>
        <v>0</v>
      </c>
      <c r="Y82" s="459">
        <f t="shared" si="61"/>
        <v>0</v>
      </c>
      <c r="Z82" s="459">
        <f t="shared" si="61"/>
        <v>0</v>
      </c>
      <c r="AA82" s="459">
        <f t="shared" si="61"/>
        <v>0</v>
      </c>
      <c r="AB82" s="459">
        <f t="shared" si="61"/>
        <v>0</v>
      </c>
      <c r="AC82" s="460">
        <f t="shared" si="61"/>
        <v>0</v>
      </c>
      <c r="AD82" s="1"/>
      <c r="AE82" s="1"/>
      <c r="AH82" s="148"/>
    </row>
    <row r="83" spans="9:34" x14ac:dyDescent="0.3">
      <c r="I83" s="38" t="s">
        <v>293</v>
      </c>
      <c r="J83" s="564" t="s">
        <v>459</v>
      </c>
      <c r="K83" s="137" t="s">
        <v>56</v>
      </c>
      <c r="L83" s="153">
        <f t="shared" si="60"/>
        <v>0</v>
      </c>
      <c r="N83" s="458">
        <f t="shared" ref="N83:AC83" si="62">IFERROR(-N203/(SUM(N$119:N$123)+SUM(N$126:N$129)+SUM(N$149:N$150))*N$78,)</f>
        <v>0</v>
      </c>
      <c r="O83" s="459">
        <f t="shared" si="62"/>
        <v>0</v>
      </c>
      <c r="P83" s="459">
        <f t="shared" si="62"/>
        <v>0</v>
      </c>
      <c r="Q83" s="459">
        <f t="shared" si="62"/>
        <v>0</v>
      </c>
      <c r="R83" s="459">
        <f t="shared" si="62"/>
        <v>0</v>
      </c>
      <c r="S83" s="459">
        <f t="shared" si="62"/>
        <v>0</v>
      </c>
      <c r="T83" s="459">
        <f t="shared" si="62"/>
        <v>0</v>
      </c>
      <c r="U83" s="459">
        <f t="shared" si="62"/>
        <v>0</v>
      </c>
      <c r="V83" s="459">
        <f t="shared" si="62"/>
        <v>0</v>
      </c>
      <c r="W83" s="459">
        <f t="shared" si="62"/>
        <v>0</v>
      </c>
      <c r="X83" s="459">
        <f t="shared" si="62"/>
        <v>0</v>
      </c>
      <c r="Y83" s="459">
        <f t="shared" si="62"/>
        <v>0</v>
      </c>
      <c r="Z83" s="459">
        <f t="shared" si="62"/>
        <v>0</v>
      </c>
      <c r="AA83" s="459">
        <f t="shared" si="62"/>
        <v>0</v>
      </c>
      <c r="AB83" s="459">
        <f t="shared" si="62"/>
        <v>0</v>
      </c>
      <c r="AC83" s="460">
        <f t="shared" si="62"/>
        <v>0</v>
      </c>
      <c r="AD83" s="1"/>
      <c r="AE83" s="1"/>
      <c r="AH83" s="148"/>
    </row>
    <row r="84" spans="9:34" x14ac:dyDescent="0.3">
      <c r="I84" s="38" t="s">
        <v>294</v>
      </c>
      <c r="J84" s="564" t="s">
        <v>297</v>
      </c>
      <c r="K84" s="137"/>
      <c r="L84" s="153">
        <f t="shared" si="60"/>
        <v>0</v>
      </c>
      <c r="N84" s="458">
        <f t="shared" ref="N84:AC84" si="63">IFERROR(-N204/(SUM(N$119:N$123)+SUM(N$126:N$129)+SUM(N$149:N$150))*N$78,)</f>
        <v>0</v>
      </c>
      <c r="O84" s="459">
        <f t="shared" si="63"/>
        <v>0</v>
      </c>
      <c r="P84" s="459">
        <f t="shared" si="63"/>
        <v>0</v>
      </c>
      <c r="Q84" s="459">
        <f t="shared" si="63"/>
        <v>0</v>
      </c>
      <c r="R84" s="459">
        <f t="shared" si="63"/>
        <v>0</v>
      </c>
      <c r="S84" s="459">
        <f t="shared" si="63"/>
        <v>0</v>
      </c>
      <c r="T84" s="459">
        <f t="shared" si="63"/>
        <v>0</v>
      </c>
      <c r="U84" s="459">
        <f t="shared" si="63"/>
        <v>0</v>
      </c>
      <c r="V84" s="459">
        <f t="shared" si="63"/>
        <v>0</v>
      </c>
      <c r="W84" s="459">
        <f t="shared" si="63"/>
        <v>0</v>
      </c>
      <c r="X84" s="459">
        <f t="shared" si="63"/>
        <v>0</v>
      </c>
      <c r="Y84" s="459">
        <f t="shared" si="63"/>
        <v>0</v>
      </c>
      <c r="Z84" s="459">
        <f t="shared" si="63"/>
        <v>0</v>
      </c>
      <c r="AA84" s="459">
        <f t="shared" si="63"/>
        <v>0</v>
      </c>
      <c r="AB84" s="459">
        <f t="shared" si="63"/>
        <v>0</v>
      </c>
      <c r="AC84" s="460">
        <f t="shared" si="63"/>
        <v>0</v>
      </c>
      <c r="AD84" s="1"/>
      <c r="AE84" s="1"/>
      <c r="AH84" s="148"/>
    </row>
    <row r="85" spans="9:34" ht="15.75" x14ac:dyDescent="0.25">
      <c r="I85" s="38" t="s">
        <v>70</v>
      </c>
      <c r="J85" s="97" t="s">
        <v>71</v>
      </c>
      <c r="K85" s="137" t="s">
        <v>56</v>
      </c>
      <c r="N85" s="435">
        <f t="shared" ref="N85:AC85" si="64">IFERROR(N205/N118,)</f>
        <v>0</v>
      </c>
      <c r="O85" s="432">
        <f t="shared" si="64"/>
        <v>0</v>
      </c>
      <c r="P85" s="432">
        <f t="shared" si="64"/>
        <v>0</v>
      </c>
      <c r="Q85" s="432">
        <f t="shared" si="64"/>
        <v>0</v>
      </c>
      <c r="R85" s="432">
        <f t="shared" si="64"/>
        <v>0</v>
      </c>
      <c r="S85" s="432">
        <f t="shared" si="64"/>
        <v>0</v>
      </c>
      <c r="T85" s="432">
        <f t="shared" si="64"/>
        <v>0</v>
      </c>
      <c r="U85" s="432">
        <f t="shared" si="64"/>
        <v>0</v>
      </c>
      <c r="V85" s="432">
        <f t="shared" si="64"/>
        <v>0</v>
      </c>
      <c r="W85" s="432">
        <f t="shared" si="64"/>
        <v>0</v>
      </c>
      <c r="X85" s="432">
        <f t="shared" si="64"/>
        <v>0</v>
      </c>
      <c r="Y85" s="432">
        <f t="shared" si="64"/>
        <v>0</v>
      </c>
      <c r="Z85" s="432">
        <f t="shared" si="64"/>
        <v>0</v>
      </c>
      <c r="AA85" s="432">
        <f t="shared" si="64"/>
        <v>0</v>
      </c>
      <c r="AB85" s="432">
        <f t="shared" si="64"/>
        <v>0</v>
      </c>
      <c r="AC85" s="436">
        <f t="shared" si="64"/>
        <v>0</v>
      </c>
      <c r="AD85" s="1"/>
      <c r="AE85" s="1"/>
      <c r="AH85" s="148"/>
    </row>
    <row r="86" spans="9:34" ht="15.75" x14ac:dyDescent="0.25">
      <c r="I86" s="38" t="s">
        <v>344</v>
      </c>
      <c r="J86" s="562" t="s">
        <v>385</v>
      </c>
      <c r="K86" s="137"/>
      <c r="L86" s="98"/>
      <c r="N86" s="794">
        <f>SUM('Bgn&gt;&gt;:&lt;&lt;End'!N86)</f>
        <v>0</v>
      </c>
      <c r="O86" s="795">
        <f>SUM('Bgn&gt;&gt;:&lt;&lt;End'!O86)</f>
        <v>0</v>
      </c>
      <c r="P86" s="795">
        <f>SUM('Bgn&gt;&gt;:&lt;&lt;End'!P86)</f>
        <v>0</v>
      </c>
      <c r="Q86" s="795">
        <f>SUM('Bgn&gt;&gt;:&lt;&lt;End'!Q86)</f>
        <v>0</v>
      </c>
      <c r="R86" s="795">
        <f>SUM('Bgn&gt;&gt;:&lt;&lt;End'!R86)</f>
        <v>0</v>
      </c>
      <c r="S86" s="795">
        <f>SUM('Bgn&gt;&gt;:&lt;&lt;End'!S86)</f>
        <v>0</v>
      </c>
      <c r="T86" s="795">
        <f>SUM('Bgn&gt;&gt;:&lt;&lt;End'!T86)</f>
        <v>0</v>
      </c>
      <c r="U86" s="795">
        <f>SUM('Bgn&gt;&gt;:&lt;&lt;End'!U86)</f>
        <v>0</v>
      </c>
      <c r="V86" s="795">
        <f>SUM('Bgn&gt;&gt;:&lt;&lt;End'!V86)</f>
        <v>0</v>
      </c>
      <c r="W86" s="795">
        <f>SUM('Bgn&gt;&gt;:&lt;&lt;End'!W86)</f>
        <v>0</v>
      </c>
      <c r="X86" s="795">
        <f>SUM('Bgn&gt;&gt;:&lt;&lt;End'!X86)</f>
        <v>0</v>
      </c>
      <c r="Y86" s="795">
        <f>SUM('Bgn&gt;&gt;:&lt;&lt;End'!Y86)</f>
        <v>0</v>
      </c>
      <c r="Z86" s="795">
        <f>SUM('Bgn&gt;&gt;:&lt;&lt;End'!Z86)</f>
        <v>0</v>
      </c>
      <c r="AA86" s="795">
        <f>SUM('Bgn&gt;&gt;:&lt;&lt;End'!AA86)</f>
        <v>0</v>
      </c>
      <c r="AB86" s="795">
        <f>SUM('Bgn&gt;&gt;:&lt;&lt;End'!AB86)</f>
        <v>0</v>
      </c>
      <c r="AC86" s="796">
        <f>SUM('Bgn&gt;&gt;:&lt;&lt;End'!AC86)</f>
        <v>0</v>
      </c>
      <c r="AD86" s="1"/>
      <c r="AE86" s="1"/>
      <c r="AH86" s="148"/>
    </row>
    <row r="87" spans="9:34" s="157" customFormat="1" ht="15.75" x14ac:dyDescent="0.25">
      <c r="I87" s="38" t="s">
        <v>346</v>
      </c>
      <c r="J87" s="562" t="s">
        <v>370</v>
      </c>
      <c r="K87" s="137" t="s">
        <v>73</v>
      </c>
      <c r="L87" s="529"/>
      <c r="N87" s="794">
        <f>SUM('Bgn&gt;&gt;:&lt;&lt;End'!N87)</f>
        <v>0</v>
      </c>
      <c r="O87" s="795">
        <f>SUM('Bgn&gt;&gt;:&lt;&lt;End'!O87)</f>
        <v>0</v>
      </c>
      <c r="P87" s="795">
        <f>SUM('Bgn&gt;&gt;:&lt;&lt;End'!P87)</f>
        <v>0</v>
      </c>
      <c r="Q87" s="795">
        <f>SUM('Bgn&gt;&gt;:&lt;&lt;End'!Q87)</f>
        <v>0</v>
      </c>
      <c r="R87" s="795">
        <f>SUM('Bgn&gt;&gt;:&lt;&lt;End'!R87)</f>
        <v>0</v>
      </c>
      <c r="S87" s="795">
        <f>SUM('Bgn&gt;&gt;:&lt;&lt;End'!S87)</f>
        <v>0</v>
      </c>
      <c r="T87" s="795">
        <f>SUM('Bgn&gt;&gt;:&lt;&lt;End'!T87)</f>
        <v>0</v>
      </c>
      <c r="U87" s="795">
        <f>SUM('Bgn&gt;&gt;:&lt;&lt;End'!U87)</f>
        <v>0</v>
      </c>
      <c r="V87" s="795">
        <f>SUM('Bgn&gt;&gt;:&lt;&lt;End'!V87)</f>
        <v>0</v>
      </c>
      <c r="W87" s="795">
        <f>SUM('Bgn&gt;&gt;:&lt;&lt;End'!W87)</f>
        <v>0</v>
      </c>
      <c r="X87" s="795">
        <f>SUM('Bgn&gt;&gt;:&lt;&lt;End'!X87)</f>
        <v>0</v>
      </c>
      <c r="Y87" s="795">
        <f>SUM('Bgn&gt;&gt;:&lt;&lt;End'!Y87)</f>
        <v>0</v>
      </c>
      <c r="Z87" s="795">
        <f>SUM('Bgn&gt;&gt;:&lt;&lt;End'!Z87)</f>
        <v>0</v>
      </c>
      <c r="AA87" s="795">
        <f>SUM('Bgn&gt;&gt;:&lt;&lt;End'!AA87)</f>
        <v>0</v>
      </c>
      <c r="AB87" s="795">
        <f>SUM('Bgn&gt;&gt;:&lt;&lt;End'!AB87)</f>
        <v>0</v>
      </c>
      <c r="AC87" s="796">
        <f>SUM('Bgn&gt;&gt;:&lt;&lt;End'!AC87)</f>
        <v>0</v>
      </c>
      <c r="AH87" s="158"/>
    </row>
    <row r="88" spans="9:34" ht="15.75" x14ac:dyDescent="0.25">
      <c r="I88" s="38" t="s">
        <v>74</v>
      </c>
      <c r="J88" s="97" t="s">
        <v>75</v>
      </c>
      <c r="K88" s="137" t="s">
        <v>56</v>
      </c>
      <c r="L88" s="153">
        <f>IFERROR(AVERAGEIF(N88:AC88,"&gt;0.001",N88:AC88),)</f>
        <v>0</v>
      </c>
      <c r="N88" s="433">
        <f t="shared" ref="N88:AC88" si="65">IFERROR(-N211/(SUM(N119:N123)+SUM(N127,N129))*N78,)</f>
        <v>0</v>
      </c>
      <c r="O88" s="431">
        <f t="shared" si="65"/>
        <v>0</v>
      </c>
      <c r="P88" s="431">
        <f t="shared" si="65"/>
        <v>0</v>
      </c>
      <c r="Q88" s="431">
        <f t="shared" si="65"/>
        <v>0</v>
      </c>
      <c r="R88" s="431">
        <f t="shared" si="65"/>
        <v>0</v>
      </c>
      <c r="S88" s="431">
        <f t="shared" si="65"/>
        <v>0</v>
      </c>
      <c r="T88" s="431">
        <f t="shared" si="65"/>
        <v>0</v>
      </c>
      <c r="U88" s="431">
        <f t="shared" si="65"/>
        <v>0</v>
      </c>
      <c r="V88" s="431">
        <f t="shared" si="65"/>
        <v>0</v>
      </c>
      <c r="W88" s="431">
        <f t="shared" si="65"/>
        <v>0</v>
      </c>
      <c r="X88" s="431">
        <f t="shared" si="65"/>
        <v>0</v>
      </c>
      <c r="Y88" s="431">
        <f t="shared" si="65"/>
        <v>0</v>
      </c>
      <c r="Z88" s="431">
        <f t="shared" si="65"/>
        <v>0</v>
      </c>
      <c r="AA88" s="431">
        <f t="shared" si="65"/>
        <v>0</v>
      </c>
      <c r="AB88" s="431">
        <f t="shared" si="65"/>
        <v>0</v>
      </c>
      <c r="AC88" s="434">
        <f t="shared" si="65"/>
        <v>0</v>
      </c>
      <c r="AD88" s="1"/>
      <c r="AE88" s="1"/>
      <c r="AH88" s="148"/>
    </row>
    <row r="89" spans="9:34" ht="15.75" x14ac:dyDescent="0.25">
      <c r="I89" s="38" t="s">
        <v>76</v>
      </c>
      <c r="J89" s="97" t="s">
        <v>77</v>
      </c>
      <c r="K89" s="137" t="s">
        <v>78</v>
      </c>
      <c r="L89" s="159">
        <f>IFERROR(AVERAGEIF(N89:AC89,"&gt;0.001",N89:AC89),)</f>
        <v>0</v>
      </c>
      <c r="N89" s="437">
        <f t="shared" ref="N89:AC89" si="66">IFERROR(N212/N118,)</f>
        <v>0</v>
      </c>
      <c r="O89" s="438">
        <f t="shared" si="66"/>
        <v>0</v>
      </c>
      <c r="P89" s="438">
        <f t="shared" si="66"/>
        <v>0</v>
      </c>
      <c r="Q89" s="438">
        <f t="shared" si="66"/>
        <v>0</v>
      </c>
      <c r="R89" s="438">
        <f t="shared" si="66"/>
        <v>0</v>
      </c>
      <c r="S89" s="438">
        <f t="shared" si="66"/>
        <v>0</v>
      </c>
      <c r="T89" s="438">
        <f t="shared" si="66"/>
        <v>0</v>
      </c>
      <c r="U89" s="438">
        <f t="shared" si="66"/>
        <v>0</v>
      </c>
      <c r="V89" s="438">
        <f t="shared" si="66"/>
        <v>0</v>
      </c>
      <c r="W89" s="438">
        <f t="shared" si="66"/>
        <v>0</v>
      </c>
      <c r="X89" s="438">
        <f t="shared" si="66"/>
        <v>0</v>
      </c>
      <c r="Y89" s="438">
        <f t="shared" si="66"/>
        <v>0</v>
      </c>
      <c r="Z89" s="438">
        <f t="shared" si="66"/>
        <v>0</v>
      </c>
      <c r="AA89" s="438">
        <f t="shared" si="66"/>
        <v>0</v>
      </c>
      <c r="AB89" s="438">
        <f t="shared" si="66"/>
        <v>0</v>
      </c>
      <c r="AC89" s="439">
        <f t="shared" si="66"/>
        <v>0</v>
      </c>
      <c r="AD89" s="1"/>
      <c r="AE89" s="1"/>
      <c r="AH89" s="148"/>
    </row>
    <row r="90" spans="9:34" ht="15.75" x14ac:dyDescent="0.25">
      <c r="I90" s="38"/>
      <c r="J90" s="97"/>
      <c r="K90" s="97"/>
      <c r="L90" s="97"/>
      <c r="M90" s="97"/>
      <c r="N90" s="97"/>
      <c r="O90" s="97"/>
      <c r="P90" s="97"/>
      <c r="Q90" s="97"/>
      <c r="R90" s="97"/>
      <c r="S90" s="97"/>
      <c r="T90" s="97"/>
      <c r="U90" s="97"/>
      <c r="V90" s="97"/>
      <c r="W90" s="97"/>
      <c r="X90" s="97"/>
      <c r="Y90" s="97"/>
      <c r="Z90" s="97"/>
      <c r="AA90" s="97"/>
      <c r="AB90" s="97"/>
      <c r="AC90" s="97"/>
      <c r="AD90" s="97"/>
      <c r="AE90" s="1"/>
      <c r="AH90" s="148"/>
    </row>
    <row r="91" spans="9:34" ht="18" x14ac:dyDescent="0.2">
      <c r="I91" s="132" t="s">
        <v>79</v>
      </c>
      <c r="J91" s="33" t="s">
        <v>80</v>
      </c>
      <c r="K91" s="195"/>
      <c r="L91" s="196"/>
      <c r="N91" s="197">
        <f>N$11</f>
        <v>2024</v>
      </c>
      <c r="O91" s="133">
        <f t="shared" ref="O91:AC91" si="67">O$11</f>
        <v>2025</v>
      </c>
      <c r="P91" s="133">
        <f t="shared" si="67"/>
        <v>2026</v>
      </c>
      <c r="Q91" s="133">
        <f t="shared" si="67"/>
        <v>2027</v>
      </c>
      <c r="R91" s="133">
        <f t="shared" si="67"/>
        <v>2028</v>
      </c>
      <c r="S91" s="133">
        <f t="shared" si="67"/>
        <v>2029</v>
      </c>
      <c r="T91" s="133">
        <f t="shared" si="67"/>
        <v>2030</v>
      </c>
      <c r="U91" s="133">
        <f t="shared" si="67"/>
        <v>2031</v>
      </c>
      <c r="V91" s="133">
        <f t="shared" si="67"/>
        <v>2032</v>
      </c>
      <c r="W91" s="133">
        <f t="shared" si="67"/>
        <v>2033</v>
      </c>
      <c r="X91" s="133">
        <f t="shared" si="67"/>
        <v>2034</v>
      </c>
      <c r="Y91" s="133">
        <f t="shared" si="67"/>
        <v>2035</v>
      </c>
      <c r="Z91" s="133">
        <f t="shared" si="67"/>
        <v>2036</v>
      </c>
      <c r="AA91" s="133">
        <f t="shared" si="67"/>
        <v>2037</v>
      </c>
      <c r="AB91" s="133">
        <f t="shared" si="67"/>
        <v>2038</v>
      </c>
      <c r="AC91" s="198">
        <f t="shared" si="67"/>
        <v>2039</v>
      </c>
      <c r="AD91" s="1"/>
      <c r="AE91" s="1"/>
    </row>
    <row r="92" spans="9:34" ht="15.75" x14ac:dyDescent="0.25">
      <c r="I92" s="38"/>
      <c r="J92" s="97"/>
      <c r="K92" s="97"/>
      <c r="L92" s="97"/>
      <c r="M92" s="97"/>
      <c r="N92" s="97"/>
      <c r="O92" s="97"/>
      <c r="P92" s="97"/>
      <c r="Q92" s="97"/>
      <c r="R92" s="97"/>
      <c r="S92" s="97"/>
      <c r="T92" s="97"/>
      <c r="U92" s="97"/>
      <c r="V92" s="97"/>
      <c r="W92" s="97"/>
      <c r="X92" s="97"/>
      <c r="Y92" s="97"/>
      <c r="Z92" s="97"/>
      <c r="AA92" s="97"/>
      <c r="AB92" s="97"/>
      <c r="AC92" s="97"/>
      <c r="AD92" s="97"/>
      <c r="AE92" s="1"/>
      <c r="AH92" s="148"/>
    </row>
    <row r="93" spans="9:34" ht="18" x14ac:dyDescent="0.4">
      <c r="I93" s="38"/>
      <c r="J93" s="39" t="s">
        <v>81</v>
      </c>
      <c r="K93" s="163"/>
      <c r="L93" s="163"/>
      <c r="M93" s="163"/>
      <c r="N93" s="163"/>
      <c r="O93" s="31"/>
      <c r="P93" s="31"/>
      <c r="Q93" s="31"/>
      <c r="R93" s="31"/>
      <c r="S93" s="31"/>
      <c r="T93" s="31"/>
      <c r="U93" s="31"/>
      <c r="V93" s="31"/>
      <c r="W93" s="31"/>
      <c r="X93" s="31"/>
      <c r="Y93" s="31"/>
      <c r="Z93" s="31"/>
      <c r="AA93" s="31"/>
      <c r="AB93" s="31"/>
      <c r="AC93" s="31"/>
      <c r="AD93" s="1"/>
      <c r="AE93" s="1"/>
    </row>
    <row r="94" spans="9:34" ht="15.75" x14ac:dyDescent="0.25">
      <c r="I94" s="38"/>
      <c r="J94" s="97" t="s">
        <v>82</v>
      </c>
      <c r="K94" s="164" t="s">
        <v>83</v>
      </c>
      <c r="L94" s="901">
        <f>IFERROR(AVERAGEIF(N94:AC94,"&gt;0.001",N94:AC94),)</f>
        <v>0</v>
      </c>
      <c r="N94" s="962">
        <f t="shared" ref="N94" si="68">IF(OR(-N164&lt;=0,N293&lt;=0,N295&lt;=0),0,-AVERAGE(N291,N293)/N164)</f>
        <v>0</v>
      </c>
      <c r="O94" s="963">
        <f>N94</f>
        <v>0</v>
      </c>
      <c r="P94" s="963">
        <f t="shared" ref="P94:AC94" si="69">O94</f>
        <v>0</v>
      </c>
      <c r="Q94" s="963">
        <f t="shared" si="69"/>
        <v>0</v>
      </c>
      <c r="R94" s="963">
        <f t="shared" si="69"/>
        <v>0</v>
      </c>
      <c r="S94" s="963">
        <f t="shared" si="69"/>
        <v>0</v>
      </c>
      <c r="T94" s="963">
        <f t="shared" si="69"/>
        <v>0</v>
      </c>
      <c r="U94" s="963">
        <f t="shared" si="69"/>
        <v>0</v>
      </c>
      <c r="V94" s="963">
        <f t="shared" si="69"/>
        <v>0</v>
      </c>
      <c r="W94" s="963">
        <f t="shared" si="69"/>
        <v>0</v>
      </c>
      <c r="X94" s="963">
        <f t="shared" si="69"/>
        <v>0</v>
      </c>
      <c r="Y94" s="963">
        <f t="shared" si="69"/>
        <v>0</v>
      </c>
      <c r="Z94" s="963">
        <f t="shared" si="69"/>
        <v>0</v>
      </c>
      <c r="AA94" s="963">
        <f t="shared" si="69"/>
        <v>0</v>
      </c>
      <c r="AB94" s="963">
        <f t="shared" si="69"/>
        <v>0</v>
      </c>
      <c r="AC94" s="964">
        <f t="shared" si="69"/>
        <v>0</v>
      </c>
      <c r="AD94" s="1"/>
      <c r="AE94" s="1"/>
    </row>
    <row r="95" spans="9:34" ht="15.75" x14ac:dyDescent="0.25">
      <c r="I95" s="38"/>
      <c r="J95" s="97" t="s">
        <v>84</v>
      </c>
      <c r="K95" s="148" t="s">
        <v>56</v>
      </c>
      <c r="L95" s="165">
        <f>IFERROR(AVERAGEIF(N95:AC95,"&gt;0.001",N95:AC95),)</f>
        <v>0</v>
      </c>
      <c r="N95" s="437">
        <f>IFERROR(N170/N169,)</f>
        <v>0</v>
      </c>
      <c r="O95" s="438">
        <f t="shared" ref="O95:AC95" si="70">IFERROR(O170/O169,)</f>
        <v>0</v>
      </c>
      <c r="P95" s="438">
        <f t="shared" si="70"/>
        <v>0</v>
      </c>
      <c r="Q95" s="438">
        <f t="shared" si="70"/>
        <v>0</v>
      </c>
      <c r="R95" s="438">
        <f t="shared" si="70"/>
        <v>0</v>
      </c>
      <c r="S95" s="438">
        <f t="shared" si="70"/>
        <v>0</v>
      </c>
      <c r="T95" s="438">
        <f t="shared" si="70"/>
        <v>0</v>
      </c>
      <c r="U95" s="438">
        <f t="shared" si="70"/>
        <v>0</v>
      </c>
      <c r="V95" s="438">
        <f t="shared" si="70"/>
        <v>0</v>
      </c>
      <c r="W95" s="438">
        <f t="shared" si="70"/>
        <v>0</v>
      </c>
      <c r="X95" s="438">
        <f t="shared" si="70"/>
        <v>0</v>
      </c>
      <c r="Y95" s="438">
        <f t="shared" si="70"/>
        <v>0</v>
      </c>
      <c r="Z95" s="438">
        <f t="shared" si="70"/>
        <v>0</v>
      </c>
      <c r="AA95" s="438">
        <f t="shared" si="70"/>
        <v>0</v>
      </c>
      <c r="AB95" s="438">
        <f t="shared" si="70"/>
        <v>0</v>
      </c>
      <c r="AC95" s="439">
        <f t="shared" si="70"/>
        <v>0</v>
      </c>
      <c r="AD95" s="1"/>
      <c r="AE95" s="1"/>
    </row>
    <row r="96" spans="9:34" ht="15.75" x14ac:dyDescent="0.25">
      <c r="I96" s="38"/>
      <c r="J96" s="97"/>
      <c r="K96" s="148"/>
      <c r="L96" s="148"/>
      <c r="M96" s="148"/>
      <c r="N96" s="148"/>
      <c r="Q96" s="148"/>
      <c r="R96" s="148"/>
      <c r="S96" s="148"/>
      <c r="T96" s="148"/>
      <c r="U96" s="148"/>
      <c r="V96" s="148"/>
      <c r="W96" s="148"/>
      <c r="X96" s="148"/>
      <c r="Y96" s="148"/>
      <c r="Z96" s="148"/>
      <c r="AA96" s="148"/>
      <c r="AB96" s="148"/>
      <c r="AC96" s="148"/>
      <c r="AD96" s="148"/>
      <c r="AE96" s="148"/>
      <c r="AF96" s="148"/>
    </row>
    <row r="97" spans="9:31" ht="18" outlineLevel="1" x14ac:dyDescent="0.4">
      <c r="I97" s="38"/>
      <c r="J97" s="39" t="s">
        <v>85</v>
      </c>
      <c r="K97" s="169"/>
      <c r="L97" s="31"/>
      <c r="N97" s="170" t="s">
        <v>86</v>
      </c>
      <c r="O97" s="171" t="str">
        <f>L39</f>
        <v/>
      </c>
      <c r="Q97" s="170" t="str">
        <f>"Proj NPV @"&amp;L98*100&amp;"%"</f>
        <v>Proj NPV @15%</v>
      </c>
      <c r="R97" s="172">
        <f>L36</f>
        <v>0</v>
      </c>
      <c r="T97" s="170" t="s">
        <v>87</v>
      </c>
      <c r="U97" s="173" t="str">
        <f>IFERROR(ROUND(L34/L65,1),"")</f>
        <v/>
      </c>
      <c r="V97" s="174"/>
      <c r="W97" s="174"/>
      <c r="X97" s="174"/>
      <c r="Y97" s="174"/>
      <c r="Z97" s="174"/>
      <c r="AA97" s="174"/>
      <c r="AB97" s="174"/>
      <c r="AC97" s="174"/>
      <c r="AD97" s="1"/>
      <c r="AE97" s="1"/>
    </row>
    <row r="98" spans="9:31" ht="15.75" outlineLevel="1" x14ac:dyDescent="0.25">
      <c r="I98" s="38"/>
      <c r="J98" s="97" t="s">
        <v>88</v>
      </c>
      <c r="K98" s="169"/>
      <c r="L98" s="175">
        <v>0.15</v>
      </c>
      <c r="W98" s="31"/>
      <c r="X98" s="31"/>
      <c r="Y98" s="31"/>
      <c r="Z98" s="31"/>
      <c r="AA98" s="31"/>
      <c r="AB98" s="31"/>
      <c r="AC98" s="31"/>
      <c r="AD98" s="1"/>
      <c r="AE98" s="1"/>
    </row>
    <row r="99" spans="9:31" ht="15.75" outlineLevel="1" x14ac:dyDescent="0.25">
      <c r="I99" s="38"/>
      <c r="J99" s="97" t="s">
        <v>89</v>
      </c>
      <c r="K99" s="169"/>
      <c r="L99" s="443"/>
      <c r="N99" s="31"/>
      <c r="O99" s="31"/>
      <c r="P99" s="31"/>
      <c r="Q99" s="31"/>
      <c r="R99" s="31"/>
      <c r="S99" s="31"/>
      <c r="T99" s="31"/>
      <c r="U99" s="31"/>
      <c r="V99" s="31"/>
      <c r="W99" s="31"/>
      <c r="X99" s="31"/>
      <c r="Y99" s="31"/>
      <c r="Z99" s="31"/>
      <c r="AA99" s="31"/>
      <c r="AB99" s="31"/>
      <c r="AC99" s="31"/>
      <c r="AD99" s="1"/>
      <c r="AE99" s="1"/>
    </row>
    <row r="100" spans="9:31" ht="15.75" outlineLevel="1" x14ac:dyDescent="0.25">
      <c r="I100" s="38"/>
      <c r="J100" s="97" t="s">
        <v>91</v>
      </c>
      <c r="K100" s="148" t="s">
        <v>56</v>
      </c>
      <c r="L100" s="444">
        <f>IFERROR(AVERAGEIF(N100:AC100,"&gt;0.001",N100:AC100),)</f>
        <v>0</v>
      </c>
      <c r="N100" s="440">
        <f t="shared" ref="N100:AC100" si="71">-IFERROR(N168/N213,)</f>
        <v>0</v>
      </c>
      <c r="O100" s="441">
        <f t="shared" si="71"/>
        <v>0</v>
      </c>
      <c r="P100" s="441">
        <f t="shared" si="71"/>
        <v>0</v>
      </c>
      <c r="Q100" s="441">
        <f t="shared" si="71"/>
        <v>0</v>
      </c>
      <c r="R100" s="441">
        <f t="shared" si="71"/>
        <v>0</v>
      </c>
      <c r="S100" s="441">
        <f t="shared" si="71"/>
        <v>0</v>
      </c>
      <c r="T100" s="441">
        <f t="shared" si="71"/>
        <v>0</v>
      </c>
      <c r="U100" s="441">
        <f t="shared" si="71"/>
        <v>0</v>
      </c>
      <c r="V100" s="441">
        <f t="shared" si="71"/>
        <v>0</v>
      </c>
      <c r="W100" s="441">
        <f t="shared" si="71"/>
        <v>0</v>
      </c>
      <c r="X100" s="441">
        <f t="shared" si="71"/>
        <v>0</v>
      </c>
      <c r="Y100" s="441">
        <f t="shared" si="71"/>
        <v>0</v>
      </c>
      <c r="Z100" s="441">
        <f t="shared" si="71"/>
        <v>0</v>
      </c>
      <c r="AA100" s="441">
        <f t="shared" si="71"/>
        <v>0</v>
      </c>
      <c r="AB100" s="441">
        <f t="shared" si="71"/>
        <v>0</v>
      </c>
      <c r="AC100" s="442">
        <f t="shared" si="71"/>
        <v>0</v>
      </c>
      <c r="AD100" s="1"/>
      <c r="AE100" s="1"/>
    </row>
    <row r="101" spans="9:31" ht="15.75" outlineLevel="1" x14ac:dyDescent="0.25">
      <c r="I101" s="38"/>
      <c r="J101" s="97" t="s">
        <v>92</v>
      </c>
      <c r="K101" s="148" t="s">
        <v>93</v>
      </c>
      <c r="L101" s="98" t="str">
        <f>IF(ABS(SUM(N101:AC101))=0,"OK, fully repaid","Error, must fully repay")</f>
        <v>OK, fully repaid</v>
      </c>
      <c r="N101" s="428">
        <f>SUM('Bgn&gt;&gt;:&lt;&lt;End'!N101)</f>
        <v>0</v>
      </c>
      <c r="O101" s="427">
        <f>SUM('Bgn&gt;&gt;:&lt;&lt;End'!O101)</f>
        <v>0</v>
      </c>
      <c r="P101" s="427">
        <f>SUM('Bgn&gt;&gt;:&lt;&lt;End'!P101)</f>
        <v>0</v>
      </c>
      <c r="Q101" s="427">
        <f>SUM('Bgn&gt;&gt;:&lt;&lt;End'!Q101)</f>
        <v>0</v>
      </c>
      <c r="R101" s="427">
        <f>SUM('Bgn&gt;&gt;:&lt;&lt;End'!R101)</f>
        <v>0</v>
      </c>
      <c r="S101" s="427">
        <f>SUM('Bgn&gt;&gt;:&lt;&lt;End'!S101)</f>
        <v>0</v>
      </c>
      <c r="T101" s="427">
        <f>SUM('Bgn&gt;&gt;:&lt;&lt;End'!T101)</f>
        <v>0</v>
      </c>
      <c r="U101" s="427">
        <f>SUM('Bgn&gt;&gt;:&lt;&lt;End'!U101)</f>
        <v>0</v>
      </c>
      <c r="V101" s="427">
        <f>SUM('Bgn&gt;&gt;:&lt;&lt;End'!V101)</f>
        <v>0</v>
      </c>
      <c r="W101" s="427">
        <f>SUM('Bgn&gt;&gt;:&lt;&lt;End'!W101)</f>
        <v>0</v>
      </c>
      <c r="X101" s="427">
        <f>SUM('Bgn&gt;&gt;:&lt;&lt;End'!X101)</f>
        <v>0</v>
      </c>
      <c r="Y101" s="427">
        <f>SUM('Bgn&gt;&gt;:&lt;&lt;End'!Y101)</f>
        <v>0</v>
      </c>
      <c r="Z101" s="427">
        <f>SUM('Bgn&gt;&gt;:&lt;&lt;End'!Z101)</f>
        <v>0</v>
      </c>
      <c r="AA101" s="427">
        <f>SUM('Bgn&gt;&gt;:&lt;&lt;End'!AA101)</f>
        <v>0</v>
      </c>
      <c r="AB101" s="427">
        <f>SUM('Bgn&gt;&gt;:&lt;&lt;End'!AB101)</f>
        <v>0</v>
      </c>
      <c r="AC101" s="429">
        <f>SUM('Bgn&gt;&gt;:&lt;&lt;End'!AC101)</f>
        <v>0</v>
      </c>
      <c r="AD101" s="1"/>
      <c r="AE101" s="1"/>
    </row>
    <row r="102" spans="9:31" ht="15.75" outlineLevel="1" x14ac:dyDescent="0.25">
      <c r="I102" s="38"/>
      <c r="J102" s="97" t="s">
        <v>94</v>
      </c>
      <c r="K102" s="169"/>
      <c r="L102" s="184"/>
      <c r="N102" s="428">
        <f>SUM('Bgn&gt;&gt;:&lt;&lt;End'!N102)</f>
        <v>0</v>
      </c>
      <c r="O102" s="427">
        <f>SUM('Bgn&gt;&gt;:&lt;&lt;End'!O102)</f>
        <v>0</v>
      </c>
      <c r="P102" s="427">
        <f>SUM('Bgn&gt;&gt;:&lt;&lt;End'!P102)</f>
        <v>0</v>
      </c>
      <c r="Q102" s="427">
        <f>SUM('Bgn&gt;&gt;:&lt;&lt;End'!Q102)</f>
        <v>0</v>
      </c>
      <c r="R102" s="427">
        <f>SUM('Bgn&gt;&gt;:&lt;&lt;End'!R102)</f>
        <v>0</v>
      </c>
      <c r="S102" s="427">
        <f>SUM('Bgn&gt;&gt;:&lt;&lt;End'!S102)</f>
        <v>0</v>
      </c>
      <c r="T102" s="427">
        <f>SUM('Bgn&gt;&gt;:&lt;&lt;End'!T102)</f>
        <v>0</v>
      </c>
      <c r="U102" s="427">
        <f>SUM('Bgn&gt;&gt;:&lt;&lt;End'!U102)</f>
        <v>0</v>
      </c>
      <c r="V102" s="427">
        <f>SUM('Bgn&gt;&gt;:&lt;&lt;End'!V102)</f>
        <v>0</v>
      </c>
      <c r="W102" s="427">
        <f>SUM('Bgn&gt;&gt;:&lt;&lt;End'!W102)</f>
        <v>0</v>
      </c>
      <c r="X102" s="427">
        <f>SUM('Bgn&gt;&gt;:&lt;&lt;End'!X102)</f>
        <v>0</v>
      </c>
      <c r="Y102" s="427">
        <f>SUM('Bgn&gt;&gt;:&lt;&lt;End'!Y102)</f>
        <v>0</v>
      </c>
      <c r="Z102" s="427">
        <f>SUM('Bgn&gt;&gt;:&lt;&lt;End'!Z102)</f>
        <v>0</v>
      </c>
      <c r="AA102" s="427">
        <f>SUM('Bgn&gt;&gt;:&lt;&lt;End'!AA102)</f>
        <v>0</v>
      </c>
      <c r="AB102" s="427">
        <f>SUM('Bgn&gt;&gt;:&lt;&lt;End'!AB102)</f>
        <v>0</v>
      </c>
      <c r="AC102" s="429">
        <f>SUM('Bgn&gt;&gt;:&lt;&lt;End'!AC102)</f>
        <v>0</v>
      </c>
      <c r="AD102" s="1"/>
      <c r="AE102" s="1"/>
    </row>
    <row r="103" spans="9:31" ht="15.75" outlineLevel="1" x14ac:dyDescent="0.25">
      <c r="I103" s="38"/>
      <c r="J103" s="97" t="s">
        <v>95</v>
      </c>
      <c r="K103" s="169"/>
      <c r="L103" s="184"/>
      <c r="N103" s="185">
        <f t="shared" ref="N103:AC103" si="72">N199</f>
        <v>0</v>
      </c>
      <c r="O103" s="186">
        <f t="shared" si="72"/>
        <v>0</v>
      </c>
      <c r="P103" s="186">
        <f t="shared" si="72"/>
        <v>0</v>
      </c>
      <c r="Q103" s="186">
        <f t="shared" si="72"/>
        <v>0</v>
      </c>
      <c r="R103" s="186">
        <f t="shared" si="72"/>
        <v>0</v>
      </c>
      <c r="S103" s="186">
        <f t="shared" si="72"/>
        <v>0</v>
      </c>
      <c r="T103" s="186">
        <f t="shared" si="72"/>
        <v>0</v>
      </c>
      <c r="U103" s="186">
        <f t="shared" si="72"/>
        <v>0</v>
      </c>
      <c r="V103" s="186">
        <f t="shared" si="72"/>
        <v>0</v>
      </c>
      <c r="W103" s="186">
        <f t="shared" si="72"/>
        <v>0</v>
      </c>
      <c r="X103" s="186">
        <f t="shared" si="72"/>
        <v>0</v>
      </c>
      <c r="Y103" s="186">
        <f t="shared" si="72"/>
        <v>0</v>
      </c>
      <c r="Z103" s="186">
        <f t="shared" si="72"/>
        <v>0</v>
      </c>
      <c r="AA103" s="186">
        <f t="shared" si="72"/>
        <v>0</v>
      </c>
      <c r="AB103" s="186">
        <f t="shared" si="72"/>
        <v>0</v>
      </c>
      <c r="AC103" s="187">
        <f t="shared" si="72"/>
        <v>0</v>
      </c>
      <c r="AD103" s="1"/>
      <c r="AE103" s="1"/>
    </row>
    <row r="104" spans="9:31" ht="15.75" outlineLevel="1" x14ac:dyDescent="0.25">
      <c r="I104" s="38"/>
      <c r="J104" s="97"/>
      <c r="K104" s="169"/>
      <c r="L104" s="184"/>
      <c r="N104" s="97"/>
      <c r="O104" s="97"/>
      <c r="P104" s="97"/>
      <c r="Q104" s="97"/>
      <c r="R104" s="97"/>
      <c r="S104" s="97"/>
      <c r="T104" s="97"/>
      <c r="U104" s="97"/>
      <c r="V104" s="97"/>
      <c r="W104" s="97"/>
      <c r="X104" s="97"/>
      <c r="Y104" s="97"/>
      <c r="Z104" s="97"/>
      <c r="AA104" s="97"/>
      <c r="AB104" s="97"/>
      <c r="AC104" s="97"/>
      <c r="AD104" s="1"/>
      <c r="AE104" s="1"/>
    </row>
    <row r="105" spans="9:31" ht="18" outlineLevel="1" x14ac:dyDescent="0.2">
      <c r="I105" s="104" t="s">
        <v>96</v>
      </c>
      <c r="J105" s="105" t="s">
        <v>97</v>
      </c>
      <c r="K105" s="105"/>
      <c r="L105" s="105"/>
      <c r="M105" s="106"/>
      <c r="N105" s="107"/>
      <c r="O105" s="107"/>
      <c r="P105" s="107"/>
      <c r="Q105" s="107"/>
      <c r="R105" s="107"/>
      <c r="S105" s="107"/>
      <c r="T105" s="107"/>
      <c r="U105" s="107"/>
      <c r="V105" s="107"/>
      <c r="W105" s="107"/>
      <c r="X105" s="107"/>
      <c r="Y105" s="107"/>
      <c r="Z105" s="107"/>
      <c r="AA105" s="107"/>
      <c r="AB105" s="107"/>
      <c r="AC105" s="107"/>
      <c r="AD105" s="1"/>
      <c r="AE105" s="1"/>
    </row>
    <row r="106" spans="9:31" ht="15.75" outlineLevel="1" x14ac:dyDescent="0.25">
      <c r="I106" s="38"/>
      <c r="J106" s="97"/>
      <c r="K106" s="169"/>
      <c r="L106"/>
      <c r="N106" s="97"/>
      <c r="O106" s="97"/>
      <c r="P106" s="97"/>
      <c r="Q106" s="97"/>
      <c r="R106" s="97"/>
      <c r="S106" s="97"/>
      <c r="T106" s="97"/>
      <c r="U106" s="97"/>
      <c r="V106" s="97"/>
      <c r="W106" s="97"/>
      <c r="X106" s="97"/>
      <c r="Y106" s="97"/>
      <c r="Z106" s="97"/>
      <c r="AA106" s="97"/>
      <c r="AB106" s="97"/>
      <c r="AC106" s="97"/>
      <c r="AD106" s="1"/>
      <c r="AE106" s="1"/>
    </row>
    <row r="107" spans="9:31" ht="21" customHeight="1" outlineLevel="1" x14ac:dyDescent="0.4">
      <c r="I107" s="38"/>
      <c r="J107" s="39" t="s">
        <v>98</v>
      </c>
      <c r="K107" s="169" t="s">
        <v>99</v>
      </c>
      <c r="L107"/>
      <c r="O107" s="47" t="s">
        <v>100</v>
      </c>
      <c r="P107" s="443"/>
      <c r="Q107" s="97"/>
      <c r="R107" s="97"/>
      <c r="S107" s="97"/>
      <c r="T107" s="97"/>
      <c r="U107" s="97"/>
      <c r="V107" s="97"/>
      <c r="W107" s="97"/>
      <c r="X107" s="97"/>
      <c r="Y107" s="97"/>
      <c r="Z107" s="97"/>
      <c r="AA107" s="97"/>
      <c r="AB107" s="97"/>
      <c r="AC107" s="97"/>
      <c r="AD107" s="1"/>
      <c r="AE107" s="1"/>
    </row>
    <row r="108" spans="9:31" ht="15.75" outlineLevel="1" x14ac:dyDescent="0.25">
      <c r="I108" s="38" t="s">
        <v>72</v>
      </c>
      <c r="J108" s="97" t="s">
        <v>101</v>
      </c>
      <c r="K108" s="189">
        <v>45</v>
      </c>
      <c r="L108"/>
      <c r="N108" s="1040">
        <f>SUM('Bgn&gt;&gt;:&lt;&lt;End'!N108)</f>
        <v>0</v>
      </c>
      <c r="O108" s="1041">
        <f>SUM('Bgn&gt;&gt;:&lt;&lt;End'!O108)</f>
        <v>0</v>
      </c>
      <c r="P108" s="1041">
        <f>SUM('Bgn&gt;&gt;:&lt;&lt;End'!P108)</f>
        <v>0</v>
      </c>
      <c r="Q108" s="1041">
        <f>SUM('Bgn&gt;&gt;:&lt;&lt;End'!Q108)</f>
        <v>0</v>
      </c>
      <c r="R108" s="1041">
        <f>SUM('Bgn&gt;&gt;:&lt;&lt;End'!R108)</f>
        <v>0</v>
      </c>
      <c r="S108" s="1041">
        <f>SUM('Bgn&gt;&gt;:&lt;&lt;End'!S108)</f>
        <v>0</v>
      </c>
      <c r="T108" s="1041">
        <f>SUM('Bgn&gt;&gt;:&lt;&lt;End'!T108)</f>
        <v>0</v>
      </c>
      <c r="U108" s="1041">
        <f>SUM('Bgn&gt;&gt;:&lt;&lt;End'!U108)</f>
        <v>0</v>
      </c>
      <c r="V108" s="1041">
        <f>SUM('Bgn&gt;&gt;:&lt;&lt;End'!V108)</f>
        <v>0</v>
      </c>
      <c r="W108" s="1041">
        <f>SUM('Bgn&gt;&gt;:&lt;&lt;End'!W108)</f>
        <v>0</v>
      </c>
      <c r="X108" s="1041">
        <f>SUM('Bgn&gt;&gt;:&lt;&lt;End'!X108)</f>
        <v>0</v>
      </c>
      <c r="Y108" s="1041">
        <f>SUM('Bgn&gt;&gt;:&lt;&lt;End'!Y108)</f>
        <v>0</v>
      </c>
      <c r="Z108" s="1041">
        <f>SUM('Bgn&gt;&gt;:&lt;&lt;End'!Z108)</f>
        <v>0</v>
      </c>
      <c r="AA108" s="1041">
        <f>SUM('Bgn&gt;&gt;:&lt;&lt;End'!AA108)</f>
        <v>0</v>
      </c>
      <c r="AB108" s="1041">
        <f>SUM('Bgn&gt;&gt;:&lt;&lt;End'!AB108)</f>
        <v>0</v>
      </c>
      <c r="AC108" s="1042">
        <f>SUM('Bgn&gt;&gt;:&lt;&lt;End'!AC108)</f>
        <v>0</v>
      </c>
      <c r="AD108" s="1"/>
      <c r="AE108" s="1"/>
    </row>
    <row r="109" spans="9:31" ht="15.75" outlineLevel="1" x14ac:dyDescent="0.25">
      <c r="I109" s="38" t="s">
        <v>74</v>
      </c>
      <c r="J109" s="97" t="s">
        <v>102</v>
      </c>
      <c r="K109" s="190">
        <v>30</v>
      </c>
      <c r="L109"/>
      <c r="N109" s="788">
        <f>SUM('Bgn&gt;&gt;:&lt;&lt;End'!N109)</f>
        <v>0</v>
      </c>
      <c r="O109" s="1043">
        <f>SUM('Bgn&gt;&gt;:&lt;&lt;End'!O109)</f>
        <v>0</v>
      </c>
      <c r="P109" s="1043">
        <f>SUM('Bgn&gt;&gt;:&lt;&lt;End'!P109)</f>
        <v>0</v>
      </c>
      <c r="Q109" s="1043">
        <f>SUM('Bgn&gt;&gt;:&lt;&lt;End'!Q109)</f>
        <v>0</v>
      </c>
      <c r="R109" s="1043">
        <f>SUM('Bgn&gt;&gt;:&lt;&lt;End'!R109)</f>
        <v>0</v>
      </c>
      <c r="S109" s="1043">
        <f>SUM('Bgn&gt;&gt;:&lt;&lt;End'!S109)</f>
        <v>0</v>
      </c>
      <c r="T109" s="1043">
        <f>SUM('Bgn&gt;&gt;:&lt;&lt;End'!T109)</f>
        <v>0</v>
      </c>
      <c r="U109" s="1043">
        <f>SUM('Bgn&gt;&gt;:&lt;&lt;End'!U109)</f>
        <v>0</v>
      </c>
      <c r="V109" s="1043">
        <f>SUM('Bgn&gt;&gt;:&lt;&lt;End'!V109)</f>
        <v>0</v>
      </c>
      <c r="W109" s="1043">
        <f>SUM('Bgn&gt;&gt;:&lt;&lt;End'!W109)</f>
        <v>0</v>
      </c>
      <c r="X109" s="1043">
        <f>SUM('Bgn&gt;&gt;:&lt;&lt;End'!X109)</f>
        <v>0</v>
      </c>
      <c r="Y109" s="1043">
        <f>SUM('Bgn&gt;&gt;:&lt;&lt;End'!Y109)</f>
        <v>0</v>
      </c>
      <c r="Z109" s="1043">
        <f>SUM('Bgn&gt;&gt;:&lt;&lt;End'!Z109)</f>
        <v>0</v>
      </c>
      <c r="AA109" s="1043">
        <f>SUM('Bgn&gt;&gt;:&lt;&lt;End'!AA109)</f>
        <v>0</v>
      </c>
      <c r="AB109" s="1043">
        <f>SUM('Bgn&gt;&gt;:&lt;&lt;End'!AB109)</f>
        <v>0</v>
      </c>
      <c r="AC109" s="1044">
        <f>SUM('Bgn&gt;&gt;:&lt;&lt;End'!AC109)</f>
        <v>0</v>
      </c>
      <c r="AD109" s="1"/>
      <c r="AE109" s="1"/>
    </row>
    <row r="110" spans="9:31" ht="15.75" outlineLevel="1" x14ac:dyDescent="0.25">
      <c r="I110" s="38" t="s">
        <v>76</v>
      </c>
      <c r="J110" s="97" t="s">
        <v>103</v>
      </c>
      <c r="K110" s="191">
        <v>60</v>
      </c>
      <c r="L110"/>
      <c r="N110" s="1045">
        <f>SUM('Bgn&gt;&gt;:&lt;&lt;End'!N110)</f>
        <v>0</v>
      </c>
      <c r="O110" s="1046">
        <f>SUM('Bgn&gt;&gt;:&lt;&lt;End'!O110)</f>
        <v>0</v>
      </c>
      <c r="P110" s="1046">
        <f>SUM('Bgn&gt;&gt;:&lt;&lt;End'!P110)</f>
        <v>0</v>
      </c>
      <c r="Q110" s="1046">
        <f>SUM('Bgn&gt;&gt;:&lt;&lt;End'!Q110)</f>
        <v>0</v>
      </c>
      <c r="R110" s="1046">
        <f>SUM('Bgn&gt;&gt;:&lt;&lt;End'!R110)</f>
        <v>0</v>
      </c>
      <c r="S110" s="1046">
        <f>SUM('Bgn&gt;&gt;:&lt;&lt;End'!S110)</f>
        <v>0</v>
      </c>
      <c r="T110" s="1046">
        <f>SUM('Bgn&gt;&gt;:&lt;&lt;End'!T110)</f>
        <v>0</v>
      </c>
      <c r="U110" s="1046">
        <f>SUM('Bgn&gt;&gt;:&lt;&lt;End'!U110)</f>
        <v>0</v>
      </c>
      <c r="V110" s="1046">
        <f>SUM('Bgn&gt;&gt;:&lt;&lt;End'!V110)</f>
        <v>0</v>
      </c>
      <c r="W110" s="1046">
        <f>SUM('Bgn&gt;&gt;:&lt;&lt;End'!W110)</f>
        <v>0</v>
      </c>
      <c r="X110" s="1046">
        <f>SUM('Bgn&gt;&gt;:&lt;&lt;End'!X110)</f>
        <v>0</v>
      </c>
      <c r="Y110" s="1046">
        <f>SUM('Bgn&gt;&gt;:&lt;&lt;End'!Y110)</f>
        <v>0</v>
      </c>
      <c r="Z110" s="1046">
        <f>SUM('Bgn&gt;&gt;:&lt;&lt;End'!Z110)</f>
        <v>0</v>
      </c>
      <c r="AA110" s="1046">
        <f>SUM('Bgn&gt;&gt;:&lt;&lt;End'!AA110)</f>
        <v>0</v>
      </c>
      <c r="AB110" s="1046">
        <f>SUM('Bgn&gt;&gt;:&lt;&lt;End'!AB110)</f>
        <v>0</v>
      </c>
      <c r="AC110" s="1047">
        <f>SUM('Bgn&gt;&gt;:&lt;&lt;End'!AC110)</f>
        <v>0</v>
      </c>
      <c r="AD110" s="1"/>
      <c r="AE110" s="1"/>
    </row>
    <row r="111" spans="9:31" ht="15.75" outlineLevel="1" x14ac:dyDescent="0.25">
      <c r="I111" s="38" t="s">
        <v>62</v>
      </c>
      <c r="J111" s="192" t="s">
        <v>104</v>
      </c>
      <c r="K111" s="148"/>
      <c r="L111"/>
      <c r="N111" s="919">
        <f>MAX(SUM(N108:N110),0)</f>
        <v>0</v>
      </c>
      <c r="O111" s="920">
        <f t="shared" ref="O111:AC111" si="73">MAX(SUM(O108:O110),0)</f>
        <v>0</v>
      </c>
      <c r="P111" s="920">
        <f t="shared" si="73"/>
        <v>0</v>
      </c>
      <c r="Q111" s="920">
        <f t="shared" si="73"/>
        <v>0</v>
      </c>
      <c r="R111" s="920">
        <f t="shared" si="73"/>
        <v>0</v>
      </c>
      <c r="S111" s="920">
        <f t="shared" si="73"/>
        <v>0</v>
      </c>
      <c r="T111" s="920">
        <f t="shared" si="73"/>
        <v>0</v>
      </c>
      <c r="U111" s="920">
        <f t="shared" si="73"/>
        <v>0</v>
      </c>
      <c r="V111" s="920">
        <f t="shared" si="73"/>
        <v>0</v>
      </c>
      <c r="W111" s="920">
        <f t="shared" si="73"/>
        <v>0</v>
      </c>
      <c r="X111" s="920">
        <f t="shared" si="73"/>
        <v>0</v>
      </c>
      <c r="Y111" s="920">
        <f t="shared" si="73"/>
        <v>0</v>
      </c>
      <c r="Z111" s="920">
        <f t="shared" si="73"/>
        <v>0</v>
      </c>
      <c r="AA111" s="920">
        <f t="shared" si="73"/>
        <v>0</v>
      </c>
      <c r="AB111" s="920">
        <f t="shared" si="73"/>
        <v>0</v>
      </c>
      <c r="AC111" s="921">
        <f t="shared" si="73"/>
        <v>0</v>
      </c>
      <c r="AD111" s="1"/>
      <c r="AE111" s="1"/>
    </row>
    <row r="112" spans="9:31" outlineLevel="1" x14ac:dyDescent="0.3">
      <c r="I112" s="99"/>
      <c r="K112" s="193"/>
      <c r="N112" s="194"/>
      <c r="O112" s="194"/>
      <c r="P112" s="194"/>
      <c r="Q112" s="194"/>
      <c r="R112" s="194"/>
      <c r="S112" s="194"/>
      <c r="T112" s="194"/>
      <c r="U112" s="194"/>
      <c r="V112" s="194"/>
      <c r="W112" s="194"/>
      <c r="X112" s="194"/>
      <c r="Y112" s="194"/>
      <c r="Z112" s="194"/>
      <c r="AA112" s="194"/>
      <c r="AB112" s="194"/>
      <c r="AC112" s="194"/>
      <c r="AD112" s="1"/>
      <c r="AE112" s="1"/>
    </row>
    <row r="113" spans="8:58" ht="18" x14ac:dyDescent="0.2">
      <c r="I113" s="132">
        <v>3</v>
      </c>
      <c r="J113" s="33" t="s">
        <v>283</v>
      </c>
      <c r="K113" s="195" t="s">
        <v>8</v>
      </c>
      <c r="L113" s="196"/>
      <c r="N113" s="197">
        <f>N$11</f>
        <v>2024</v>
      </c>
      <c r="O113" s="133">
        <f t="shared" ref="O113:AC113" si="74">O$11</f>
        <v>2025</v>
      </c>
      <c r="P113" s="133">
        <f t="shared" si="74"/>
        <v>2026</v>
      </c>
      <c r="Q113" s="133">
        <f t="shared" si="74"/>
        <v>2027</v>
      </c>
      <c r="R113" s="133">
        <f t="shared" si="74"/>
        <v>2028</v>
      </c>
      <c r="S113" s="133">
        <f t="shared" si="74"/>
        <v>2029</v>
      </c>
      <c r="T113" s="133">
        <f t="shared" si="74"/>
        <v>2030</v>
      </c>
      <c r="U113" s="133">
        <f t="shared" si="74"/>
        <v>2031</v>
      </c>
      <c r="V113" s="133">
        <f t="shared" si="74"/>
        <v>2032</v>
      </c>
      <c r="W113" s="133">
        <f t="shared" si="74"/>
        <v>2033</v>
      </c>
      <c r="X113" s="133">
        <f t="shared" si="74"/>
        <v>2034</v>
      </c>
      <c r="Y113" s="133">
        <f t="shared" si="74"/>
        <v>2035</v>
      </c>
      <c r="Z113" s="133">
        <f t="shared" si="74"/>
        <v>2036</v>
      </c>
      <c r="AA113" s="133">
        <f t="shared" si="74"/>
        <v>2037</v>
      </c>
      <c r="AB113" s="133">
        <f t="shared" si="74"/>
        <v>2038</v>
      </c>
      <c r="AC113" s="198">
        <f t="shared" si="74"/>
        <v>2039</v>
      </c>
      <c r="AD113" s="1"/>
      <c r="AE113" s="1"/>
    </row>
    <row r="114" spans="8:58" ht="21.4" customHeight="1" x14ac:dyDescent="0.2">
      <c r="I114" s="199" t="e">
        <f>INDEX($J$118:$AC$171,MATCH(#REF!,$J$118:$J$171,0),MATCH($I$118,$J$118:$AC$118,0))</f>
        <v>#REF!</v>
      </c>
      <c r="J114" s="449" t="s">
        <v>105</v>
      </c>
      <c r="K114" s="1"/>
      <c r="AC114" s="201"/>
      <c r="AD114" s="1"/>
      <c r="AE114" s="1"/>
    </row>
    <row r="115" spans="8:58" s="4" customFormat="1" ht="15.75" x14ac:dyDescent="0.25">
      <c r="H115" s="1"/>
      <c r="I115" s="202"/>
      <c r="J115" s="447" t="s">
        <v>286</v>
      </c>
      <c r="K115" s="809">
        <f>SUM(N115:AC115)</f>
        <v>0</v>
      </c>
      <c r="L115" s="451" t="s">
        <v>287</v>
      </c>
      <c r="N115" s="797">
        <f>SUM('Bgn&gt;&gt;:&lt;&lt;End'!N115)</f>
        <v>0</v>
      </c>
      <c r="O115" s="797">
        <f>SUM('Bgn&gt;&gt;:&lt;&lt;End'!O115)</f>
        <v>0</v>
      </c>
      <c r="P115" s="797">
        <f>SUM('Bgn&gt;&gt;:&lt;&lt;End'!P115)</f>
        <v>0</v>
      </c>
      <c r="Q115" s="797">
        <f>SUM('Bgn&gt;&gt;:&lt;&lt;End'!Q115)</f>
        <v>0</v>
      </c>
      <c r="R115" s="797">
        <f>SUM('Bgn&gt;&gt;:&lt;&lt;End'!R115)</f>
        <v>0</v>
      </c>
      <c r="S115" s="797">
        <f>SUM('Bgn&gt;&gt;:&lt;&lt;End'!S115)</f>
        <v>0</v>
      </c>
      <c r="T115" s="797">
        <f>SUM('Bgn&gt;&gt;:&lt;&lt;End'!T115)</f>
        <v>0</v>
      </c>
      <c r="U115" s="797">
        <f>SUM('Bgn&gt;&gt;:&lt;&lt;End'!U115)</f>
        <v>0</v>
      </c>
      <c r="V115" s="797">
        <f>SUM('Bgn&gt;&gt;:&lt;&lt;End'!V115)</f>
        <v>0</v>
      </c>
      <c r="W115" s="797">
        <f>SUM('Bgn&gt;&gt;:&lt;&lt;End'!W115)</f>
        <v>0</v>
      </c>
      <c r="X115" s="797">
        <f>SUM('Bgn&gt;&gt;:&lt;&lt;End'!X115)</f>
        <v>0</v>
      </c>
      <c r="Y115" s="797">
        <f>SUM('Bgn&gt;&gt;:&lt;&lt;End'!Y115)</f>
        <v>0</v>
      </c>
      <c r="Z115" s="797">
        <f>SUM('Bgn&gt;&gt;:&lt;&lt;End'!Z115)</f>
        <v>0</v>
      </c>
      <c r="AA115" s="797">
        <f>SUM('Bgn&gt;&gt;:&lt;&lt;End'!AA115)</f>
        <v>0</v>
      </c>
      <c r="AB115" s="797">
        <f>SUM('Bgn&gt;&gt;:&lt;&lt;End'!AB115)</f>
        <v>0</v>
      </c>
      <c r="AC115" s="797">
        <f>SUM('Bgn&gt;&gt;:&lt;&lt;End'!AC115)</f>
        <v>0</v>
      </c>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row>
    <row r="116" spans="8:58" s="4" customFormat="1" ht="15.75" x14ac:dyDescent="0.25">
      <c r="H116" s="1"/>
      <c r="I116" s="202"/>
      <c r="J116" s="448" t="s">
        <v>288</v>
      </c>
      <c r="K116" s="798">
        <f>IFERROR(K118/K115,)</f>
        <v>0</v>
      </c>
      <c r="L116" s="464" t="s">
        <v>301</v>
      </c>
      <c r="N116" s="798">
        <f>IFERROR(N118/N115,)</f>
        <v>0</v>
      </c>
      <c r="O116" s="799">
        <f t="shared" ref="O116:AC116" si="75">IFERROR(O118/O115,)</f>
        <v>0</v>
      </c>
      <c r="P116" s="799">
        <f t="shared" si="75"/>
        <v>0</v>
      </c>
      <c r="Q116" s="799">
        <f t="shared" si="75"/>
        <v>0</v>
      </c>
      <c r="R116" s="799">
        <f t="shared" si="75"/>
        <v>0</v>
      </c>
      <c r="S116" s="799">
        <f t="shared" si="75"/>
        <v>0</v>
      </c>
      <c r="T116" s="799">
        <f t="shared" si="75"/>
        <v>0</v>
      </c>
      <c r="U116" s="799">
        <f t="shared" si="75"/>
        <v>0</v>
      </c>
      <c r="V116" s="799">
        <f t="shared" si="75"/>
        <v>0</v>
      </c>
      <c r="W116" s="799">
        <f t="shared" si="75"/>
        <v>0</v>
      </c>
      <c r="X116" s="799">
        <f t="shared" si="75"/>
        <v>0</v>
      </c>
      <c r="Y116" s="799">
        <f t="shared" si="75"/>
        <v>0</v>
      </c>
      <c r="Z116" s="799">
        <f t="shared" si="75"/>
        <v>0</v>
      </c>
      <c r="AA116" s="799">
        <f t="shared" si="75"/>
        <v>0</v>
      </c>
      <c r="AB116" s="799">
        <f t="shared" si="75"/>
        <v>0</v>
      </c>
      <c r="AC116" s="799">
        <f t="shared" si="75"/>
        <v>0</v>
      </c>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row>
    <row r="117" spans="8:58" ht="7.9" customHeight="1" x14ac:dyDescent="0.2">
      <c r="I117" s="199"/>
      <c r="J117" s="200"/>
      <c r="K117" s="750"/>
      <c r="N117" s="750"/>
      <c r="O117" s="750"/>
      <c r="P117" s="750"/>
      <c r="Q117" s="750"/>
      <c r="R117" s="750"/>
      <c r="S117" s="750"/>
      <c r="T117" s="750"/>
      <c r="U117" s="750"/>
      <c r="V117" s="750"/>
      <c r="W117" s="750"/>
      <c r="X117" s="750"/>
      <c r="Y117" s="750"/>
      <c r="Z117" s="750"/>
      <c r="AA117" s="750"/>
      <c r="AB117" s="750"/>
      <c r="AC117" s="800"/>
      <c r="AD117" s="1"/>
      <c r="AE117" s="1"/>
    </row>
    <row r="118" spans="8:58" s="4" customFormat="1" ht="22.5" customHeight="1" x14ac:dyDescent="0.25">
      <c r="H118" s="1"/>
      <c r="I118" s="202">
        <f>MAX(N118:AC118)</f>
        <v>0</v>
      </c>
      <c r="J118" s="203" t="s">
        <v>12</v>
      </c>
      <c r="K118" s="810">
        <f>SUM(N118:AC118)</f>
        <v>0</v>
      </c>
      <c r="L118" s="204" t="s">
        <v>106</v>
      </c>
      <c r="N118" s="801">
        <f>SUM('Bgn&gt;&gt;:&lt;&lt;End'!N118)</f>
        <v>0</v>
      </c>
      <c r="O118" s="801">
        <f>SUM('Bgn&gt;&gt;:&lt;&lt;End'!O118)</f>
        <v>0</v>
      </c>
      <c r="P118" s="801">
        <f>SUM('Bgn&gt;&gt;:&lt;&lt;End'!P118)</f>
        <v>0</v>
      </c>
      <c r="Q118" s="801">
        <f>SUM('Bgn&gt;&gt;:&lt;&lt;End'!Q118)</f>
        <v>0</v>
      </c>
      <c r="R118" s="801">
        <f>SUM('Bgn&gt;&gt;:&lt;&lt;End'!R118)</f>
        <v>0</v>
      </c>
      <c r="S118" s="801">
        <f>SUM('Bgn&gt;&gt;:&lt;&lt;End'!S118)</f>
        <v>0</v>
      </c>
      <c r="T118" s="801">
        <f>SUM('Bgn&gt;&gt;:&lt;&lt;End'!T118)</f>
        <v>0</v>
      </c>
      <c r="U118" s="801">
        <f>SUM('Bgn&gt;&gt;:&lt;&lt;End'!U118)</f>
        <v>0</v>
      </c>
      <c r="V118" s="801">
        <f>SUM('Bgn&gt;&gt;:&lt;&lt;End'!V118)</f>
        <v>0</v>
      </c>
      <c r="W118" s="801">
        <f>SUM('Bgn&gt;&gt;:&lt;&lt;End'!W118)</f>
        <v>0</v>
      </c>
      <c r="X118" s="801">
        <f>SUM('Bgn&gt;&gt;:&lt;&lt;End'!X118)</f>
        <v>0</v>
      </c>
      <c r="Y118" s="801">
        <f>SUM('Bgn&gt;&gt;:&lt;&lt;End'!Y118)</f>
        <v>0</v>
      </c>
      <c r="Z118" s="801">
        <f>SUM('Bgn&gt;&gt;:&lt;&lt;End'!Z118)</f>
        <v>0</v>
      </c>
      <c r="AA118" s="801">
        <f>SUM('Bgn&gt;&gt;:&lt;&lt;End'!AA118)</f>
        <v>0</v>
      </c>
      <c r="AB118" s="801">
        <f>SUM('Bgn&gt;&gt;:&lt;&lt;End'!AB118)</f>
        <v>0</v>
      </c>
      <c r="AC118" s="801">
        <f>SUM('Bgn&gt;&gt;:&lt;&lt;End'!AC118)</f>
        <v>0</v>
      </c>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row>
    <row r="119" spans="8:58" s="4" customFormat="1" ht="15.75" x14ac:dyDescent="0.25">
      <c r="H119" s="1"/>
      <c r="I119" s="202">
        <f>INDEX($J$118:$AC$171,MATCH($J119,$J$118:$J$171,0),MATCH($I$118,$J$118:$AC$118,0))</f>
        <v>0</v>
      </c>
      <c r="J119" s="97" t="s">
        <v>107</v>
      </c>
      <c r="K119" s="811">
        <f>SUM(N119:AC119)</f>
        <v>0</v>
      </c>
      <c r="L119" s="205">
        <f t="shared" ref="L119:L124" si="76">IFERROR(K119/$K$118,)</f>
        <v>0</v>
      </c>
      <c r="N119" s="789">
        <f>SUM('Bgn&gt;&gt;:&lt;&lt;End'!N119)</f>
        <v>0</v>
      </c>
      <c r="O119" s="789">
        <f>SUM('Bgn&gt;&gt;:&lt;&lt;End'!O119)</f>
        <v>0</v>
      </c>
      <c r="P119" s="789">
        <f>SUM('Bgn&gt;&gt;:&lt;&lt;End'!P119)</f>
        <v>0</v>
      </c>
      <c r="Q119" s="789">
        <f>SUM('Bgn&gt;&gt;:&lt;&lt;End'!Q119)</f>
        <v>0</v>
      </c>
      <c r="R119" s="789">
        <f>SUM('Bgn&gt;&gt;:&lt;&lt;End'!R119)</f>
        <v>0</v>
      </c>
      <c r="S119" s="789">
        <f>SUM('Bgn&gt;&gt;:&lt;&lt;End'!S119)</f>
        <v>0</v>
      </c>
      <c r="T119" s="789">
        <f>SUM('Bgn&gt;&gt;:&lt;&lt;End'!T119)</f>
        <v>0</v>
      </c>
      <c r="U119" s="789">
        <f>SUM('Bgn&gt;&gt;:&lt;&lt;End'!U119)</f>
        <v>0</v>
      </c>
      <c r="V119" s="789">
        <f>SUM('Bgn&gt;&gt;:&lt;&lt;End'!V119)</f>
        <v>0</v>
      </c>
      <c r="W119" s="789">
        <f>SUM('Bgn&gt;&gt;:&lt;&lt;End'!W119)</f>
        <v>0</v>
      </c>
      <c r="X119" s="789">
        <f>SUM('Bgn&gt;&gt;:&lt;&lt;End'!X119)</f>
        <v>0</v>
      </c>
      <c r="Y119" s="789">
        <f>SUM('Bgn&gt;&gt;:&lt;&lt;End'!Y119)</f>
        <v>0</v>
      </c>
      <c r="Z119" s="789">
        <f>SUM('Bgn&gt;&gt;:&lt;&lt;End'!Z119)</f>
        <v>0</v>
      </c>
      <c r="AA119" s="789">
        <f>SUM('Bgn&gt;&gt;:&lt;&lt;End'!AA119)</f>
        <v>0</v>
      </c>
      <c r="AB119" s="789">
        <f>SUM('Bgn&gt;&gt;:&lt;&lt;End'!AB119)</f>
        <v>0</v>
      </c>
      <c r="AC119" s="789">
        <f>SUM('Bgn&gt;&gt;:&lt;&lt;End'!AC119)</f>
        <v>0</v>
      </c>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row>
    <row r="120" spans="8:58" s="4" customFormat="1" ht="15.75" x14ac:dyDescent="0.25">
      <c r="H120" s="1"/>
      <c r="I120" s="202"/>
      <c r="J120" s="97" t="s">
        <v>108</v>
      </c>
      <c r="K120" s="812">
        <f t="shared" ref="K120:K132" si="77">SUM(N120:AC120)</f>
        <v>0</v>
      </c>
      <c r="L120" s="207">
        <f t="shared" si="76"/>
        <v>0</v>
      </c>
      <c r="N120" s="789">
        <f>SUM('Bgn&gt;&gt;:&lt;&lt;End'!N120)</f>
        <v>0</v>
      </c>
      <c r="O120" s="789">
        <f>SUM('Bgn&gt;&gt;:&lt;&lt;End'!O120)</f>
        <v>0</v>
      </c>
      <c r="P120" s="789">
        <f>SUM('Bgn&gt;&gt;:&lt;&lt;End'!P120)</f>
        <v>0</v>
      </c>
      <c r="Q120" s="789">
        <f>SUM('Bgn&gt;&gt;:&lt;&lt;End'!Q120)</f>
        <v>0</v>
      </c>
      <c r="R120" s="789">
        <f>SUM('Bgn&gt;&gt;:&lt;&lt;End'!R120)</f>
        <v>0</v>
      </c>
      <c r="S120" s="789">
        <f>SUM('Bgn&gt;&gt;:&lt;&lt;End'!S120)</f>
        <v>0</v>
      </c>
      <c r="T120" s="789">
        <f>SUM('Bgn&gt;&gt;:&lt;&lt;End'!T120)</f>
        <v>0</v>
      </c>
      <c r="U120" s="789">
        <f>SUM('Bgn&gt;&gt;:&lt;&lt;End'!U120)</f>
        <v>0</v>
      </c>
      <c r="V120" s="789">
        <f>SUM('Bgn&gt;&gt;:&lt;&lt;End'!V120)</f>
        <v>0</v>
      </c>
      <c r="W120" s="789">
        <f>SUM('Bgn&gt;&gt;:&lt;&lt;End'!W120)</f>
        <v>0</v>
      </c>
      <c r="X120" s="789">
        <f>SUM('Bgn&gt;&gt;:&lt;&lt;End'!X120)</f>
        <v>0</v>
      </c>
      <c r="Y120" s="789">
        <f>SUM('Bgn&gt;&gt;:&lt;&lt;End'!Y120)</f>
        <v>0</v>
      </c>
      <c r="Z120" s="789">
        <f>SUM('Bgn&gt;&gt;:&lt;&lt;End'!Z120)</f>
        <v>0</v>
      </c>
      <c r="AA120" s="789">
        <f>SUM('Bgn&gt;&gt;:&lt;&lt;End'!AA120)</f>
        <v>0</v>
      </c>
      <c r="AB120" s="789">
        <f>SUM('Bgn&gt;&gt;:&lt;&lt;End'!AB120)</f>
        <v>0</v>
      </c>
      <c r="AC120" s="789">
        <f>SUM('Bgn&gt;&gt;:&lt;&lt;End'!AC120)</f>
        <v>0</v>
      </c>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row>
    <row r="121" spans="8:58" s="4" customFormat="1" ht="15.75" x14ac:dyDescent="0.25">
      <c r="H121" s="1"/>
      <c r="I121" s="202"/>
      <c r="J121" s="97" t="s">
        <v>109</v>
      </c>
      <c r="K121" s="812">
        <f t="shared" si="77"/>
        <v>0</v>
      </c>
      <c r="L121" s="207">
        <f t="shared" si="76"/>
        <v>0</v>
      </c>
      <c r="N121" s="789">
        <f>SUM('Bgn&gt;&gt;:&lt;&lt;End'!N121)</f>
        <v>0</v>
      </c>
      <c r="O121" s="789">
        <f>SUM('Bgn&gt;&gt;:&lt;&lt;End'!O121)</f>
        <v>0</v>
      </c>
      <c r="P121" s="789">
        <f>SUM('Bgn&gt;&gt;:&lt;&lt;End'!P121)</f>
        <v>0</v>
      </c>
      <c r="Q121" s="789">
        <f>SUM('Bgn&gt;&gt;:&lt;&lt;End'!Q121)</f>
        <v>0</v>
      </c>
      <c r="R121" s="789">
        <f>SUM('Bgn&gt;&gt;:&lt;&lt;End'!R121)</f>
        <v>0</v>
      </c>
      <c r="S121" s="789">
        <f>SUM('Bgn&gt;&gt;:&lt;&lt;End'!S121)</f>
        <v>0</v>
      </c>
      <c r="T121" s="789">
        <f>SUM('Bgn&gt;&gt;:&lt;&lt;End'!T121)</f>
        <v>0</v>
      </c>
      <c r="U121" s="789">
        <f>SUM('Bgn&gt;&gt;:&lt;&lt;End'!U121)</f>
        <v>0</v>
      </c>
      <c r="V121" s="789">
        <f>SUM('Bgn&gt;&gt;:&lt;&lt;End'!V121)</f>
        <v>0</v>
      </c>
      <c r="W121" s="789">
        <f>SUM('Bgn&gt;&gt;:&lt;&lt;End'!W121)</f>
        <v>0</v>
      </c>
      <c r="X121" s="789">
        <f>SUM('Bgn&gt;&gt;:&lt;&lt;End'!X121)</f>
        <v>0</v>
      </c>
      <c r="Y121" s="789">
        <f>SUM('Bgn&gt;&gt;:&lt;&lt;End'!Y121)</f>
        <v>0</v>
      </c>
      <c r="Z121" s="789">
        <f>SUM('Bgn&gt;&gt;:&lt;&lt;End'!Z121)</f>
        <v>0</v>
      </c>
      <c r="AA121" s="789">
        <f>SUM('Bgn&gt;&gt;:&lt;&lt;End'!AA121)</f>
        <v>0</v>
      </c>
      <c r="AB121" s="789">
        <f>SUM('Bgn&gt;&gt;:&lt;&lt;End'!AB121)</f>
        <v>0</v>
      </c>
      <c r="AC121" s="789">
        <f>SUM('Bgn&gt;&gt;:&lt;&lt;End'!AC121)</f>
        <v>0</v>
      </c>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row>
    <row r="122" spans="8:58" s="4" customFormat="1" ht="15.75" x14ac:dyDescent="0.25">
      <c r="H122" s="1"/>
      <c r="I122" s="202"/>
      <c r="J122" s="97" t="s">
        <v>110</v>
      </c>
      <c r="K122" s="812">
        <f t="shared" si="77"/>
        <v>0</v>
      </c>
      <c r="L122" s="207">
        <f t="shared" si="76"/>
        <v>0</v>
      </c>
      <c r="N122" s="789">
        <f>SUM('Bgn&gt;&gt;:&lt;&lt;End'!N122)</f>
        <v>0</v>
      </c>
      <c r="O122" s="789">
        <f>SUM('Bgn&gt;&gt;:&lt;&lt;End'!O122)</f>
        <v>0</v>
      </c>
      <c r="P122" s="789">
        <f>SUM('Bgn&gt;&gt;:&lt;&lt;End'!P122)</f>
        <v>0</v>
      </c>
      <c r="Q122" s="789">
        <f>SUM('Bgn&gt;&gt;:&lt;&lt;End'!Q122)</f>
        <v>0</v>
      </c>
      <c r="R122" s="789">
        <f>SUM('Bgn&gt;&gt;:&lt;&lt;End'!R122)</f>
        <v>0</v>
      </c>
      <c r="S122" s="789">
        <f>SUM('Bgn&gt;&gt;:&lt;&lt;End'!S122)</f>
        <v>0</v>
      </c>
      <c r="T122" s="789">
        <f>SUM('Bgn&gt;&gt;:&lt;&lt;End'!T122)</f>
        <v>0</v>
      </c>
      <c r="U122" s="789">
        <f>SUM('Bgn&gt;&gt;:&lt;&lt;End'!U122)</f>
        <v>0</v>
      </c>
      <c r="V122" s="789">
        <f>SUM('Bgn&gt;&gt;:&lt;&lt;End'!V122)</f>
        <v>0</v>
      </c>
      <c r="W122" s="789">
        <f>SUM('Bgn&gt;&gt;:&lt;&lt;End'!W122)</f>
        <v>0</v>
      </c>
      <c r="X122" s="789">
        <f>SUM('Bgn&gt;&gt;:&lt;&lt;End'!X122)</f>
        <v>0</v>
      </c>
      <c r="Y122" s="789">
        <f>SUM('Bgn&gt;&gt;:&lt;&lt;End'!Y122)</f>
        <v>0</v>
      </c>
      <c r="Z122" s="789">
        <f>SUM('Bgn&gt;&gt;:&lt;&lt;End'!Z122)</f>
        <v>0</v>
      </c>
      <c r="AA122" s="789">
        <f>SUM('Bgn&gt;&gt;:&lt;&lt;End'!AA122)</f>
        <v>0</v>
      </c>
      <c r="AB122" s="789">
        <f>SUM('Bgn&gt;&gt;:&lt;&lt;End'!AB122)</f>
        <v>0</v>
      </c>
      <c r="AC122" s="789">
        <f>SUM('Bgn&gt;&gt;:&lt;&lt;End'!AC122)</f>
        <v>0</v>
      </c>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row>
    <row r="123" spans="8:58" s="4" customFormat="1" ht="15.75" x14ac:dyDescent="0.25">
      <c r="H123" s="1"/>
      <c r="I123" s="202"/>
      <c r="J123" s="74" t="s">
        <v>111</v>
      </c>
      <c r="K123" s="813">
        <f t="shared" si="77"/>
        <v>0</v>
      </c>
      <c r="L123" s="209">
        <f t="shared" si="76"/>
        <v>0</v>
      </c>
      <c r="N123" s="789">
        <f>SUM('Bgn&gt;&gt;:&lt;&lt;End'!N123)</f>
        <v>0</v>
      </c>
      <c r="O123" s="789">
        <f>SUM('Bgn&gt;&gt;:&lt;&lt;End'!O123)</f>
        <v>0</v>
      </c>
      <c r="P123" s="789">
        <f>SUM('Bgn&gt;&gt;:&lt;&lt;End'!P123)</f>
        <v>0</v>
      </c>
      <c r="Q123" s="789">
        <f>SUM('Bgn&gt;&gt;:&lt;&lt;End'!Q123)</f>
        <v>0</v>
      </c>
      <c r="R123" s="789">
        <f>SUM('Bgn&gt;&gt;:&lt;&lt;End'!R123)</f>
        <v>0</v>
      </c>
      <c r="S123" s="789">
        <f>SUM('Bgn&gt;&gt;:&lt;&lt;End'!S123)</f>
        <v>0</v>
      </c>
      <c r="T123" s="789">
        <f>SUM('Bgn&gt;&gt;:&lt;&lt;End'!T123)</f>
        <v>0</v>
      </c>
      <c r="U123" s="789">
        <f>SUM('Bgn&gt;&gt;:&lt;&lt;End'!U123)</f>
        <v>0</v>
      </c>
      <c r="V123" s="789">
        <f>SUM('Bgn&gt;&gt;:&lt;&lt;End'!V123)</f>
        <v>0</v>
      </c>
      <c r="W123" s="789">
        <f>SUM('Bgn&gt;&gt;:&lt;&lt;End'!W123)</f>
        <v>0</v>
      </c>
      <c r="X123" s="789">
        <f>SUM('Bgn&gt;&gt;:&lt;&lt;End'!X123)</f>
        <v>0</v>
      </c>
      <c r="Y123" s="789">
        <f>SUM('Bgn&gt;&gt;:&lt;&lt;End'!Y123)</f>
        <v>0</v>
      </c>
      <c r="Z123" s="789">
        <f>SUM('Bgn&gt;&gt;:&lt;&lt;End'!Z123)</f>
        <v>0</v>
      </c>
      <c r="AA123" s="789">
        <f>SUM('Bgn&gt;&gt;:&lt;&lt;End'!AA123)</f>
        <v>0</v>
      </c>
      <c r="AB123" s="789">
        <f>SUM('Bgn&gt;&gt;:&lt;&lt;End'!AB123)</f>
        <v>0</v>
      </c>
      <c r="AC123" s="789">
        <f>SUM('Bgn&gt;&gt;:&lt;&lt;End'!AC123)</f>
        <v>0</v>
      </c>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row>
    <row r="124" spans="8:58" s="4" customFormat="1" ht="15.75" x14ac:dyDescent="0.25">
      <c r="H124" s="1"/>
      <c r="I124" s="202"/>
      <c r="J124" s="210" t="s">
        <v>112</v>
      </c>
      <c r="K124" s="823">
        <f>SUM(K118:K123)</f>
        <v>0</v>
      </c>
      <c r="L124" s="211">
        <f t="shared" si="76"/>
        <v>0</v>
      </c>
      <c r="N124" s="802">
        <f t="shared" ref="N124:AC124" si="78">SUM(N118:N123)</f>
        <v>0</v>
      </c>
      <c r="O124" s="802">
        <f t="shared" si="78"/>
        <v>0</v>
      </c>
      <c r="P124" s="802">
        <f t="shared" si="78"/>
        <v>0</v>
      </c>
      <c r="Q124" s="802">
        <f t="shared" si="78"/>
        <v>0</v>
      </c>
      <c r="R124" s="802">
        <f t="shared" si="78"/>
        <v>0</v>
      </c>
      <c r="S124" s="802">
        <f t="shared" si="78"/>
        <v>0</v>
      </c>
      <c r="T124" s="802">
        <f t="shared" si="78"/>
        <v>0</v>
      </c>
      <c r="U124" s="802">
        <f t="shared" si="78"/>
        <v>0</v>
      </c>
      <c r="V124" s="802">
        <f t="shared" si="78"/>
        <v>0</v>
      </c>
      <c r="W124" s="802">
        <f t="shared" si="78"/>
        <v>0</v>
      </c>
      <c r="X124" s="802">
        <f t="shared" si="78"/>
        <v>0</v>
      </c>
      <c r="Y124" s="802">
        <f t="shared" si="78"/>
        <v>0</v>
      </c>
      <c r="Z124" s="802">
        <f t="shared" si="78"/>
        <v>0</v>
      </c>
      <c r="AA124" s="802">
        <f t="shared" si="78"/>
        <v>0</v>
      </c>
      <c r="AB124" s="802">
        <f t="shared" si="78"/>
        <v>0</v>
      </c>
      <c r="AC124" s="802">
        <f t="shared" si="78"/>
        <v>0</v>
      </c>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row>
    <row r="125" spans="8:58" s="217" customFormat="1" ht="13.5" customHeight="1" x14ac:dyDescent="0.2">
      <c r="H125" s="212"/>
      <c r="I125" s="213"/>
      <c r="J125" s="214" t="s">
        <v>113</v>
      </c>
      <c r="K125" s="215">
        <f>IFERROR(K124/K$118,)</f>
        <v>0</v>
      </c>
      <c r="L125" s="216"/>
      <c r="N125" s="803">
        <f t="shared" ref="N125:AC125" si="79">IFERROR(N124/N$118,)</f>
        <v>0</v>
      </c>
      <c r="O125" s="803">
        <f t="shared" si="79"/>
        <v>0</v>
      </c>
      <c r="P125" s="803">
        <f t="shared" si="79"/>
        <v>0</v>
      </c>
      <c r="Q125" s="803">
        <f t="shared" si="79"/>
        <v>0</v>
      </c>
      <c r="R125" s="803">
        <f t="shared" si="79"/>
        <v>0</v>
      </c>
      <c r="S125" s="803">
        <f t="shared" si="79"/>
        <v>0</v>
      </c>
      <c r="T125" s="803">
        <f t="shared" si="79"/>
        <v>0</v>
      </c>
      <c r="U125" s="803">
        <f t="shared" si="79"/>
        <v>0</v>
      </c>
      <c r="V125" s="803">
        <f t="shared" si="79"/>
        <v>0</v>
      </c>
      <c r="W125" s="803">
        <f t="shared" si="79"/>
        <v>0</v>
      </c>
      <c r="X125" s="803">
        <f t="shared" si="79"/>
        <v>0</v>
      </c>
      <c r="Y125" s="803">
        <f t="shared" si="79"/>
        <v>0</v>
      </c>
      <c r="Z125" s="803">
        <f t="shared" si="79"/>
        <v>0</v>
      </c>
      <c r="AA125" s="803">
        <f t="shared" si="79"/>
        <v>0</v>
      </c>
      <c r="AB125" s="803">
        <f t="shared" si="79"/>
        <v>0</v>
      </c>
      <c r="AC125" s="803">
        <f t="shared" si="79"/>
        <v>0</v>
      </c>
      <c r="AD125" s="212"/>
      <c r="AE125" s="212"/>
      <c r="AF125" s="212"/>
      <c r="AG125" s="212"/>
      <c r="AH125" s="212"/>
      <c r="AI125" s="212"/>
      <c r="AJ125" s="212"/>
      <c r="AK125" s="212"/>
      <c r="AL125" s="212"/>
      <c r="AM125" s="212"/>
      <c r="AN125" s="212"/>
      <c r="AO125" s="212"/>
      <c r="AP125" s="212"/>
      <c r="AQ125" s="212"/>
      <c r="AR125" s="212"/>
      <c r="AS125" s="212"/>
      <c r="AT125" s="212"/>
      <c r="AU125" s="212"/>
      <c r="AV125" s="212"/>
      <c r="AW125" s="212"/>
      <c r="AX125" s="212"/>
      <c r="AY125" s="212"/>
      <c r="AZ125" s="212"/>
      <c r="BA125" s="212"/>
      <c r="BB125" s="212"/>
      <c r="BC125" s="212"/>
      <c r="BD125" s="212"/>
      <c r="BE125" s="212"/>
      <c r="BF125" s="212"/>
    </row>
    <row r="126" spans="8:58" s="4" customFormat="1" ht="15.75" x14ac:dyDescent="0.25">
      <c r="H126" s="1"/>
      <c r="I126" s="202"/>
      <c r="J126" s="97" t="s">
        <v>114</v>
      </c>
      <c r="K126" s="812">
        <f t="shared" si="77"/>
        <v>0</v>
      </c>
      <c r="L126" s="207">
        <f>IFERROR(K126/$K$118,)</f>
        <v>0</v>
      </c>
      <c r="N126" s="789">
        <f>SUM('Bgn&gt;&gt;:&lt;&lt;End'!N126)</f>
        <v>0</v>
      </c>
      <c r="O126" s="789">
        <f>SUM('Bgn&gt;&gt;:&lt;&lt;End'!O126)</f>
        <v>0</v>
      </c>
      <c r="P126" s="789">
        <f>SUM('Bgn&gt;&gt;:&lt;&lt;End'!P126)</f>
        <v>0</v>
      </c>
      <c r="Q126" s="789">
        <f>SUM('Bgn&gt;&gt;:&lt;&lt;End'!Q126)</f>
        <v>0</v>
      </c>
      <c r="R126" s="789">
        <f>SUM('Bgn&gt;&gt;:&lt;&lt;End'!R126)</f>
        <v>0</v>
      </c>
      <c r="S126" s="789">
        <f>SUM('Bgn&gt;&gt;:&lt;&lt;End'!S126)</f>
        <v>0</v>
      </c>
      <c r="T126" s="789">
        <f>SUM('Bgn&gt;&gt;:&lt;&lt;End'!T126)</f>
        <v>0</v>
      </c>
      <c r="U126" s="789">
        <f>SUM('Bgn&gt;&gt;:&lt;&lt;End'!U126)</f>
        <v>0</v>
      </c>
      <c r="V126" s="789">
        <f>SUM('Bgn&gt;&gt;:&lt;&lt;End'!V126)</f>
        <v>0</v>
      </c>
      <c r="W126" s="789">
        <f>SUM('Bgn&gt;&gt;:&lt;&lt;End'!W126)</f>
        <v>0</v>
      </c>
      <c r="X126" s="789">
        <f>SUM('Bgn&gt;&gt;:&lt;&lt;End'!X126)</f>
        <v>0</v>
      </c>
      <c r="Y126" s="789">
        <f>SUM('Bgn&gt;&gt;:&lt;&lt;End'!Y126)</f>
        <v>0</v>
      </c>
      <c r="Z126" s="789">
        <f>SUM('Bgn&gt;&gt;:&lt;&lt;End'!Z126)</f>
        <v>0</v>
      </c>
      <c r="AA126" s="789">
        <f>SUM('Bgn&gt;&gt;:&lt;&lt;End'!AA126)</f>
        <v>0</v>
      </c>
      <c r="AB126" s="789">
        <f>SUM('Bgn&gt;&gt;:&lt;&lt;End'!AB126)</f>
        <v>0</v>
      </c>
      <c r="AC126" s="789">
        <f>SUM('Bgn&gt;&gt;:&lt;&lt;End'!AC126)</f>
        <v>0</v>
      </c>
      <c r="AD126" s="219"/>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8:58" s="4" customFormat="1" ht="15.75" x14ac:dyDescent="0.25">
      <c r="H127" s="1"/>
      <c r="I127" s="202"/>
      <c r="J127" s="97" t="s">
        <v>115</v>
      </c>
      <c r="K127" s="812">
        <f t="shared" si="77"/>
        <v>0</v>
      </c>
      <c r="L127" s="207">
        <f t="shared" ref="L127:L132" si="80">IFERROR(K127/$K$118,)</f>
        <v>0</v>
      </c>
      <c r="N127" s="789">
        <f>SUM('Bgn&gt;&gt;:&lt;&lt;End'!N127)</f>
        <v>0</v>
      </c>
      <c r="O127" s="789">
        <f>SUM('Bgn&gt;&gt;:&lt;&lt;End'!O127)</f>
        <v>0</v>
      </c>
      <c r="P127" s="789">
        <f>SUM('Bgn&gt;&gt;:&lt;&lt;End'!P127)</f>
        <v>0</v>
      </c>
      <c r="Q127" s="789">
        <f>SUM('Bgn&gt;&gt;:&lt;&lt;End'!Q127)</f>
        <v>0</v>
      </c>
      <c r="R127" s="789">
        <f>SUM('Bgn&gt;&gt;:&lt;&lt;End'!R127)</f>
        <v>0</v>
      </c>
      <c r="S127" s="789">
        <f>SUM('Bgn&gt;&gt;:&lt;&lt;End'!S127)</f>
        <v>0</v>
      </c>
      <c r="T127" s="789">
        <f>SUM('Bgn&gt;&gt;:&lt;&lt;End'!T127)</f>
        <v>0</v>
      </c>
      <c r="U127" s="789">
        <f>SUM('Bgn&gt;&gt;:&lt;&lt;End'!U127)</f>
        <v>0</v>
      </c>
      <c r="V127" s="789">
        <f>SUM('Bgn&gt;&gt;:&lt;&lt;End'!V127)</f>
        <v>0</v>
      </c>
      <c r="W127" s="789">
        <f>SUM('Bgn&gt;&gt;:&lt;&lt;End'!W127)</f>
        <v>0</v>
      </c>
      <c r="X127" s="789">
        <f>SUM('Bgn&gt;&gt;:&lt;&lt;End'!X127)</f>
        <v>0</v>
      </c>
      <c r="Y127" s="789">
        <f>SUM('Bgn&gt;&gt;:&lt;&lt;End'!Y127)</f>
        <v>0</v>
      </c>
      <c r="Z127" s="789">
        <f>SUM('Bgn&gt;&gt;:&lt;&lt;End'!Z127)</f>
        <v>0</v>
      </c>
      <c r="AA127" s="789">
        <f>SUM('Bgn&gt;&gt;:&lt;&lt;End'!AA127)</f>
        <v>0</v>
      </c>
      <c r="AB127" s="789">
        <f>SUM('Bgn&gt;&gt;:&lt;&lt;End'!AB127)</f>
        <v>0</v>
      </c>
      <c r="AC127" s="789">
        <f>SUM('Bgn&gt;&gt;:&lt;&lt;End'!AC127)</f>
        <v>0</v>
      </c>
      <c r="AD127" s="219"/>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row>
    <row r="128" spans="8:58" s="4" customFormat="1" ht="15.75" x14ac:dyDescent="0.25">
      <c r="H128" s="1"/>
      <c r="I128" s="202"/>
      <c r="J128" s="97" t="s">
        <v>116</v>
      </c>
      <c r="K128" s="812">
        <f t="shared" si="77"/>
        <v>0</v>
      </c>
      <c r="L128" s="207">
        <f t="shared" si="80"/>
        <v>0</v>
      </c>
      <c r="N128" s="789">
        <f>SUM('Bgn&gt;&gt;:&lt;&lt;End'!N128)</f>
        <v>0</v>
      </c>
      <c r="O128" s="789">
        <f>SUM('Bgn&gt;&gt;:&lt;&lt;End'!O128)</f>
        <v>0</v>
      </c>
      <c r="P128" s="789">
        <f>SUM('Bgn&gt;&gt;:&lt;&lt;End'!P128)</f>
        <v>0</v>
      </c>
      <c r="Q128" s="789">
        <f>SUM('Bgn&gt;&gt;:&lt;&lt;End'!Q128)</f>
        <v>0</v>
      </c>
      <c r="R128" s="789">
        <f>SUM('Bgn&gt;&gt;:&lt;&lt;End'!R128)</f>
        <v>0</v>
      </c>
      <c r="S128" s="789">
        <f>SUM('Bgn&gt;&gt;:&lt;&lt;End'!S128)</f>
        <v>0</v>
      </c>
      <c r="T128" s="789">
        <f>SUM('Bgn&gt;&gt;:&lt;&lt;End'!T128)</f>
        <v>0</v>
      </c>
      <c r="U128" s="789">
        <f>SUM('Bgn&gt;&gt;:&lt;&lt;End'!U128)</f>
        <v>0</v>
      </c>
      <c r="V128" s="789">
        <f>SUM('Bgn&gt;&gt;:&lt;&lt;End'!V128)</f>
        <v>0</v>
      </c>
      <c r="W128" s="789">
        <f>SUM('Bgn&gt;&gt;:&lt;&lt;End'!W128)</f>
        <v>0</v>
      </c>
      <c r="X128" s="789">
        <f>SUM('Bgn&gt;&gt;:&lt;&lt;End'!X128)</f>
        <v>0</v>
      </c>
      <c r="Y128" s="789">
        <f>SUM('Bgn&gt;&gt;:&lt;&lt;End'!Y128)</f>
        <v>0</v>
      </c>
      <c r="Z128" s="789">
        <f>SUM('Bgn&gt;&gt;:&lt;&lt;End'!Z128)</f>
        <v>0</v>
      </c>
      <c r="AA128" s="789">
        <f>SUM('Bgn&gt;&gt;:&lt;&lt;End'!AA128)</f>
        <v>0</v>
      </c>
      <c r="AB128" s="789">
        <f>SUM('Bgn&gt;&gt;:&lt;&lt;End'!AB128)</f>
        <v>0</v>
      </c>
      <c r="AC128" s="789">
        <f>SUM('Bgn&gt;&gt;:&lt;&lt;End'!AC128)</f>
        <v>0</v>
      </c>
      <c r="AD128" s="219"/>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row>
    <row r="129" spans="8:58" s="4" customFormat="1" ht="15.75" x14ac:dyDescent="0.25">
      <c r="H129" s="1"/>
      <c r="I129" s="202"/>
      <c r="J129" s="97" t="s">
        <v>117</v>
      </c>
      <c r="K129" s="812">
        <f t="shared" si="77"/>
        <v>0</v>
      </c>
      <c r="L129" s="207">
        <f t="shared" si="80"/>
        <v>0</v>
      </c>
      <c r="N129" s="789">
        <f>SUM('Bgn&gt;&gt;:&lt;&lt;End'!N129)</f>
        <v>0</v>
      </c>
      <c r="O129" s="789">
        <f>SUM('Bgn&gt;&gt;:&lt;&lt;End'!O129)</f>
        <v>0</v>
      </c>
      <c r="P129" s="789">
        <f>SUM('Bgn&gt;&gt;:&lt;&lt;End'!P129)</f>
        <v>0</v>
      </c>
      <c r="Q129" s="789">
        <f>SUM('Bgn&gt;&gt;:&lt;&lt;End'!Q129)</f>
        <v>0</v>
      </c>
      <c r="R129" s="789">
        <f>SUM('Bgn&gt;&gt;:&lt;&lt;End'!R129)</f>
        <v>0</v>
      </c>
      <c r="S129" s="789">
        <f>SUM('Bgn&gt;&gt;:&lt;&lt;End'!S129)</f>
        <v>0</v>
      </c>
      <c r="T129" s="789">
        <f>SUM('Bgn&gt;&gt;:&lt;&lt;End'!T129)</f>
        <v>0</v>
      </c>
      <c r="U129" s="789">
        <f>SUM('Bgn&gt;&gt;:&lt;&lt;End'!U129)</f>
        <v>0</v>
      </c>
      <c r="V129" s="789">
        <f>SUM('Bgn&gt;&gt;:&lt;&lt;End'!V129)</f>
        <v>0</v>
      </c>
      <c r="W129" s="789">
        <f>SUM('Bgn&gt;&gt;:&lt;&lt;End'!W129)</f>
        <v>0</v>
      </c>
      <c r="X129" s="789">
        <f>SUM('Bgn&gt;&gt;:&lt;&lt;End'!X129)</f>
        <v>0</v>
      </c>
      <c r="Y129" s="789">
        <f>SUM('Bgn&gt;&gt;:&lt;&lt;End'!Y129)</f>
        <v>0</v>
      </c>
      <c r="Z129" s="789">
        <f>SUM('Bgn&gt;&gt;:&lt;&lt;End'!Z129)</f>
        <v>0</v>
      </c>
      <c r="AA129" s="789">
        <f>SUM('Bgn&gt;&gt;:&lt;&lt;End'!AA129)</f>
        <v>0</v>
      </c>
      <c r="AB129" s="789">
        <f>SUM('Bgn&gt;&gt;:&lt;&lt;End'!AB129)</f>
        <v>0</v>
      </c>
      <c r="AC129" s="789">
        <f>SUM('Bgn&gt;&gt;:&lt;&lt;End'!AC129)</f>
        <v>0</v>
      </c>
      <c r="AD129" s="219"/>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8:58" s="4" customFormat="1" ht="15.75" x14ac:dyDescent="0.25">
      <c r="H130" s="1"/>
      <c r="I130" s="202">
        <f>INDEX($J$118:$AC$171,MATCH($J130,$J$118:$J$171,0),MATCH($I$118,$J$118:$AC$118,0))</f>
        <v>0</v>
      </c>
      <c r="J130" s="97" t="s">
        <v>118</v>
      </c>
      <c r="K130" s="812">
        <f t="shared" si="77"/>
        <v>0</v>
      </c>
      <c r="L130" s="207">
        <f t="shared" si="80"/>
        <v>0</v>
      </c>
      <c r="N130" s="789">
        <f>SUM('Bgn&gt;&gt;:&lt;&lt;End'!N130)</f>
        <v>0</v>
      </c>
      <c r="O130" s="789">
        <f>SUM('Bgn&gt;&gt;:&lt;&lt;End'!O130)</f>
        <v>0</v>
      </c>
      <c r="P130" s="789">
        <f>SUM('Bgn&gt;&gt;:&lt;&lt;End'!P130)</f>
        <v>0</v>
      </c>
      <c r="Q130" s="789">
        <f>SUM('Bgn&gt;&gt;:&lt;&lt;End'!Q130)</f>
        <v>0</v>
      </c>
      <c r="R130" s="789">
        <f>SUM('Bgn&gt;&gt;:&lt;&lt;End'!R130)</f>
        <v>0</v>
      </c>
      <c r="S130" s="789">
        <f>SUM('Bgn&gt;&gt;:&lt;&lt;End'!S130)</f>
        <v>0</v>
      </c>
      <c r="T130" s="789">
        <f>SUM('Bgn&gt;&gt;:&lt;&lt;End'!T130)</f>
        <v>0</v>
      </c>
      <c r="U130" s="789">
        <f>SUM('Bgn&gt;&gt;:&lt;&lt;End'!U130)</f>
        <v>0</v>
      </c>
      <c r="V130" s="789">
        <f>SUM('Bgn&gt;&gt;:&lt;&lt;End'!V130)</f>
        <v>0</v>
      </c>
      <c r="W130" s="789">
        <f>SUM('Bgn&gt;&gt;:&lt;&lt;End'!W130)</f>
        <v>0</v>
      </c>
      <c r="X130" s="789">
        <f>SUM('Bgn&gt;&gt;:&lt;&lt;End'!X130)</f>
        <v>0</v>
      </c>
      <c r="Y130" s="789">
        <f>SUM('Bgn&gt;&gt;:&lt;&lt;End'!Y130)</f>
        <v>0</v>
      </c>
      <c r="Z130" s="789">
        <f>SUM('Bgn&gt;&gt;:&lt;&lt;End'!Z130)</f>
        <v>0</v>
      </c>
      <c r="AA130" s="789">
        <f>SUM('Bgn&gt;&gt;:&lt;&lt;End'!AA130)</f>
        <v>0</v>
      </c>
      <c r="AB130" s="789">
        <f>SUM('Bgn&gt;&gt;:&lt;&lt;End'!AB130)</f>
        <v>0</v>
      </c>
      <c r="AC130" s="789">
        <f>SUM('Bgn&gt;&gt;:&lt;&lt;End'!AC130)</f>
        <v>0</v>
      </c>
      <c r="AD130" s="219"/>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8:58" s="4" customFormat="1" ht="15.75" x14ac:dyDescent="0.25">
      <c r="H131" s="1"/>
      <c r="I131" s="202"/>
      <c r="J131" s="97" t="s">
        <v>119</v>
      </c>
      <c r="K131" s="812">
        <f t="shared" si="77"/>
        <v>0</v>
      </c>
      <c r="L131" s="207">
        <f t="shared" si="80"/>
        <v>0</v>
      </c>
      <c r="N131" s="789">
        <f>SUM('Bgn&gt;&gt;:&lt;&lt;End'!N131)</f>
        <v>0</v>
      </c>
      <c r="O131" s="789">
        <f>SUM('Bgn&gt;&gt;:&lt;&lt;End'!O131)</f>
        <v>0</v>
      </c>
      <c r="P131" s="789">
        <f>SUM('Bgn&gt;&gt;:&lt;&lt;End'!P131)</f>
        <v>0</v>
      </c>
      <c r="Q131" s="789">
        <f>SUM('Bgn&gt;&gt;:&lt;&lt;End'!Q131)</f>
        <v>0</v>
      </c>
      <c r="R131" s="789">
        <f>SUM('Bgn&gt;&gt;:&lt;&lt;End'!R131)</f>
        <v>0</v>
      </c>
      <c r="S131" s="789">
        <f>SUM('Bgn&gt;&gt;:&lt;&lt;End'!S131)</f>
        <v>0</v>
      </c>
      <c r="T131" s="789">
        <f>SUM('Bgn&gt;&gt;:&lt;&lt;End'!T131)</f>
        <v>0</v>
      </c>
      <c r="U131" s="789">
        <f>SUM('Bgn&gt;&gt;:&lt;&lt;End'!U131)</f>
        <v>0</v>
      </c>
      <c r="V131" s="789">
        <f>SUM('Bgn&gt;&gt;:&lt;&lt;End'!V131)</f>
        <v>0</v>
      </c>
      <c r="W131" s="789">
        <f>SUM('Bgn&gt;&gt;:&lt;&lt;End'!W131)</f>
        <v>0</v>
      </c>
      <c r="X131" s="789">
        <f>SUM('Bgn&gt;&gt;:&lt;&lt;End'!X131)</f>
        <v>0</v>
      </c>
      <c r="Y131" s="789">
        <f>SUM('Bgn&gt;&gt;:&lt;&lt;End'!Y131)</f>
        <v>0</v>
      </c>
      <c r="Z131" s="789">
        <f>SUM('Bgn&gt;&gt;:&lt;&lt;End'!Z131)</f>
        <v>0</v>
      </c>
      <c r="AA131" s="789">
        <f>SUM('Bgn&gt;&gt;:&lt;&lt;End'!AA131)</f>
        <v>0</v>
      </c>
      <c r="AB131" s="789">
        <f>SUM('Bgn&gt;&gt;:&lt;&lt;End'!AB131)</f>
        <v>0</v>
      </c>
      <c r="AC131" s="789">
        <f>SUM('Bgn&gt;&gt;:&lt;&lt;End'!AC131)</f>
        <v>0</v>
      </c>
      <c r="AD131" s="219"/>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row>
    <row r="132" spans="8:58" s="4" customFormat="1" ht="15.75" x14ac:dyDescent="0.25">
      <c r="H132" s="1"/>
      <c r="I132" s="202"/>
      <c r="J132" s="74" t="s">
        <v>120</v>
      </c>
      <c r="K132" s="812">
        <f t="shared" si="77"/>
        <v>0</v>
      </c>
      <c r="L132" s="207">
        <f t="shared" si="80"/>
        <v>0</v>
      </c>
      <c r="N132" s="789">
        <f>SUM('Bgn&gt;&gt;:&lt;&lt;End'!N132)</f>
        <v>0</v>
      </c>
      <c r="O132" s="789">
        <f>SUM('Bgn&gt;&gt;:&lt;&lt;End'!O132)</f>
        <v>0</v>
      </c>
      <c r="P132" s="789">
        <f>SUM('Bgn&gt;&gt;:&lt;&lt;End'!P132)</f>
        <v>0</v>
      </c>
      <c r="Q132" s="789">
        <f>SUM('Bgn&gt;&gt;:&lt;&lt;End'!Q132)</f>
        <v>0</v>
      </c>
      <c r="R132" s="789">
        <f>SUM('Bgn&gt;&gt;:&lt;&lt;End'!R132)</f>
        <v>0</v>
      </c>
      <c r="S132" s="789">
        <f>SUM('Bgn&gt;&gt;:&lt;&lt;End'!S132)</f>
        <v>0</v>
      </c>
      <c r="T132" s="789">
        <f>SUM('Bgn&gt;&gt;:&lt;&lt;End'!T132)</f>
        <v>0</v>
      </c>
      <c r="U132" s="789">
        <f>SUM('Bgn&gt;&gt;:&lt;&lt;End'!U132)</f>
        <v>0</v>
      </c>
      <c r="V132" s="789">
        <f>SUM('Bgn&gt;&gt;:&lt;&lt;End'!V132)</f>
        <v>0</v>
      </c>
      <c r="W132" s="789">
        <f>SUM('Bgn&gt;&gt;:&lt;&lt;End'!W132)</f>
        <v>0</v>
      </c>
      <c r="X132" s="789">
        <f>SUM('Bgn&gt;&gt;:&lt;&lt;End'!X132)</f>
        <v>0</v>
      </c>
      <c r="Y132" s="789">
        <f>SUM('Bgn&gt;&gt;:&lt;&lt;End'!Y132)</f>
        <v>0</v>
      </c>
      <c r="Z132" s="789">
        <f>SUM('Bgn&gt;&gt;:&lt;&lt;End'!Z132)</f>
        <v>0</v>
      </c>
      <c r="AA132" s="789">
        <f>SUM('Bgn&gt;&gt;:&lt;&lt;End'!AA132)</f>
        <v>0</v>
      </c>
      <c r="AB132" s="789">
        <f>SUM('Bgn&gt;&gt;:&lt;&lt;End'!AB132)</f>
        <v>0</v>
      </c>
      <c r="AC132" s="789">
        <f>SUM('Bgn&gt;&gt;:&lt;&lt;End'!AC132)</f>
        <v>0</v>
      </c>
      <c r="AD132" s="219"/>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row>
    <row r="133" spans="8:58" s="4" customFormat="1" ht="15.75" x14ac:dyDescent="0.25">
      <c r="H133" s="1"/>
      <c r="I133" s="202">
        <f>INDEX($J$118:$AC$171,MATCH($J133,$J$118:$J$171,0),MATCH($I$118,$J$118:$AC$118,0))</f>
        <v>0</v>
      </c>
      <c r="J133" s="210" t="s">
        <v>121</v>
      </c>
      <c r="K133" s="814">
        <f>K124+SUM(K126:K132)</f>
        <v>0</v>
      </c>
      <c r="L133" s="220">
        <f>IFERROR(K133/$K$118,)</f>
        <v>0</v>
      </c>
      <c r="N133" s="804">
        <f>N124+SUM(N126:N132)</f>
        <v>0</v>
      </c>
      <c r="O133" s="804">
        <f t="shared" ref="O133:AC133" si="81">O124+SUM(O126:O132)</f>
        <v>0</v>
      </c>
      <c r="P133" s="804">
        <f t="shared" si="81"/>
        <v>0</v>
      </c>
      <c r="Q133" s="804">
        <f t="shared" si="81"/>
        <v>0</v>
      </c>
      <c r="R133" s="804">
        <f t="shared" si="81"/>
        <v>0</v>
      </c>
      <c r="S133" s="804">
        <f t="shared" si="81"/>
        <v>0</v>
      </c>
      <c r="T133" s="804">
        <f t="shared" si="81"/>
        <v>0</v>
      </c>
      <c r="U133" s="804">
        <f t="shared" si="81"/>
        <v>0</v>
      </c>
      <c r="V133" s="804">
        <f t="shared" si="81"/>
        <v>0</v>
      </c>
      <c r="W133" s="804">
        <f t="shared" si="81"/>
        <v>0</v>
      </c>
      <c r="X133" s="804">
        <f t="shared" si="81"/>
        <v>0</v>
      </c>
      <c r="Y133" s="804">
        <f t="shared" si="81"/>
        <v>0</v>
      </c>
      <c r="Z133" s="804">
        <f t="shared" si="81"/>
        <v>0</v>
      </c>
      <c r="AA133" s="804">
        <f t="shared" si="81"/>
        <v>0</v>
      </c>
      <c r="AB133" s="804">
        <f t="shared" si="81"/>
        <v>0</v>
      </c>
      <c r="AC133" s="804">
        <f t="shared" si="81"/>
        <v>0</v>
      </c>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row>
    <row r="134" spans="8:58" s="4" customFormat="1" ht="15.75" x14ac:dyDescent="0.25">
      <c r="H134" s="1"/>
      <c r="I134" s="202">
        <f>INDEX($J$118:$AC$171,MATCH($J134,$J$118:$J$171,0),MATCH($I$118,$J$118:$AC$118,0))</f>
        <v>0</v>
      </c>
      <c r="J134" s="97" t="s">
        <v>122</v>
      </c>
      <c r="K134" s="812">
        <f>SUM(N134:AC134)</f>
        <v>0</v>
      </c>
      <c r="L134" s="207">
        <f>IFERROR(K134/$K$118,)</f>
        <v>0</v>
      </c>
      <c r="N134" s="789">
        <f>SUM('Bgn&gt;&gt;:&lt;&lt;End'!N134)</f>
        <v>0</v>
      </c>
      <c r="O134" s="789">
        <f>SUM('Bgn&gt;&gt;:&lt;&lt;End'!O134)</f>
        <v>0</v>
      </c>
      <c r="P134" s="789">
        <f>SUM('Bgn&gt;&gt;:&lt;&lt;End'!P134)</f>
        <v>0</v>
      </c>
      <c r="Q134" s="789">
        <f>SUM('Bgn&gt;&gt;:&lt;&lt;End'!Q134)</f>
        <v>0</v>
      </c>
      <c r="R134" s="789">
        <f>SUM('Bgn&gt;&gt;:&lt;&lt;End'!R134)</f>
        <v>0</v>
      </c>
      <c r="S134" s="789">
        <f>SUM('Bgn&gt;&gt;:&lt;&lt;End'!S134)</f>
        <v>0</v>
      </c>
      <c r="T134" s="789">
        <f>SUM('Bgn&gt;&gt;:&lt;&lt;End'!T134)</f>
        <v>0</v>
      </c>
      <c r="U134" s="789">
        <f>SUM('Bgn&gt;&gt;:&lt;&lt;End'!U134)</f>
        <v>0</v>
      </c>
      <c r="V134" s="789">
        <f>SUM('Bgn&gt;&gt;:&lt;&lt;End'!V134)</f>
        <v>0</v>
      </c>
      <c r="W134" s="789">
        <f>SUM('Bgn&gt;&gt;:&lt;&lt;End'!W134)</f>
        <v>0</v>
      </c>
      <c r="X134" s="789">
        <f>SUM('Bgn&gt;&gt;:&lt;&lt;End'!X134)</f>
        <v>0</v>
      </c>
      <c r="Y134" s="789">
        <f>SUM('Bgn&gt;&gt;:&lt;&lt;End'!Y134)</f>
        <v>0</v>
      </c>
      <c r="Z134" s="789">
        <f>SUM('Bgn&gt;&gt;:&lt;&lt;End'!Z134)</f>
        <v>0</v>
      </c>
      <c r="AA134" s="789">
        <f>SUM('Bgn&gt;&gt;:&lt;&lt;End'!AA134)</f>
        <v>0</v>
      </c>
      <c r="AB134" s="789">
        <f>SUM('Bgn&gt;&gt;:&lt;&lt;End'!AB134)</f>
        <v>0</v>
      </c>
      <c r="AC134" s="789">
        <f>SUM('Bgn&gt;&gt;:&lt;&lt;End'!AC134)</f>
        <v>0</v>
      </c>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8:58" s="4" customFormat="1" ht="15.75" x14ac:dyDescent="0.25">
      <c r="H135" s="1"/>
      <c r="I135" s="202"/>
      <c r="J135" s="97" t="s">
        <v>284</v>
      </c>
      <c r="K135" s="815">
        <f>SUM(N135:AC135)</f>
        <v>0</v>
      </c>
      <c r="L135" s="205">
        <f>IFERROR(K135/$K$118,)</f>
        <v>0</v>
      </c>
      <c r="N135" s="789">
        <f>SUM('Bgn&gt;&gt;:&lt;&lt;End'!N135)</f>
        <v>0</v>
      </c>
      <c r="O135" s="789">
        <f>SUM('Bgn&gt;&gt;:&lt;&lt;End'!O135)</f>
        <v>0</v>
      </c>
      <c r="P135" s="789">
        <f>SUM('Bgn&gt;&gt;:&lt;&lt;End'!P135)</f>
        <v>0</v>
      </c>
      <c r="Q135" s="789">
        <f>SUM('Bgn&gt;&gt;:&lt;&lt;End'!Q135)</f>
        <v>0</v>
      </c>
      <c r="R135" s="789">
        <f>SUM('Bgn&gt;&gt;:&lt;&lt;End'!R135)</f>
        <v>0</v>
      </c>
      <c r="S135" s="789">
        <f>SUM('Bgn&gt;&gt;:&lt;&lt;End'!S135)</f>
        <v>0</v>
      </c>
      <c r="T135" s="789">
        <f>SUM('Bgn&gt;&gt;:&lt;&lt;End'!T135)</f>
        <v>0</v>
      </c>
      <c r="U135" s="789">
        <f>SUM('Bgn&gt;&gt;:&lt;&lt;End'!U135)</f>
        <v>0</v>
      </c>
      <c r="V135" s="789">
        <f>SUM('Bgn&gt;&gt;:&lt;&lt;End'!V135)</f>
        <v>0</v>
      </c>
      <c r="W135" s="789">
        <f>SUM('Bgn&gt;&gt;:&lt;&lt;End'!W135)</f>
        <v>0</v>
      </c>
      <c r="X135" s="789">
        <f>SUM('Bgn&gt;&gt;:&lt;&lt;End'!X135)</f>
        <v>0</v>
      </c>
      <c r="Y135" s="789">
        <f>SUM('Bgn&gt;&gt;:&lt;&lt;End'!Y135)</f>
        <v>0</v>
      </c>
      <c r="Z135" s="789">
        <f>SUM('Bgn&gt;&gt;:&lt;&lt;End'!Z135)</f>
        <v>0</v>
      </c>
      <c r="AA135" s="789">
        <f>SUM('Bgn&gt;&gt;:&lt;&lt;End'!AA135)</f>
        <v>0</v>
      </c>
      <c r="AB135" s="789">
        <f>SUM('Bgn&gt;&gt;:&lt;&lt;End'!AB135)</f>
        <v>0</v>
      </c>
      <c r="AC135" s="789">
        <f>SUM('Bgn&gt;&gt;:&lt;&lt;End'!AC135)</f>
        <v>0</v>
      </c>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8:58" s="4" customFormat="1" ht="15.75" x14ac:dyDescent="0.25">
      <c r="H136" s="1"/>
      <c r="I136" s="202"/>
      <c r="J136" s="97" t="s">
        <v>123</v>
      </c>
      <c r="K136" s="812">
        <f>SUM(N136:AC136)</f>
        <v>0</v>
      </c>
      <c r="L136" s="207">
        <f t="shared" ref="L136:L143" si="82">IFERROR(K136/$K$118,)</f>
        <v>0</v>
      </c>
      <c r="N136" s="789">
        <f>SUM('Bgn&gt;&gt;:&lt;&lt;End'!N136)</f>
        <v>0</v>
      </c>
      <c r="O136" s="789">
        <f>SUM('Bgn&gt;&gt;:&lt;&lt;End'!O136)</f>
        <v>0</v>
      </c>
      <c r="P136" s="789">
        <f>SUM('Bgn&gt;&gt;:&lt;&lt;End'!P136)</f>
        <v>0</v>
      </c>
      <c r="Q136" s="789">
        <f>SUM('Bgn&gt;&gt;:&lt;&lt;End'!Q136)</f>
        <v>0</v>
      </c>
      <c r="R136" s="789">
        <f>SUM('Bgn&gt;&gt;:&lt;&lt;End'!R136)</f>
        <v>0</v>
      </c>
      <c r="S136" s="789">
        <f>SUM('Bgn&gt;&gt;:&lt;&lt;End'!S136)</f>
        <v>0</v>
      </c>
      <c r="T136" s="789">
        <f>SUM('Bgn&gt;&gt;:&lt;&lt;End'!T136)</f>
        <v>0</v>
      </c>
      <c r="U136" s="789">
        <f>SUM('Bgn&gt;&gt;:&lt;&lt;End'!U136)</f>
        <v>0</v>
      </c>
      <c r="V136" s="789">
        <f>SUM('Bgn&gt;&gt;:&lt;&lt;End'!V136)</f>
        <v>0</v>
      </c>
      <c r="W136" s="789">
        <f>SUM('Bgn&gt;&gt;:&lt;&lt;End'!W136)</f>
        <v>0</v>
      </c>
      <c r="X136" s="789">
        <f>SUM('Bgn&gt;&gt;:&lt;&lt;End'!X136)</f>
        <v>0</v>
      </c>
      <c r="Y136" s="789">
        <f>SUM('Bgn&gt;&gt;:&lt;&lt;End'!Y136)</f>
        <v>0</v>
      </c>
      <c r="Z136" s="789">
        <f>SUM('Bgn&gt;&gt;:&lt;&lt;End'!Z136)</f>
        <v>0</v>
      </c>
      <c r="AA136" s="789">
        <f>SUM('Bgn&gt;&gt;:&lt;&lt;End'!AA136)</f>
        <v>0</v>
      </c>
      <c r="AB136" s="789">
        <f>SUM('Bgn&gt;&gt;:&lt;&lt;End'!AB136)</f>
        <v>0</v>
      </c>
      <c r="AC136" s="789">
        <f>SUM('Bgn&gt;&gt;:&lt;&lt;End'!AC136)</f>
        <v>0</v>
      </c>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row>
    <row r="137" spans="8:58" ht="15.75" x14ac:dyDescent="0.25">
      <c r="I137" s="202">
        <f>INDEX($J$118:$AC$171,MATCH($J137,$J$118:$J$171,0),MATCH($I$118,$J$118:$AC$118,0))</f>
        <v>0</v>
      </c>
      <c r="J137" s="31" t="s">
        <v>124</v>
      </c>
      <c r="K137" s="816">
        <f>SUM(N137:AC137)</f>
        <v>0</v>
      </c>
      <c r="L137" s="221">
        <f t="shared" si="82"/>
        <v>0</v>
      </c>
      <c r="N137" s="789">
        <f>SUM('Bgn&gt;&gt;:&lt;&lt;End'!N137)</f>
        <v>0</v>
      </c>
      <c r="O137" s="789">
        <f>SUM('Bgn&gt;&gt;:&lt;&lt;End'!O137)</f>
        <v>0</v>
      </c>
      <c r="P137" s="789">
        <f>SUM('Bgn&gt;&gt;:&lt;&lt;End'!P137)</f>
        <v>0</v>
      </c>
      <c r="Q137" s="789">
        <f>SUM('Bgn&gt;&gt;:&lt;&lt;End'!Q137)</f>
        <v>0</v>
      </c>
      <c r="R137" s="789">
        <f>SUM('Bgn&gt;&gt;:&lt;&lt;End'!R137)</f>
        <v>0</v>
      </c>
      <c r="S137" s="789">
        <f>SUM('Bgn&gt;&gt;:&lt;&lt;End'!S137)</f>
        <v>0</v>
      </c>
      <c r="T137" s="789">
        <f>SUM('Bgn&gt;&gt;:&lt;&lt;End'!T137)</f>
        <v>0</v>
      </c>
      <c r="U137" s="789">
        <f>SUM('Bgn&gt;&gt;:&lt;&lt;End'!U137)</f>
        <v>0</v>
      </c>
      <c r="V137" s="789">
        <f>SUM('Bgn&gt;&gt;:&lt;&lt;End'!V137)</f>
        <v>0</v>
      </c>
      <c r="W137" s="789">
        <f>SUM('Bgn&gt;&gt;:&lt;&lt;End'!W137)</f>
        <v>0</v>
      </c>
      <c r="X137" s="789">
        <f>SUM('Bgn&gt;&gt;:&lt;&lt;End'!X137)</f>
        <v>0</v>
      </c>
      <c r="Y137" s="789">
        <f>SUM('Bgn&gt;&gt;:&lt;&lt;End'!Y137)</f>
        <v>0</v>
      </c>
      <c r="Z137" s="789">
        <f>SUM('Bgn&gt;&gt;:&lt;&lt;End'!Z137)</f>
        <v>0</v>
      </c>
      <c r="AA137" s="789">
        <f>SUM('Bgn&gt;&gt;:&lt;&lt;End'!AA137)</f>
        <v>0</v>
      </c>
      <c r="AB137" s="789">
        <f>SUM('Bgn&gt;&gt;:&lt;&lt;End'!AB137)</f>
        <v>0</v>
      </c>
      <c r="AC137" s="789">
        <f>SUM('Bgn&gt;&gt;:&lt;&lt;End'!AC137)</f>
        <v>0</v>
      </c>
      <c r="AD137" s="1"/>
      <c r="AE137" s="1"/>
    </row>
    <row r="138" spans="8:58" ht="15.75" x14ac:dyDescent="0.25">
      <c r="I138" s="202">
        <f>INDEX($J$118:$AC$171,MATCH($J138,$J$118:$J$171,0),MATCH($I$118,$J$118:$AC$118,0))</f>
        <v>0</v>
      </c>
      <c r="J138" s="222" t="s">
        <v>125</v>
      </c>
      <c r="K138" s="817">
        <f>K133+SUM(K134:K137)</f>
        <v>0</v>
      </c>
      <c r="L138" s="223">
        <f t="shared" si="82"/>
        <v>0</v>
      </c>
      <c r="N138" s="805">
        <f t="shared" ref="N138:AC138" si="83">N133+SUM(N134:N137)</f>
        <v>0</v>
      </c>
      <c r="O138" s="805">
        <f t="shared" si="83"/>
        <v>0</v>
      </c>
      <c r="P138" s="805">
        <f t="shared" si="83"/>
        <v>0</v>
      </c>
      <c r="Q138" s="805">
        <f t="shared" si="83"/>
        <v>0</v>
      </c>
      <c r="R138" s="805">
        <f t="shared" si="83"/>
        <v>0</v>
      </c>
      <c r="S138" s="805">
        <f t="shared" si="83"/>
        <v>0</v>
      </c>
      <c r="T138" s="805">
        <f t="shared" si="83"/>
        <v>0</v>
      </c>
      <c r="U138" s="805">
        <f t="shared" si="83"/>
        <v>0</v>
      </c>
      <c r="V138" s="805">
        <f t="shared" si="83"/>
        <v>0</v>
      </c>
      <c r="W138" s="805">
        <f t="shared" si="83"/>
        <v>0</v>
      </c>
      <c r="X138" s="805">
        <f t="shared" si="83"/>
        <v>0</v>
      </c>
      <c r="Y138" s="805">
        <f t="shared" si="83"/>
        <v>0</v>
      </c>
      <c r="Z138" s="805">
        <f t="shared" si="83"/>
        <v>0</v>
      </c>
      <c r="AA138" s="805">
        <f t="shared" si="83"/>
        <v>0</v>
      </c>
      <c r="AB138" s="805">
        <f t="shared" si="83"/>
        <v>0</v>
      </c>
      <c r="AC138" s="805">
        <f t="shared" si="83"/>
        <v>0</v>
      </c>
      <c r="AD138" s="1"/>
      <c r="AE138" s="1"/>
    </row>
    <row r="139" spans="8:58" ht="15.75" x14ac:dyDescent="0.25">
      <c r="I139" s="202">
        <f>INDEX($J$118:$AC$171,MATCH($J139,$J$118:$J$171,0),MATCH($I$118,$J$118:$AC$118,0))</f>
        <v>0</v>
      </c>
      <c r="J139" s="565" t="s">
        <v>126</v>
      </c>
      <c r="K139" s="815">
        <f>SUM(N139:AC139)</f>
        <v>0</v>
      </c>
      <c r="L139" s="205">
        <f t="shared" si="82"/>
        <v>0</v>
      </c>
      <c r="N139" s="789">
        <f>SUM('Bgn&gt;&gt;:&lt;&lt;End'!N139)</f>
        <v>0</v>
      </c>
      <c r="O139" s="789">
        <f>SUM('Bgn&gt;&gt;:&lt;&lt;End'!O139)</f>
        <v>0</v>
      </c>
      <c r="P139" s="789">
        <f>SUM('Bgn&gt;&gt;:&lt;&lt;End'!P139)</f>
        <v>0</v>
      </c>
      <c r="Q139" s="789">
        <f>SUM('Bgn&gt;&gt;:&lt;&lt;End'!Q139)</f>
        <v>0</v>
      </c>
      <c r="R139" s="789">
        <f>SUM('Bgn&gt;&gt;:&lt;&lt;End'!R139)</f>
        <v>0</v>
      </c>
      <c r="S139" s="789">
        <f>SUM('Bgn&gt;&gt;:&lt;&lt;End'!S139)</f>
        <v>0</v>
      </c>
      <c r="T139" s="789">
        <f>SUM('Bgn&gt;&gt;:&lt;&lt;End'!T139)</f>
        <v>0</v>
      </c>
      <c r="U139" s="789">
        <f>SUM('Bgn&gt;&gt;:&lt;&lt;End'!U139)</f>
        <v>0</v>
      </c>
      <c r="V139" s="789">
        <f>SUM('Bgn&gt;&gt;:&lt;&lt;End'!V139)</f>
        <v>0</v>
      </c>
      <c r="W139" s="789">
        <f>SUM('Bgn&gt;&gt;:&lt;&lt;End'!W139)</f>
        <v>0</v>
      </c>
      <c r="X139" s="789">
        <f>SUM('Bgn&gt;&gt;:&lt;&lt;End'!X139)</f>
        <v>0</v>
      </c>
      <c r="Y139" s="789">
        <f>SUM('Bgn&gt;&gt;:&lt;&lt;End'!Y139)</f>
        <v>0</v>
      </c>
      <c r="Z139" s="789">
        <f>SUM('Bgn&gt;&gt;:&lt;&lt;End'!Z139)</f>
        <v>0</v>
      </c>
      <c r="AA139" s="789">
        <f>SUM('Bgn&gt;&gt;:&lt;&lt;End'!AA139)</f>
        <v>0</v>
      </c>
      <c r="AB139" s="789">
        <f>SUM('Bgn&gt;&gt;:&lt;&lt;End'!AB139)</f>
        <v>0</v>
      </c>
      <c r="AC139" s="789">
        <f>SUM('Bgn&gt;&gt;:&lt;&lt;End'!AC139)</f>
        <v>0</v>
      </c>
      <c r="AD139" s="1"/>
      <c r="AE139" s="1"/>
    </row>
    <row r="140" spans="8:58" ht="15.75" x14ac:dyDescent="0.25">
      <c r="I140" s="202">
        <f>INDEX($J$118:$AC$171,MATCH($J140,$J$118:$J$171,0),MATCH($I$118,$J$118:$AC$118,0))</f>
        <v>0</v>
      </c>
      <c r="J140" s="565" t="s">
        <v>416</v>
      </c>
      <c r="K140" s="816">
        <f>SUM(N140:AC140)</f>
        <v>0</v>
      </c>
      <c r="L140" s="221">
        <f t="shared" si="82"/>
        <v>0</v>
      </c>
      <c r="N140" s="789">
        <f>SUM('Bgn&gt;&gt;:&lt;&lt;End'!N140)</f>
        <v>0</v>
      </c>
      <c r="O140" s="789">
        <f>SUM('Bgn&gt;&gt;:&lt;&lt;End'!O140)</f>
        <v>0</v>
      </c>
      <c r="P140" s="789">
        <f>SUM('Bgn&gt;&gt;:&lt;&lt;End'!P140)</f>
        <v>0</v>
      </c>
      <c r="Q140" s="789">
        <f>SUM('Bgn&gt;&gt;:&lt;&lt;End'!Q140)</f>
        <v>0</v>
      </c>
      <c r="R140" s="789">
        <f>SUM('Bgn&gt;&gt;:&lt;&lt;End'!R140)</f>
        <v>0</v>
      </c>
      <c r="S140" s="789">
        <f>SUM('Bgn&gt;&gt;:&lt;&lt;End'!S140)</f>
        <v>0</v>
      </c>
      <c r="T140" s="789">
        <f>SUM('Bgn&gt;&gt;:&lt;&lt;End'!T140)</f>
        <v>0</v>
      </c>
      <c r="U140" s="789">
        <f>SUM('Bgn&gt;&gt;:&lt;&lt;End'!U140)</f>
        <v>0</v>
      </c>
      <c r="V140" s="789">
        <f>SUM('Bgn&gt;&gt;:&lt;&lt;End'!V140)</f>
        <v>0</v>
      </c>
      <c r="W140" s="789">
        <f>SUM('Bgn&gt;&gt;:&lt;&lt;End'!W140)</f>
        <v>0</v>
      </c>
      <c r="X140" s="789">
        <f>SUM('Bgn&gt;&gt;:&lt;&lt;End'!X140)</f>
        <v>0</v>
      </c>
      <c r="Y140" s="789">
        <f>SUM('Bgn&gt;&gt;:&lt;&lt;End'!Y140)</f>
        <v>0</v>
      </c>
      <c r="Z140" s="789">
        <f>SUM('Bgn&gt;&gt;:&lt;&lt;End'!Z140)</f>
        <v>0</v>
      </c>
      <c r="AA140" s="789">
        <f>SUM('Bgn&gt;&gt;:&lt;&lt;End'!AA140)</f>
        <v>0</v>
      </c>
      <c r="AB140" s="789">
        <f>SUM('Bgn&gt;&gt;:&lt;&lt;End'!AB140)</f>
        <v>0</v>
      </c>
      <c r="AC140" s="789">
        <f>SUM('Bgn&gt;&gt;:&lt;&lt;End'!AC140)</f>
        <v>0</v>
      </c>
      <c r="AD140" s="1"/>
      <c r="AE140" s="1"/>
    </row>
    <row r="141" spans="8:58" ht="15.75" x14ac:dyDescent="0.25">
      <c r="I141" s="202"/>
      <c r="J141" s="565" t="s">
        <v>460</v>
      </c>
      <c r="K141" s="818">
        <f>SUM(N141:AC141)</f>
        <v>0</v>
      </c>
      <c r="L141" s="546">
        <f t="shared" si="82"/>
        <v>0</v>
      </c>
      <c r="N141" s="789">
        <f>SUM('Bgn&gt;&gt;:&lt;&lt;End'!N141)</f>
        <v>0</v>
      </c>
      <c r="O141" s="789">
        <f>SUM('Bgn&gt;&gt;:&lt;&lt;End'!O141)</f>
        <v>0</v>
      </c>
      <c r="P141" s="789">
        <f>SUM('Bgn&gt;&gt;:&lt;&lt;End'!P141)</f>
        <v>0</v>
      </c>
      <c r="Q141" s="789">
        <f>SUM('Bgn&gt;&gt;:&lt;&lt;End'!Q141)</f>
        <v>0</v>
      </c>
      <c r="R141" s="789">
        <f>SUM('Bgn&gt;&gt;:&lt;&lt;End'!R141)</f>
        <v>0</v>
      </c>
      <c r="S141" s="789">
        <f>SUM('Bgn&gt;&gt;:&lt;&lt;End'!S141)</f>
        <v>0</v>
      </c>
      <c r="T141" s="789">
        <f>SUM('Bgn&gt;&gt;:&lt;&lt;End'!T141)</f>
        <v>0</v>
      </c>
      <c r="U141" s="789">
        <f>SUM('Bgn&gt;&gt;:&lt;&lt;End'!U141)</f>
        <v>0</v>
      </c>
      <c r="V141" s="789">
        <f>SUM('Bgn&gt;&gt;:&lt;&lt;End'!V141)</f>
        <v>0</v>
      </c>
      <c r="W141" s="789">
        <f>SUM('Bgn&gt;&gt;:&lt;&lt;End'!W141)</f>
        <v>0</v>
      </c>
      <c r="X141" s="789">
        <f>SUM('Bgn&gt;&gt;:&lt;&lt;End'!X141)</f>
        <v>0</v>
      </c>
      <c r="Y141" s="789">
        <f>SUM('Bgn&gt;&gt;:&lt;&lt;End'!Y141)</f>
        <v>0</v>
      </c>
      <c r="Z141" s="789">
        <f>SUM('Bgn&gt;&gt;:&lt;&lt;End'!Z141)</f>
        <v>0</v>
      </c>
      <c r="AA141" s="789">
        <f>SUM('Bgn&gt;&gt;:&lt;&lt;End'!AA141)</f>
        <v>0</v>
      </c>
      <c r="AB141" s="789">
        <f>SUM('Bgn&gt;&gt;:&lt;&lt;End'!AB141)</f>
        <v>0</v>
      </c>
      <c r="AC141" s="789">
        <f>SUM('Bgn&gt;&gt;:&lt;&lt;End'!AC141)</f>
        <v>0</v>
      </c>
      <c r="AD141" s="1"/>
      <c r="AE141" s="1"/>
    </row>
    <row r="142" spans="8:58" ht="15.75" x14ac:dyDescent="0.25">
      <c r="I142" s="202">
        <f>INDEX($J$118:$AC$171,MATCH($J142,$J$118:$J$171,0),MATCH($I$118,$J$118:$AC$118,0))</f>
        <v>0</v>
      </c>
      <c r="J142" s="224" t="s">
        <v>127</v>
      </c>
      <c r="K142" s="819">
        <f>SUM(K139:K140)</f>
        <v>0</v>
      </c>
      <c r="L142" s="226">
        <f t="shared" si="82"/>
        <v>0</v>
      </c>
      <c r="M142" s="4"/>
      <c r="N142" s="806">
        <f>SUM(N139:N141)</f>
        <v>0</v>
      </c>
      <c r="O142" s="806">
        <f t="shared" ref="O142:AC142" si="84">SUM(O139:O141)</f>
        <v>0</v>
      </c>
      <c r="P142" s="806">
        <f t="shared" si="84"/>
        <v>0</v>
      </c>
      <c r="Q142" s="806">
        <f t="shared" si="84"/>
        <v>0</v>
      </c>
      <c r="R142" s="806">
        <f t="shared" si="84"/>
        <v>0</v>
      </c>
      <c r="S142" s="806">
        <f t="shared" si="84"/>
        <v>0</v>
      </c>
      <c r="T142" s="806">
        <f t="shared" si="84"/>
        <v>0</v>
      </c>
      <c r="U142" s="806">
        <f t="shared" si="84"/>
        <v>0</v>
      </c>
      <c r="V142" s="806">
        <f t="shared" si="84"/>
        <v>0</v>
      </c>
      <c r="W142" s="806">
        <f t="shared" si="84"/>
        <v>0</v>
      </c>
      <c r="X142" s="806">
        <f t="shared" si="84"/>
        <v>0</v>
      </c>
      <c r="Y142" s="806">
        <f t="shared" si="84"/>
        <v>0</v>
      </c>
      <c r="Z142" s="806">
        <f t="shared" si="84"/>
        <v>0</v>
      </c>
      <c r="AA142" s="806">
        <f t="shared" si="84"/>
        <v>0</v>
      </c>
      <c r="AB142" s="806">
        <f t="shared" si="84"/>
        <v>0</v>
      </c>
      <c r="AC142" s="806">
        <f t="shared" si="84"/>
        <v>0</v>
      </c>
      <c r="AD142" s="1"/>
      <c r="AE142" s="1"/>
    </row>
    <row r="143" spans="8:58" ht="21.75" customHeight="1" x14ac:dyDescent="0.25">
      <c r="I143" s="202">
        <f>INDEX($J$118:$AC$171,MATCH($J143,$J$118:$J$171,0),MATCH($I$118,$J$118:$AC$118,0))</f>
        <v>0</v>
      </c>
      <c r="J143" s="227" t="s">
        <v>128</v>
      </c>
      <c r="K143" s="820">
        <f>K138+SUM(K139:K141)</f>
        <v>0</v>
      </c>
      <c r="L143" s="228">
        <f t="shared" si="82"/>
        <v>0</v>
      </c>
      <c r="N143" s="802">
        <f>N138+SUM(N139:N141)</f>
        <v>0</v>
      </c>
      <c r="O143" s="802">
        <f t="shared" ref="O143:AC143" si="85">O138+SUM(O139:O141)</f>
        <v>0</v>
      </c>
      <c r="P143" s="802">
        <f t="shared" si="85"/>
        <v>0</v>
      </c>
      <c r="Q143" s="802">
        <f t="shared" si="85"/>
        <v>0</v>
      </c>
      <c r="R143" s="802">
        <f t="shared" si="85"/>
        <v>0</v>
      </c>
      <c r="S143" s="802">
        <f t="shared" si="85"/>
        <v>0</v>
      </c>
      <c r="T143" s="802">
        <f t="shared" si="85"/>
        <v>0</v>
      </c>
      <c r="U143" s="802">
        <f t="shared" si="85"/>
        <v>0</v>
      </c>
      <c r="V143" s="802">
        <f t="shared" si="85"/>
        <v>0</v>
      </c>
      <c r="W143" s="802">
        <f t="shared" si="85"/>
        <v>0</v>
      </c>
      <c r="X143" s="802">
        <f t="shared" si="85"/>
        <v>0</v>
      </c>
      <c r="Y143" s="802">
        <f t="shared" si="85"/>
        <v>0</v>
      </c>
      <c r="Z143" s="802">
        <f t="shared" si="85"/>
        <v>0</v>
      </c>
      <c r="AA143" s="802">
        <f t="shared" si="85"/>
        <v>0</v>
      </c>
      <c r="AB143" s="802">
        <f t="shared" si="85"/>
        <v>0</v>
      </c>
      <c r="AC143" s="802">
        <f t="shared" si="85"/>
        <v>0</v>
      </c>
      <c r="AD143" s="1"/>
      <c r="AE143" s="1"/>
    </row>
    <row r="144" spans="8:58" s="229" customFormat="1" ht="18" customHeight="1" thickBot="1" x14ac:dyDescent="0.25">
      <c r="I144" s="230"/>
      <c r="J144" s="231" t="s">
        <v>129</v>
      </c>
      <c r="K144" s="232">
        <f>IFERROR(K143/(K$118+K$139),)</f>
        <v>0</v>
      </c>
      <c r="L144" s="233"/>
      <c r="M144" s="234"/>
      <c r="N144" s="235">
        <f t="shared" ref="N144:AC144" si="86">IFERROR(N143/(N$118+N$139),)</f>
        <v>0</v>
      </c>
      <c r="O144" s="235">
        <f t="shared" si="86"/>
        <v>0</v>
      </c>
      <c r="P144" s="235">
        <f t="shared" si="86"/>
        <v>0</v>
      </c>
      <c r="Q144" s="235">
        <f t="shared" si="86"/>
        <v>0</v>
      </c>
      <c r="R144" s="235">
        <f t="shared" si="86"/>
        <v>0</v>
      </c>
      <c r="S144" s="235">
        <f t="shared" si="86"/>
        <v>0</v>
      </c>
      <c r="T144" s="235">
        <f t="shared" si="86"/>
        <v>0</v>
      </c>
      <c r="U144" s="235">
        <f t="shared" si="86"/>
        <v>0</v>
      </c>
      <c r="V144" s="235">
        <f t="shared" si="86"/>
        <v>0</v>
      </c>
      <c r="W144" s="235">
        <f t="shared" si="86"/>
        <v>0</v>
      </c>
      <c r="X144" s="235">
        <f t="shared" si="86"/>
        <v>0</v>
      </c>
      <c r="Y144" s="235">
        <f t="shared" si="86"/>
        <v>0</v>
      </c>
      <c r="Z144" s="235">
        <f t="shared" si="86"/>
        <v>0</v>
      </c>
      <c r="AA144" s="235">
        <f t="shared" si="86"/>
        <v>0</v>
      </c>
      <c r="AB144" s="235">
        <f t="shared" si="86"/>
        <v>0</v>
      </c>
      <c r="AC144" s="235">
        <f t="shared" si="86"/>
        <v>0</v>
      </c>
    </row>
    <row r="145" spans="8:58" s="229" customFormat="1" ht="18" customHeight="1" outlineLevel="1" thickTop="1" x14ac:dyDescent="0.2">
      <c r="I145" s="230"/>
      <c r="J145" s="230"/>
      <c r="K145" s="236"/>
      <c r="L145" s="237"/>
      <c r="M145" s="230"/>
      <c r="N145" s="230"/>
      <c r="O145" s="230"/>
      <c r="P145" s="230"/>
      <c r="Q145" s="230"/>
      <c r="R145" s="230"/>
      <c r="S145" s="230"/>
      <c r="T145" s="230"/>
      <c r="U145" s="230"/>
      <c r="V145" s="230"/>
      <c r="W145" s="230"/>
      <c r="X145" s="230"/>
      <c r="Y145" s="230"/>
      <c r="Z145" s="230"/>
      <c r="AA145" s="230"/>
      <c r="AB145" s="230"/>
      <c r="AC145" s="230"/>
      <c r="AD145" s="230"/>
    </row>
    <row r="146" spans="8:58" ht="18" outlineLevel="1" x14ac:dyDescent="0.2">
      <c r="I146" s="104" t="s">
        <v>130</v>
      </c>
      <c r="J146" s="105" t="s">
        <v>131</v>
      </c>
      <c r="K146" s="238"/>
      <c r="L146" s="239"/>
      <c r="M146" s="106"/>
      <c r="N146" s="107"/>
      <c r="O146" s="107"/>
      <c r="P146" s="107"/>
      <c r="Q146" s="107"/>
      <c r="R146" s="107"/>
      <c r="S146" s="107"/>
      <c r="T146" s="107"/>
      <c r="U146" s="107"/>
      <c r="V146" s="107"/>
      <c r="W146" s="107"/>
      <c r="X146" s="107"/>
      <c r="Y146" s="107"/>
      <c r="Z146" s="107"/>
      <c r="AA146" s="107"/>
      <c r="AB146" s="107"/>
      <c r="AC146" s="107"/>
      <c r="AD146" s="1"/>
      <c r="AE146" s="1"/>
    </row>
    <row r="147" spans="8:58" ht="14.25" outlineLevel="1" x14ac:dyDescent="0.2">
      <c r="I147" s="199"/>
      <c r="J147" s="240" t="s">
        <v>132</v>
      </c>
      <c r="K147" s="241"/>
      <c r="L147" s="242"/>
      <c r="AD147" s="1"/>
      <c r="AE147" s="1"/>
    </row>
    <row r="148" spans="8:58" s="4" customFormat="1" ht="15.75" outlineLevel="1" x14ac:dyDescent="0.25">
      <c r="H148" s="1"/>
      <c r="I148" s="202"/>
      <c r="J148" s="97" t="s">
        <v>352</v>
      </c>
      <c r="K148" s="812">
        <f>SUM(N148:AC148)</f>
        <v>0</v>
      </c>
      <c r="L148" s="207">
        <f t="shared" ref="L148:L153" si="87">IFERROR(K148/$K$118,)</f>
        <v>0</v>
      </c>
      <c r="N148" s="427">
        <f>SUM('Bgn&gt;&gt;:&lt;&lt;End'!N148)</f>
        <v>0</v>
      </c>
      <c r="O148" s="427">
        <f>SUM('Bgn&gt;&gt;:&lt;&lt;End'!O148)</f>
        <v>0</v>
      </c>
      <c r="P148" s="427">
        <f>SUM('Bgn&gt;&gt;:&lt;&lt;End'!P148)</f>
        <v>0</v>
      </c>
      <c r="Q148" s="427">
        <f>SUM('Bgn&gt;&gt;:&lt;&lt;End'!Q148)</f>
        <v>0</v>
      </c>
      <c r="R148" s="427">
        <f>SUM('Bgn&gt;&gt;:&lt;&lt;End'!R148)</f>
        <v>0</v>
      </c>
      <c r="S148" s="427">
        <f>SUM('Bgn&gt;&gt;:&lt;&lt;End'!S148)</f>
        <v>0</v>
      </c>
      <c r="T148" s="427">
        <f>SUM('Bgn&gt;&gt;:&lt;&lt;End'!T148)</f>
        <v>0</v>
      </c>
      <c r="U148" s="427">
        <f>SUM('Bgn&gt;&gt;:&lt;&lt;End'!U148)</f>
        <v>0</v>
      </c>
      <c r="V148" s="427">
        <f>SUM('Bgn&gt;&gt;:&lt;&lt;End'!V148)</f>
        <v>0</v>
      </c>
      <c r="W148" s="427">
        <f>SUM('Bgn&gt;&gt;:&lt;&lt;End'!W148)</f>
        <v>0</v>
      </c>
      <c r="X148" s="427">
        <f>SUM('Bgn&gt;&gt;:&lt;&lt;End'!X148)</f>
        <v>0</v>
      </c>
      <c r="Y148" s="427">
        <f>SUM('Bgn&gt;&gt;:&lt;&lt;End'!Y148)</f>
        <v>0</v>
      </c>
      <c r="Z148" s="427">
        <f>SUM('Bgn&gt;&gt;:&lt;&lt;End'!Z148)</f>
        <v>0</v>
      </c>
      <c r="AA148" s="427">
        <f>SUM('Bgn&gt;&gt;:&lt;&lt;End'!AA148)</f>
        <v>0</v>
      </c>
      <c r="AB148" s="427">
        <f>SUM('Bgn&gt;&gt;:&lt;&lt;End'!AB148)</f>
        <v>0</v>
      </c>
      <c r="AC148" s="427">
        <f>SUM('Bgn&gt;&gt;:&lt;&lt;End'!AC148)</f>
        <v>0</v>
      </c>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row>
    <row r="149" spans="8:58" s="4" customFormat="1" ht="15.75" outlineLevel="1" x14ac:dyDescent="0.25">
      <c r="H149" s="1"/>
      <c r="I149" s="202"/>
      <c r="J149" s="97" t="s">
        <v>133</v>
      </c>
      <c r="K149" s="812">
        <f>SUM(N149:AC149)</f>
        <v>0</v>
      </c>
      <c r="L149" s="207">
        <f t="shared" si="87"/>
        <v>0</v>
      </c>
      <c r="N149" s="427">
        <f>SUM('Bgn&gt;&gt;:&lt;&lt;End'!N149)</f>
        <v>0</v>
      </c>
      <c r="O149" s="427">
        <f>SUM('Bgn&gt;&gt;:&lt;&lt;End'!O149)</f>
        <v>0</v>
      </c>
      <c r="P149" s="427">
        <f>SUM('Bgn&gt;&gt;:&lt;&lt;End'!P149)</f>
        <v>0</v>
      </c>
      <c r="Q149" s="427">
        <f>SUM('Bgn&gt;&gt;:&lt;&lt;End'!Q149)</f>
        <v>0</v>
      </c>
      <c r="R149" s="427">
        <f>SUM('Bgn&gt;&gt;:&lt;&lt;End'!R149)</f>
        <v>0</v>
      </c>
      <c r="S149" s="427">
        <f>SUM('Bgn&gt;&gt;:&lt;&lt;End'!S149)</f>
        <v>0</v>
      </c>
      <c r="T149" s="427">
        <f>SUM('Bgn&gt;&gt;:&lt;&lt;End'!T149)</f>
        <v>0</v>
      </c>
      <c r="U149" s="427">
        <f>SUM('Bgn&gt;&gt;:&lt;&lt;End'!U149)</f>
        <v>0</v>
      </c>
      <c r="V149" s="427">
        <f>SUM('Bgn&gt;&gt;:&lt;&lt;End'!V149)</f>
        <v>0</v>
      </c>
      <c r="W149" s="427">
        <f>SUM('Bgn&gt;&gt;:&lt;&lt;End'!W149)</f>
        <v>0</v>
      </c>
      <c r="X149" s="427">
        <f>SUM('Bgn&gt;&gt;:&lt;&lt;End'!X149)</f>
        <v>0</v>
      </c>
      <c r="Y149" s="427">
        <f>SUM('Bgn&gt;&gt;:&lt;&lt;End'!Y149)</f>
        <v>0</v>
      </c>
      <c r="Z149" s="427">
        <f>SUM('Bgn&gt;&gt;:&lt;&lt;End'!Z149)</f>
        <v>0</v>
      </c>
      <c r="AA149" s="427">
        <f>SUM('Bgn&gt;&gt;:&lt;&lt;End'!AA149)</f>
        <v>0</v>
      </c>
      <c r="AB149" s="427">
        <f>SUM('Bgn&gt;&gt;:&lt;&lt;End'!AB149)</f>
        <v>0</v>
      </c>
      <c r="AC149" s="427">
        <f>SUM('Bgn&gt;&gt;:&lt;&lt;End'!AC149)</f>
        <v>0</v>
      </c>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row>
    <row r="150" spans="8:58" s="4" customFormat="1" ht="15.75" outlineLevel="1" x14ac:dyDescent="0.25">
      <c r="H150" s="1"/>
      <c r="I150" s="202"/>
      <c r="J150" s="97" t="s">
        <v>134</v>
      </c>
      <c r="K150" s="812">
        <f>SUM(N150:AC150)</f>
        <v>0</v>
      </c>
      <c r="L150" s="207">
        <f t="shared" si="87"/>
        <v>0</v>
      </c>
      <c r="N150" s="427">
        <f>SUM('Bgn&gt;&gt;:&lt;&lt;End'!N150)</f>
        <v>0</v>
      </c>
      <c r="O150" s="427">
        <f>SUM('Bgn&gt;&gt;:&lt;&lt;End'!O150)</f>
        <v>0</v>
      </c>
      <c r="P150" s="427">
        <f>SUM('Bgn&gt;&gt;:&lt;&lt;End'!P150)</f>
        <v>0</v>
      </c>
      <c r="Q150" s="427">
        <f>SUM('Bgn&gt;&gt;:&lt;&lt;End'!Q150)</f>
        <v>0</v>
      </c>
      <c r="R150" s="427">
        <f>SUM('Bgn&gt;&gt;:&lt;&lt;End'!R150)</f>
        <v>0</v>
      </c>
      <c r="S150" s="427">
        <f>SUM('Bgn&gt;&gt;:&lt;&lt;End'!S150)</f>
        <v>0</v>
      </c>
      <c r="T150" s="427">
        <f>SUM('Bgn&gt;&gt;:&lt;&lt;End'!T150)</f>
        <v>0</v>
      </c>
      <c r="U150" s="427">
        <f>SUM('Bgn&gt;&gt;:&lt;&lt;End'!U150)</f>
        <v>0</v>
      </c>
      <c r="V150" s="427">
        <f>SUM('Bgn&gt;&gt;:&lt;&lt;End'!V150)</f>
        <v>0</v>
      </c>
      <c r="W150" s="427">
        <f>SUM('Bgn&gt;&gt;:&lt;&lt;End'!W150)</f>
        <v>0</v>
      </c>
      <c r="X150" s="427">
        <f>SUM('Bgn&gt;&gt;:&lt;&lt;End'!X150)</f>
        <v>0</v>
      </c>
      <c r="Y150" s="427">
        <f>SUM('Bgn&gt;&gt;:&lt;&lt;End'!Y150)</f>
        <v>0</v>
      </c>
      <c r="Z150" s="427">
        <f>SUM('Bgn&gt;&gt;:&lt;&lt;End'!Z150)</f>
        <v>0</v>
      </c>
      <c r="AA150" s="427">
        <f>SUM('Bgn&gt;&gt;:&lt;&lt;End'!AA150)</f>
        <v>0</v>
      </c>
      <c r="AB150" s="427">
        <f>SUM('Bgn&gt;&gt;:&lt;&lt;End'!AB150)</f>
        <v>0</v>
      </c>
      <c r="AC150" s="427">
        <f>SUM('Bgn&gt;&gt;:&lt;&lt;End'!AC150)</f>
        <v>0</v>
      </c>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row>
    <row r="151" spans="8:58" s="4" customFormat="1" outlineLevel="1" x14ac:dyDescent="0.3">
      <c r="H151" s="1"/>
      <c r="I151" s="202"/>
      <c r="J151" s="243" t="s">
        <v>135</v>
      </c>
      <c r="K151" s="812">
        <f>SUM(N151:AC151)</f>
        <v>0</v>
      </c>
      <c r="L151" s="207">
        <f t="shared" si="87"/>
        <v>0</v>
      </c>
      <c r="N151" s="427">
        <f>SUM('Bgn&gt;&gt;:&lt;&lt;End'!N151)</f>
        <v>0</v>
      </c>
      <c r="O151" s="427">
        <f>SUM('Bgn&gt;&gt;:&lt;&lt;End'!O151)</f>
        <v>0</v>
      </c>
      <c r="P151" s="427">
        <f>SUM('Bgn&gt;&gt;:&lt;&lt;End'!P151)</f>
        <v>0</v>
      </c>
      <c r="Q151" s="427">
        <f>SUM('Bgn&gt;&gt;:&lt;&lt;End'!Q151)</f>
        <v>0</v>
      </c>
      <c r="R151" s="427">
        <f>SUM('Bgn&gt;&gt;:&lt;&lt;End'!R151)</f>
        <v>0</v>
      </c>
      <c r="S151" s="427">
        <f>SUM('Bgn&gt;&gt;:&lt;&lt;End'!S151)</f>
        <v>0</v>
      </c>
      <c r="T151" s="427">
        <f>SUM('Bgn&gt;&gt;:&lt;&lt;End'!T151)</f>
        <v>0</v>
      </c>
      <c r="U151" s="427">
        <f>SUM('Bgn&gt;&gt;:&lt;&lt;End'!U151)</f>
        <v>0</v>
      </c>
      <c r="V151" s="427">
        <f>SUM('Bgn&gt;&gt;:&lt;&lt;End'!V151)</f>
        <v>0</v>
      </c>
      <c r="W151" s="427">
        <f>SUM('Bgn&gt;&gt;:&lt;&lt;End'!W151)</f>
        <v>0</v>
      </c>
      <c r="X151" s="427">
        <f>SUM('Bgn&gt;&gt;:&lt;&lt;End'!X151)</f>
        <v>0</v>
      </c>
      <c r="Y151" s="427">
        <f>SUM('Bgn&gt;&gt;:&lt;&lt;End'!Y151)</f>
        <v>0</v>
      </c>
      <c r="Z151" s="427">
        <f>SUM('Bgn&gt;&gt;:&lt;&lt;End'!Z151)</f>
        <v>0</v>
      </c>
      <c r="AA151" s="427">
        <f>SUM('Bgn&gt;&gt;:&lt;&lt;End'!AA151)</f>
        <v>0</v>
      </c>
      <c r="AB151" s="427">
        <f>SUM('Bgn&gt;&gt;:&lt;&lt;End'!AB151)</f>
        <v>0</v>
      </c>
      <c r="AC151" s="427">
        <f>SUM('Bgn&gt;&gt;:&lt;&lt;End'!AC151)</f>
        <v>0</v>
      </c>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row>
    <row r="152" spans="8:58" s="4" customFormat="1" ht="19.149999999999999" customHeight="1" outlineLevel="1" x14ac:dyDescent="0.25">
      <c r="H152" s="1"/>
      <c r="I152" s="202"/>
      <c r="J152" s="244" t="s">
        <v>136</v>
      </c>
      <c r="K152" s="812">
        <f>SUM(N152:AC152)</f>
        <v>0</v>
      </c>
      <c r="L152" s="207">
        <f t="shared" si="87"/>
        <v>0</v>
      </c>
      <c r="N152" s="427">
        <f>SUM('Bgn&gt;&gt;:&lt;&lt;End'!N152)</f>
        <v>0</v>
      </c>
      <c r="O152" s="427">
        <f>SUM('Bgn&gt;&gt;:&lt;&lt;End'!O152)</f>
        <v>0</v>
      </c>
      <c r="P152" s="427">
        <f>SUM('Bgn&gt;&gt;:&lt;&lt;End'!P152)</f>
        <v>0</v>
      </c>
      <c r="Q152" s="427">
        <f>SUM('Bgn&gt;&gt;:&lt;&lt;End'!Q152)</f>
        <v>0</v>
      </c>
      <c r="R152" s="427">
        <f>SUM('Bgn&gt;&gt;:&lt;&lt;End'!R152)</f>
        <v>0</v>
      </c>
      <c r="S152" s="427">
        <f>SUM('Bgn&gt;&gt;:&lt;&lt;End'!S152)</f>
        <v>0</v>
      </c>
      <c r="T152" s="427">
        <f>SUM('Bgn&gt;&gt;:&lt;&lt;End'!T152)</f>
        <v>0</v>
      </c>
      <c r="U152" s="427">
        <f>SUM('Bgn&gt;&gt;:&lt;&lt;End'!U152)</f>
        <v>0</v>
      </c>
      <c r="V152" s="427">
        <f>SUM('Bgn&gt;&gt;:&lt;&lt;End'!V152)</f>
        <v>0</v>
      </c>
      <c r="W152" s="427">
        <f>SUM('Bgn&gt;&gt;:&lt;&lt;End'!W152)</f>
        <v>0</v>
      </c>
      <c r="X152" s="427">
        <f>SUM('Bgn&gt;&gt;:&lt;&lt;End'!X152)</f>
        <v>0</v>
      </c>
      <c r="Y152" s="427">
        <f>SUM('Bgn&gt;&gt;:&lt;&lt;End'!Y152)</f>
        <v>0</v>
      </c>
      <c r="Z152" s="427">
        <f>SUM('Bgn&gt;&gt;:&lt;&lt;End'!Z152)</f>
        <v>0</v>
      </c>
      <c r="AA152" s="427">
        <f>SUM('Bgn&gt;&gt;:&lt;&lt;End'!AA152)</f>
        <v>0</v>
      </c>
      <c r="AB152" s="427">
        <f>SUM('Bgn&gt;&gt;:&lt;&lt;End'!AB152)</f>
        <v>0</v>
      </c>
      <c r="AC152" s="427">
        <f>SUM('Bgn&gt;&gt;:&lt;&lt;End'!AC152)</f>
        <v>0</v>
      </c>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row>
    <row r="153" spans="8:58" s="4" customFormat="1" ht="15.75" outlineLevel="1" x14ac:dyDescent="0.25">
      <c r="H153" s="1"/>
      <c r="I153" s="202">
        <f>INDEX($J$118:$AC$171,MATCH($J153,$J$118:$J$171,0),MATCH($I$118,$J$118:$AC$118,0))</f>
        <v>0</v>
      </c>
      <c r="J153" s="210" t="s">
        <v>137</v>
      </c>
      <c r="K153" s="814">
        <f>K133+SUM(K148:K152)</f>
        <v>0</v>
      </c>
      <c r="L153" s="220">
        <f t="shared" si="87"/>
        <v>0</v>
      </c>
      <c r="N153" s="1032">
        <f>N133+SUM(N148:N152)</f>
        <v>0</v>
      </c>
      <c r="O153" s="1033">
        <f t="shared" ref="O153:AC153" si="88">O133+SUM(O148:O152)</f>
        <v>0</v>
      </c>
      <c r="P153" s="1033">
        <f t="shared" si="88"/>
        <v>0</v>
      </c>
      <c r="Q153" s="1033">
        <f t="shared" si="88"/>
        <v>0</v>
      </c>
      <c r="R153" s="1033">
        <f t="shared" si="88"/>
        <v>0</v>
      </c>
      <c r="S153" s="1033">
        <f t="shared" si="88"/>
        <v>0</v>
      </c>
      <c r="T153" s="1033">
        <f t="shared" si="88"/>
        <v>0</v>
      </c>
      <c r="U153" s="1033">
        <f t="shared" si="88"/>
        <v>0</v>
      </c>
      <c r="V153" s="1033">
        <f t="shared" si="88"/>
        <v>0</v>
      </c>
      <c r="W153" s="1033">
        <f t="shared" si="88"/>
        <v>0</v>
      </c>
      <c r="X153" s="1033">
        <f t="shared" si="88"/>
        <v>0</v>
      </c>
      <c r="Y153" s="1033">
        <f t="shared" si="88"/>
        <v>0</v>
      </c>
      <c r="Z153" s="1033">
        <f t="shared" si="88"/>
        <v>0</v>
      </c>
      <c r="AA153" s="1033">
        <f t="shared" si="88"/>
        <v>0</v>
      </c>
      <c r="AB153" s="1033">
        <f t="shared" si="88"/>
        <v>0</v>
      </c>
      <c r="AC153" s="1034">
        <f t="shared" si="88"/>
        <v>0</v>
      </c>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row>
    <row r="154" spans="8:58" s="217" customFormat="1" ht="13.5" customHeight="1" outlineLevel="1" x14ac:dyDescent="0.2">
      <c r="H154" s="212"/>
      <c r="I154" s="213"/>
      <c r="J154" s="214" t="s">
        <v>138</v>
      </c>
      <c r="K154" s="215">
        <f>IFERROR(K153/K$118,)</f>
        <v>0</v>
      </c>
      <c r="L154" s="216"/>
      <c r="N154" s="245">
        <f t="shared" ref="N154:AC154" si="89">IFERROR(N153/N$118,)</f>
        <v>0</v>
      </c>
      <c r="O154" s="218">
        <f t="shared" si="89"/>
        <v>0</v>
      </c>
      <c r="P154" s="218">
        <f t="shared" si="89"/>
        <v>0</v>
      </c>
      <c r="Q154" s="218">
        <f t="shared" si="89"/>
        <v>0</v>
      </c>
      <c r="R154" s="218">
        <f t="shared" si="89"/>
        <v>0</v>
      </c>
      <c r="S154" s="218">
        <f t="shared" si="89"/>
        <v>0</v>
      </c>
      <c r="T154" s="218">
        <f t="shared" si="89"/>
        <v>0</v>
      </c>
      <c r="U154" s="218">
        <f t="shared" si="89"/>
        <v>0</v>
      </c>
      <c r="V154" s="218">
        <f t="shared" si="89"/>
        <v>0</v>
      </c>
      <c r="W154" s="218">
        <f t="shared" si="89"/>
        <v>0</v>
      </c>
      <c r="X154" s="218">
        <f t="shared" si="89"/>
        <v>0</v>
      </c>
      <c r="Y154" s="218">
        <f t="shared" si="89"/>
        <v>0</v>
      </c>
      <c r="Z154" s="218">
        <f t="shared" si="89"/>
        <v>0</v>
      </c>
      <c r="AA154" s="218">
        <f t="shared" si="89"/>
        <v>0</v>
      </c>
      <c r="AB154" s="218">
        <f t="shared" si="89"/>
        <v>0</v>
      </c>
      <c r="AC154" s="246">
        <f t="shared" si="89"/>
        <v>0</v>
      </c>
      <c r="AD154" s="212"/>
      <c r="AE154" s="212"/>
      <c r="AF154" s="212"/>
      <c r="AG154" s="212"/>
      <c r="AH154" s="212"/>
      <c r="AI154" s="212"/>
      <c r="AJ154" s="212"/>
      <c r="AK154" s="212"/>
      <c r="AL154" s="212"/>
      <c r="AM154" s="212"/>
      <c r="AN154" s="212"/>
      <c r="AO154" s="212"/>
      <c r="AP154" s="212"/>
      <c r="AQ154" s="212"/>
      <c r="AR154" s="212"/>
      <c r="AS154" s="212"/>
      <c r="AT154" s="212"/>
      <c r="AU154" s="212"/>
      <c r="AV154" s="212"/>
      <c r="AW154" s="212"/>
      <c r="AX154" s="212"/>
      <c r="AY154" s="212"/>
      <c r="AZ154" s="212"/>
      <c r="BA154" s="212"/>
      <c r="BB154" s="212"/>
      <c r="BC154" s="212"/>
      <c r="BD154" s="212"/>
      <c r="BE154" s="212"/>
      <c r="BF154" s="212"/>
    </row>
    <row r="155" spans="8:58" s="217" customFormat="1" ht="13.5" customHeight="1" outlineLevel="1" x14ac:dyDescent="0.2">
      <c r="H155" s="212"/>
      <c r="I155" s="213"/>
      <c r="J155" s="240" t="s">
        <v>139</v>
      </c>
      <c r="K155" s="215"/>
      <c r="L155" s="216"/>
      <c r="N155" s="247"/>
      <c r="O155" s="248"/>
      <c r="P155" s="248"/>
      <c r="Q155" s="248"/>
      <c r="R155" s="248"/>
      <c r="S155" s="248"/>
      <c r="T155" s="248"/>
      <c r="U155" s="248"/>
      <c r="V155" s="248"/>
      <c r="W155" s="248"/>
      <c r="X155" s="248"/>
      <c r="Y155" s="248"/>
      <c r="Z155" s="248"/>
      <c r="AA155" s="248"/>
      <c r="AB155" s="248"/>
      <c r="AC155" s="249"/>
      <c r="AD155" s="212"/>
      <c r="AE155" s="212"/>
      <c r="AF155" s="212"/>
      <c r="AG155" s="212"/>
      <c r="AH155" s="212"/>
      <c r="AI155" s="212"/>
      <c r="AJ155" s="212"/>
      <c r="AK155" s="212"/>
      <c r="AL155" s="212"/>
      <c r="AM155" s="212"/>
      <c r="AN155" s="212"/>
      <c r="AO155" s="212"/>
      <c r="AP155" s="212"/>
      <c r="AQ155" s="212"/>
      <c r="AR155" s="212"/>
      <c r="AS155" s="212"/>
      <c r="AT155" s="212"/>
      <c r="AU155" s="212"/>
      <c r="AV155" s="212"/>
      <c r="AW155" s="212"/>
      <c r="AX155" s="212"/>
      <c r="AY155" s="212"/>
      <c r="AZ155" s="212"/>
      <c r="BA155" s="212"/>
      <c r="BB155" s="212"/>
      <c r="BC155" s="212"/>
      <c r="BD155" s="212"/>
      <c r="BE155" s="212"/>
      <c r="BF155" s="212"/>
    </row>
    <row r="156" spans="8:58" s="4" customFormat="1" ht="15.75" outlineLevel="1" x14ac:dyDescent="0.25">
      <c r="H156" s="1"/>
      <c r="I156" s="202"/>
      <c r="J156" s="97" t="s">
        <v>140</v>
      </c>
      <c r="K156" s="812">
        <f>SUM(N156:AC156)</f>
        <v>0</v>
      </c>
      <c r="L156" s="207">
        <f>IFERROR(K156/$K$118,)</f>
        <v>0</v>
      </c>
      <c r="N156" s="789">
        <f>SUM('Bgn&gt;&gt;:&lt;&lt;End'!N156)</f>
        <v>0</v>
      </c>
      <c r="O156" s="789">
        <f>SUM('Bgn&gt;&gt;:&lt;&lt;End'!O156)</f>
        <v>0</v>
      </c>
      <c r="P156" s="789">
        <f>SUM('Bgn&gt;&gt;:&lt;&lt;End'!P156)</f>
        <v>0</v>
      </c>
      <c r="Q156" s="789">
        <f>SUM('Bgn&gt;&gt;:&lt;&lt;End'!Q156)</f>
        <v>0</v>
      </c>
      <c r="R156" s="789">
        <f>SUM('Bgn&gt;&gt;:&lt;&lt;End'!R156)</f>
        <v>0</v>
      </c>
      <c r="S156" s="789">
        <f>SUM('Bgn&gt;&gt;:&lt;&lt;End'!S156)</f>
        <v>0</v>
      </c>
      <c r="T156" s="789">
        <f>SUM('Bgn&gt;&gt;:&lt;&lt;End'!T156)</f>
        <v>0</v>
      </c>
      <c r="U156" s="789">
        <f>SUM('Bgn&gt;&gt;:&lt;&lt;End'!U156)</f>
        <v>0</v>
      </c>
      <c r="V156" s="789">
        <f>SUM('Bgn&gt;&gt;:&lt;&lt;End'!V156)</f>
        <v>0</v>
      </c>
      <c r="W156" s="789">
        <f>SUM('Bgn&gt;&gt;:&lt;&lt;End'!W156)</f>
        <v>0</v>
      </c>
      <c r="X156" s="789">
        <f>SUM('Bgn&gt;&gt;:&lt;&lt;End'!X156)</f>
        <v>0</v>
      </c>
      <c r="Y156" s="789">
        <f>SUM('Bgn&gt;&gt;:&lt;&lt;End'!Y156)</f>
        <v>0</v>
      </c>
      <c r="Z156" s="789">
        <f>SUM('Bgn&gt;&gt;:&lt;&lt;End'!Z156)</f>
        <v>0</v>
      </c>
      <c r="AA156" s="789">
        <f>SUM('Bgn&gt;&gt;:&lt;&lt;End'!AA156)</f>
        <v>0</v>
      </c>
      <c r="AB156" s="789">
        <f>SUM('Bgn&gt;&gt;:&lt;&lt;End'!AB156)</f>
        <v>0</v>
      </c>
      <c r="AC156" s="789">
        <f>SUM('Bgn&gt;&gt;:&lt;&lt;End'!AC156)</f>
        <v>0</v>
      </c>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row>
    <row r="157" spans="8:58" s="4" customFormat="1" ht="15.75" outlineLevel="1" x14ac:dyDescent="0.25">
      <c r="H157" s="1"/>
      <c r="I157" s="202"/>
      <c r="J157" s="97" t="s">
        <v>141</v>
      </c>
      <c r="K157" s="812">
        <f>SUM(N157:AC157)</f>
        <v>0</v>
      </c>
      <c r="L157" s="207">
        <f t="shared" ref="L157:L162" si="90">IFERROR(K157/$K$118,)</f>
        <v>0</v>
      </c>
      <c r="N157" s="789">
        <f>SUM('Bgn&gt;&gt;:&lt;&lt;End'!N157)</f>
        <v>0</v>
      </c>
      <c r="O157" s="789">
        <f>SUM('Bgn&gt;&gt;:&lt;&lt;End'!O157)</f>
        <v>0</v>
      </c>
      <c r="P157" s="789">
        <f>SUM('Bgn&gt;&gt;:&lt;&lt;End'!P157)</f>
        <v>0</v>
      </c>
      <c r="Q157" s="789">
        <f>SUM('Bgn&gt;&gt;:&lt;&lt;End'!Q157)</f>
        <v>0</v>
      </c>
      <c r="R157" s="789">
        <f>SUM('Bgn&gt;&gt;:&lt;&lt;End'!R157)</f>
        <v>0</v>
      </c>
      <c r="S157" s="789">
        <f>SUM('Bgn&gt;&gt;:&lt;&lt;End'!S157)</f>
        <v>0</v>
      </c>
      <c r="T157" s="789">
        <f>SUM('Bgn&gt;&gt;:&lt;&lt;End'!T157)</f>
        <v>0</v>
      </c>
      <c r="U157" s="789">
        <f>SUM('Bgn&gt;&gt;:&lt;&lt;End'!U157)</f>
        <v>0</v>
      </c>
      <c r="V157" s="789">
        <f>SUM('Bgn&gt;&gt;:&lt;&lt;End'!V157)</f>
        <v>0</v>
      </c>
      <c r="W157" s="789">
        <f>SUM('Bgn&gt;&gt;:&lt;&lt;End'!W157)</f>
        <v>0</v>
      </c>
      <c r="X157" s="789">
        <f>SUM('Bgn&gt;&gt;:&lt;&lt;End'!X157)</f>
        <v>0</v>
      </c>
      <c r="Y157" s="789">
        <f>SUM('Bgn&gt;&gt;:&lt;&lt;End'!Y157)</f>
        <v>0</v>
      </c>
      <c r="Z157" s="789">
        <f>SUM('Bgn&gt;&gt;:&lt;&lt;End'!Z157)</f>
        <v>0</v>
      </c>
      <c r="AA157" s="789">
        <f>SUM('Bgn&gt;&gt;:&lt;&lt;End'!AA157)</f>
        <v>0</v>
      </c>
      <c r="AB157" s="789">
        <f>SUM('Bgn&gt;&gt;:&lt;&lt;End'!AB157)</f>
        <v>0</v>
      </c>
      <c r="AC157" s="789">
        <f>SUM('Bgn&gt;&gt;:&lt;&lt;End'!AC157)</f>
        <v>0</v>
      </c>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row>
    <row r="158" spans="8:58" s="4" customFormat="1" ht="15.75" outlineLevel="1" x14ac:dyDescent="0.25">
      <c r="H158" s="1"/>
      <c r="I158" s="202"/>
      <c r="J158" s="244" t="s">
        <v>136</v>
      </c>
      <c r="K158" s="812">
        <f>SUM(N158:AC158)</f>
        <v>0</v>
      </c>
      <c r="L158" s="207">
        <f t="shared" si="90"/>
        <v>0</v>
      </c>
      <c r="N158" s="789">
        <f>SUM('Bgn&gt;&gt;:&lt;&lt;End'!N158)</f>
        <v>0</v>
      </c>
      <c r="O158" s="789">
        <f>SUM('Bgn&gt;&gt;:&lt;&lt;End'!O158)</f>
        <v>0</v>
      </c>
      <c r="P158" s="789">
        <f>SUM('Bgn&gt;&gt;:&lt;&lt;End'!P158)</f>
        <v>0</v>
      </c>
      <c r="Q158" s="789">
        <f>SUM('Bgn&gt;&gt;:&lt;&lt;End'!Q158)</f>
        <v>0</v>
      </c>
      <c r="R158" s="789">
        <f>SUM('Bgn&gt;&gt;:&lt;&lt;End'!R158)</f>
        <v>0</v>
      </c>
      <c r="S158" s="789">
        <f>SUM('Bgn&gt;&gt;:&lt;&lt;End'!S158)</f>
        <v>0</v>
      </c>
      <c r="T158" s="789">
        <f>SUM('Bgn&gt;&gt;:&lt;&lt;End'!T158)</f>
        <v>0</v>
      </c>
      <c r="U158" s="789">
        <f>SUM('Bgn&gt;&gt;:&lt;&lt;End'!U158)</f>
        <v>0</v>
      </c>
      <c r="V158" s="789">
        <f>SUM('Bgn&gt;&gt;:&lt;&lt;End'!V158)</f>
        <v>0</v>
      </c>
      <c r="W158" s="789">
        <f>SUM('Bgn&gt;&gt;:&lt;&lt;End'!W158)</f>
        <v>0</v>
      </c>
      <c r="X158" s="789">
        <f>SUM('Bgn&gt;&gt;:&lt;&lt;End'!X158)</f>
        <v>0</v>
      </c>
      <c r="Y158" s="789">
        <f>SUM('Bgn&gt;&gt;:&lt;&lt;End'!Y158)</f>
        <v>0</v>
      </c>
      <c r="Z158" s="789">
        <f>SUM('Bgn&gt;&gt;:&lt;&lt;End'!Z158)</f>
        <v>0</v>
      </c>
      <c r="AA158" s="789">
        <f>SUM('Bgn&gt;&gt;:&lt;&lt;End'!AA158)</f>
        <v>0</v>
      </c>
      <c r="AB158" s="789">
        <f>SUM('Bgn&gt;&gt;:&lt;&lt;End'!AB158)</f>
        <v>0</v>
      </c>
      <c r="AC158" s="789">
        <f>SUM('Bgn&gt;&gt;:&lt;&lt;End'!AC158)</f>
        <v>0</v>
      </c>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row>
    <row r="159" spans="8:58" ht="15.75" outlineLevel="1" x14ac:dyDescent="0.25">
      <c r="I159" s="202">
        <f>INDEX($J$118:$AC$171,MATCH($J159,$J$118:$J$171,0),MATCH($I$118,$J$118:$AC$118,0))</f>
        <v>0</v>
      </c>
      <c r="J159" s="222" t="s">
        <v>142</v>
      </c>
      <c r="K159" s="817">
        <f>K153+SUM(K156:K158)</f>
        <v>0</v>
      </c>
      <c r="L159" s="223">
        <f t="shared" si="90"/>
        <v>0</v>
      </c>
      <c r="N159" s="1035">
        <f>N153+SUM(N156:N158)</f>
        <v>0</v>
      </c>
      <c r="O159" s="1036">
        <f t="shared" ref="O159:AC159" si="91">O153+SUM(O156:O158)</f>
        <v>0</v>
      </c>
      <c r="P159" s="1036">
        <f t="shared" si="91"/>
        <v>0</v>
      </c>
      <c r="Q159" s="1036">
        <f t="shared" si="91"/>
        <v>0</v>
      </c>
      <c r="R159" s="1036">
        <f t="shared" si="91"/>
        <v>0</v>
      </c>
      <c r="S159" s="1036">
        <f t="shared" si="91"/>
        <v>0</v>
      </c>
      <c r="T159" s="1036">
        <f t="shared" si="91"/>
        <v>0</v>
      </c>
      <c r="U159" s="1036">
        <f t="shared" si="91"/>
        <v>0</v>
      </c>
      <c r="V159" s="1036">
        <f t="shared" si="91"/>
        <v>0</v>
      </c>
      <c r="W159" s="1036">
        <f t="shared" si="91"/>
        <v>0</v>
      </c>
      <c r="X159" s="1036">
        <f t="shared" si="91"/>
        <v>0</v>
      </c>
      <c r="Y159" s="1036">
        <f t="shared" si="91"/>
        <v>0</v>
      </c>
      <c r="Z159" s="1036">
        <f t="shared" si="91"/>
        <v>0</v>
      </c>
      <c r="AA159" s="1036">
        <f t="shared" si="91"/>
        <v>0</v>
      </c>
      <c r="AB159" s="1036">
        <f t="shared" si="91"/>
        <v>0</v>
      </c>
      <c r="AC159" s="1037">
        <f t="shared" si="91"/>
        <v>0</v>
      </c>
      <c r="AD159" s="1"/>
      <c r="AE159" s="1"/>
    </row>
    <row r="160" spans="8:58" ht="15.75" outlineLevel="1" x14ac:dyDescent="0.25">
      <c r="I160" s="202">
        <f>INDEX($J$118:$AC$171,MATCH($J160,$J$118:$J$171,0),MATCH($I$118,$J$118:$AC$118,0))</f>
        <v>0</v>
      </c>
      <c r="J160" s="224" t="s">
        <v>127</v>
      </c>
      <c r="K160" s="819">
        <f>K142</f>
        <v>0</v>
      </c>
      <c r="L160" s="226">
        <f t="shared" si="90"/>
        <v>0</v>
      </c>
      <c r="M160" s="4"/>
      <c r="N160" s="1038">
        <f>N142</f>
        <v>0</v>
      </c>
      <c r="O160" s="806">
        <f t="shared" ref="O160:AC160" si="92">O142</f>
        <v>0</v>
      </c>
      <c r="P160" s="806">
        <f t="shared" si="92"/>
        <v>0</v>
      </c>
      <c r="Q160" s="806">
        <f t="shared" si="92"/>
        <v>0</v>
      </c>
      <c r="R160" s="806">
        <f t="shared" si="92"/>
        <v>0</v>
      </c>
      <c r="S160" s="806">
        <f t="shared" si="92"/>
        <v>0</v>
      </c>
      <c r="T160" s="806">
        <f t="shared" si="92"/>
        <v>0</v>
      </c>
      <c r="U160" s="806">
        <f t="shared" si="92"/>
        <v>0</v>
      </c>
      <c r="V160" s="806">
        <f t="shared" si="92"/>
        <v>0</v>
      </c>
      <c r="W160" s="806">
        <f t="shared" si="92"/>
        <v>0</v>
      </c>
      <c r="X160" s="806">
        <f t="shared" si="92"/>
        <v>0</v>
      </c>
      <c r="Y160" s="806">
        <f t="shared" si="92"/>
        <v>0</v>
      </c>
      <c r="Z160" s="806">
        <f t="shared" si="92"/>
        <v>0</v>
      </c>
      <c r="AA160" s="806">
        <f t="shared" si="92"/>
        <v>0</v>
      </c>
      <c r="AB160" s="806">
        <f t="shared" si="92"/>
        <v>0</v>
      </c>
      <c r="AC160" s="1039">
        <f t="shared" si="92"/>
        <v>0</v>
      </c>
      <c r="AD160" s="1"/>
      <c r="AE160" s="1"/>
    </row>
    <row r="161" spans="8:58" ht="15.75" outlineLevel="1" x14ac:dyDescent="0.25">
      <c r="I161" s="202">
        <f>INDEX($J$118:$AC$171,MATCH($J161,$J$118:$J$171,0),MATCH($I$118,$J$118:$AC$118,0))</f>
        <v>0</v>
      </c>
      <c r="J161" s="31" t="s">
        <v>143</v>
      </c>
      <c r="K161" s="824">
        <f>SUM(N161:AC161)</f>
        <v>0</v>
      </c>
      <c r="L161" s="211">
        <f t="shared" si="90"/>
        <v>0</v>
      </c>
      <c r="N161" s="789">
        <f>SUM('Bgn&gt;&gt;:&lt;&lt;End'!N161)</f>
        <v>0</v>
      </c>
      <c r="O161" s="789">
        <f>SUM('Bgn&gt;&gt;:&lt;&lt;End'!O161)</f>
        <v>0</v>
      </c>
      <c r="P161" s="789">
        <f>SUM('Bgn&gt;&gt;:&lt;&lt;End'!P161)</f>
        <v>0</v>
      </c>
      <c r="Q161" s="789">
        <f>SUM('Bgn&gt;&gt;:&lt;&lt;End'!Q161)</f>
        <v>0</v>
      </c>
      <c r="R161" s="789">
        <f>SUM('Bgn&gt;&gt;:&lt;&lt;End'!R161)</f>
        <v>0</v>
      </c>
      <c r="S161" s="789">
        <f>SUM('Bgn&gt;&gt;:&lt;&lt;End'!S161)</f>
        <v>0</v>
      </c>
      <c r="T161" s="789">
        <f>SUM('Bgn&gt;&gt;:&lt;&lt;End'!T161)</f>
        <v>0</v>
      </c>
      <c r="U161" s="789">
        <f>SUM('Bgn&gt;&gt;:&lt;&lt;End'!U161)</f>
        <v>0</v>
      </c>
      <c r="V161" s="789">
        <f>SUM('Bgn&gt;&gt;:&lt;&lt;End'!V161)</f>
        <v>0</v>
      </c>
      <c r="W161" s="789">
        <f>SUM('Bgn&gt;&gt;:&lt;&lt;End'!W161)</f>
        <v>0</v>
      </c>
      <c r="X161" s="789">
        <f>SUM('Bgn&gt;&gt;:&lt;&lt;End'!X161)</f>
        <v>0</v>
      </c>
      <c r="Y161" s="789">
        <f>SUM('Bgn&gt;&gt;:&lt;&lt;End'!Y161)</f>
        <v>0</v>
      </c>
      <c r="Z161" s="789">
        <f>SUM('Bgn&gt;&gt;:&lt;&lt;End'!Z161)</f>
        <v>0</v>
      </c>
      <c r="AA161" s="789">
        <f>SUM('Bgn&gt;&gt;:&lt;&lt;End'!AA161)</f>
        <v>0</v>
      </c>
      <c r="AB161" s="789">
        <f>SUM('Bgn&gt;&gt;:&lt;&lt;End'!AB161)</f>
        <v>0</v>
      </c>
      <c r="AC161" s="789">
        <f>SUM('Bgn&gt;&gt;:&lt;&lt;End'!AC161)</f>
        <v>0</v>
      </c>
      <c r="AD161" s="1"/>
      <c r="AE161" s="1"/>
    </row>
    <row r="162" spans="8:58" ht="21.75" customHeight="1" outlineLevel="1" x14ac:dyDescent="0.25">
      <c r="I162" s="202">
        <f>INDEX($J$118:$AC$171,MATCH($J162,$J$118:$J$171,0),MATCH($I$118,$J$118:$AC$118,0))</f>
        <v>0</v>
      </c>
      <c r="J162" s="227" t="s">
        <v>144</v>
      </c>
      <c r="K162" s="820">
        <f>K143+SUM(K148:K152,K156:K158,K161)</f>
        <v>0</v>
      </c>
      <c r="L162" s="228">
        <f t="shared" si="90"/>
        <v>0</v>
      </c>
      <c r="N162" s="930">
        <f>N143+SUM(N148:N152,N156:N158,N161)</f>
        <v>0</v>
      </c>
      <c r="O162" s="802">
        <f t="shared" ref="O162:AC162" si="93">O143+SUM(O148:O152,O156:O158,O161)</f>
        <v>0</v>
      </c>
      <c r="P162" s="802">
        <f t="shared" si="93"/>
        <v>0</v>
      </c>
      <c r="Q162" s="802">
        <f t="shared" si="93"/>
        <v>0</v>
      </c>
      <c r="R162" s="802">
        <f t="shared" si="93"/>
        <v>0</v>
      </c>
      <c r="S162" s="802">
        <f t="shared" si="93"/>
        <v>0</v>
      </c>
      <c r="T162" s="802">
        <f t="shared" si="93"/>
        <v>0</v>
      </c>
      <c r="U162" s="802">
        <f t="shared" si="93"/>
        <v>0</v>
      </c>
      <c r="V162" s="802">
        <f t="shared" si="93"/>
        <v>0</v>
      </c>
      <c r="W162" s="802">
        <f t="shared" si="93"/>
        <v>0</v>
      </c>
      <c r="X162" s="802">
        <f t="shared" si="93"/>
        <v>0</v>
      </c>
      <c r="Y162" s="802">
        <f t="shared" si="93"/>
        <v>0</v>
      </c>
      <c r="Z162" s="802">
        <f t="shared" si="93"/>
        <v>0</v>
      </c>
      <c r="AA162" s="802">
        <f t="shared" si="93"/>
        <v>0</v>
      </c>
      <c r="AB162" s="802">
        <f t="shared" si="93"/>
        <v>0</v>
      </c>
      <c r="AC162" s="931">
        <f t="shared" si="93"/>
        <v>0</v>
      </c>
      <c r="AD162" s="1"/>
      <c r="AE162" s="1"/>
    </row>
    <row r="163" spans="8:58" s="229" customFormat="1" ht="18" customHeight="1" outlineLevel="1" thickBot="1" x14ac:dyDescent="0.25">
      <c r="I163" s="230"/>
      <c r="J163" s="231" t="s">
        <v>129</v>
      </c>
      <c r="K163" s="232">
        <f>IFERROR(K162/(K$118+K$139),)</f>
        <v>0</v>
      </c>
      <c r="L163" s="233"/>
      <c r="M163" s="234"/>
      <c r="N163" s="235">
        <f t="shared" ref="N163:AC163" si="94">IFERROR(N162/(N$118+N$139),)</f>
        <v>0</v>
      </c>
      <c r="O163" s="235">
        <f t="shared" si="94"/>
        <v>0</v>
      </c>
      <c r="P163" s="235">
        <f t="shared" si="94"/>
        <v>0</v>
      </c>
      <c r="Q163" s="235">
        <f t="shared" si="94"/>
        <v>0</v>
      </c>
      <c r="R163" s="235">
        <f t="shared" si="94"/>
        <v>0</v>
      </c>
      <c r="S163" s="235">
        <f t="shared" si="94"/>
        <v>0</v>
      </c>
      <c r="T163" s="235">
        <f t="shared" si="94"/>
        <v>0</v>
      </c>
      <c r="U163" s="235">
        <f t="shared" si="94"/>
        <v>0</v>
      </c>
      <c r="V163" s="235">
        <f t="shared" si="94"/>
        <v>0</v>
      </c>
      <c r="W163" s="235">
        <f t="shared" si="94"/>
        <v>0</v>
      </c>
      <c r="X163" s="235">
        <f t="shared" si="94"/>
        <v>0</v>
      </c>
      <c r="Y163" s="235">
        <f t="shared" si="94"/>
        <v>0</v>
      </c>
      <c r="Z163" s="235">
        <f t="shared" si="94"/>
        <v>0</v>
      </c>
      <c r="AA163" s="235">
        <f t="shared" si="94"/>
        <v>0</v>
      </c>
      <c r="AB163" s="235">
        <f t="shared" si="94"/>
        <v>0</v>
      </c>
      <c r="AC163" s="255">
        <f t="shared" si="94"/>
        <v>0</v>
      </c>
    </row>
    <row r="164" spans="8:58" ht="18" customHeight="1" thickTop="1" x14ac:dyDescent="0.25">
      <c r="I164" s="202">
        <f>INDEX($J$118:$AC$171,MATCH($J164,$J$118:$J$171,0),MATCH($I$118,$J$118:$AC$118,0))</f>
        <v>0</v>
      </c>
      <c r="J164" s="31" t="str">
        <f>"Depreciation"&amp;" @ Useful Life of  "&amp;L94&amp;"yrs"</f>
        <v>Depreciation @ Useful Life of  0yrs</v>
      </c>
      <c r="K164" s="821">
        <f>SUM(N164:AC164)</f>
        <v>0</v>
      </c>
      <c r="L164" s="256">
        <f t="shared" ref="L164:L171" si="95">IFERROR(K164/$K$118,)</f>
        <v>0</v>
      </c>
      <c r="N164" s="789">
        <f>SUM('Bgn&gt;&gt;:&lt;&lt;End'!N164)</f>
        <v>0</v>
      </c>
      <c r="O164" s="789">
        <f>SUM('Bgn&gt;&gt;:&lt;&lt;End'!O164)</f>
        <v>0</v>
      </c>
      <c r="P164" s="789">
        <f>SUM('Bgn&gt;&gt;:&lt;&lt;End'!P164)</f>
        <v>0</v>
      </c>
      <c r="Q164" s="789">
        <f>SUM('Bgn&gt;&gt;:&lt;&lt;End'!Q164)</f>
        <v>0</v>
      </c>
      <c r="R164" s="789">
        <f>SUM('Bgn&gt;&gt;:&lt;&lt;End'!R164)</f>
        <v>0</v>
      </c>
      <c r="S164" s="789">
        <f>SUM('Bgn&gt;&gt;:&lt;&lt;End'!S164)</f>
        <v>0</v>
      </c>
      <c r="T164" s="789">
        <f>SUM('Bgn&gt;&gt;:&lt;&lt;End'!T164)</f>
        <v>0</v>
      </c>
      <c r="U164" s="789">
        <f>SUM('Bgn&gt;&gt;:&lt;&lt;End'!U164)</f>
        <v>0</v>
      </c>
      <c r="V164" s="789">
        <f>SUM('Bgn&gt;&gt;:&lt;&lt;End'!V164)</f>
        <v>0</v>
      </c>
      <c r="W164" s="789">
        <f>SUM('Bgn&gt;&gt;:&lt;&lt;End'!W164)</f>
        <v>0</v>
      </c>
      <c r="X164" s="789">
        <f>SUM('Bgn&gt;&gt;:&lt;&lt;End'!X164)</f>
        <v>0</v>
      </c>
      <c r="Y164" s="789">
        <f>SUM('Bgn&gt;&gt;:&lt;&lt;End'!Y164)</f>
        <v>0</v>
      </c>
      <c r="Z164" s="789">
        <f>SUM('Bgn&gt;&gt;:&lt;&lt;End'!Z164)</f>
        <v>0</v>
      </c>
      <c r="AA164" s="789">
        <f>SUM('Bgn&gt;&gt;:&lt;&lt;End'!AA164)</f>
        <v>0</v>
      </c>
      <c r="AB164" s="789">
        <f>SUM('Bgn&gt;&gt;:&lt;&lt;End'!AB164)</f>
        <v>0</v>
      </c>
      <c r="AC164" s="789">
        <f>SUM('Bgn&gt;&gt;:&lt;&lt;End'!AC164)</f>
        <v>0</v>
      </c>
      <c r="AD164" s="1"/>
      <c r="AE164" s="1"/>
    </row>
    <row r="165" spans="8:58" ht="18" customHeight="1" x14ac:dyDescent="0.25">
      <c r="I165" s="202"/>
      <c r="J165" s="549" t="s">
        <v>379</v>
      </c>
      <c r="K165" s="822">
        <f t="shared" ref="K165" si="96">K162+K164</f>
        <v>0</v>
      </c>
      <c r="L165" s="550">
        <f t="shared" si="95"/>
        <v>0</v>
      </c>
      <c r="M165" s="533"/>
      <c r="N165" s="807">
        <f>N162+N164</f>
        <v>0</v>
      </c>
      <c r="O165" s="808">
        <f t="shared" ref="O165:AC165" si="97">O162+O164</f>
        <v>0</v>
      </c>
      <c r="P165" s="808">
        <f t="shared" si="97"/>
        <v>0</v>
      </c>
      <c r="Q165" s="808">
        <f t="shared" si="97"/>
        <v>0</v>
      </c>
      <c r="R165" s="808">
        <f t="shared" si="97"/>
        <v>0</v>
      </c>
      <c r="S165" s="808">
        <f t="shared" si="97"/>
        <v>0</v>
      </c>
      <c r="T165" s="808">
        <f t="shared" si="97"/>
        <v>0</v>
      </c>
      <c r="U165" s="808">
        <f t="shared" si="97"/>
        <v>0</v>
      </c>
      <c r="V165" s="808">
        <f t="shared" si="97"/>
        <v>0</v>
      </c>
      <c r="W165" s="808">
        <f t="shared" si="97"/>
        <v>0</v>
      </c>
      <c r="X165" s="808">
        <f t="shared" si="97"/>
        <v>0</v>
      </c>
      <c r="Y165" s="808">
        <f t="shared" si="97"/>
        <v>0</v>
      </c>
      <c r="Z165" s="808">
        <f t="shared" si="97"/>
        <v>0</v>
      </c>
      <c r="AA165" s="808">
        <f t="shared" si="97"/>
        <v>0</v>
      </c>
      <c r="AB165" s="808">
        <f t="shared" si="97"/>
        <v>0</v>
      </c>
      <c r="AC165" s="808">
        <f t="shared" si="97"/>
        <v>0</v>
      </c>
      <c r="AD165" s="1"/>
      <c r="AE165" s="1"/>
    </row>
    <row r="166" spans="8:58" ht="18" customHeight="1" thickBot="1" x14ac:dyDescent="0.25">
      <c r="I166" s="202"/>
      <c r="J166" s="551" t="s">
        <v>380</v>
      </c>
      <c r="K166" s="552">
        <f t="shared" ref="K166" si="98">IFERROR(K165/(K$118+K$139),)</f>
        <v>0</v>
      </c>
      <c r="L166" s="553"/>
      <c r="M166" s="554"/>
      <c r="N166" s="555">
        <f>IFERROR(N165/(N$118+N$139),)</f>
        <v>0</v>
      </c>
      <c r="O166" s="556">
        <f t="shared" ref="O166:AC166" si="99">IFERROR(O165/(O$118+O$139),)</f>
        <v>0</v>
      </c>
      <c r="P166" s="556">
        <f t="shared" si="99"/>
        <v>0</v>
      </c>
      <c r="Q166" s="556">
        <f t="shared" si="99"/>
        <v>0</v>
      </c>
      <c r="R166" s="556">
        <f t="shared" si="99"/>
        <v>0</v>
      </c>
      <c r="S166" s="556">
        <f t="shared" si="99"/>
        <v>0</v>
      </c>
      <c r="T166" s="556">
        <f t="shared" si="99"/>
        <v>0</v>
      </c>
      <c r="U166" s="556">
        <f t="shared" si="99"/>
        <v>0</v>
      </c>
      <c r="V166" s="556">
        <f t="shared" si="99"/>
        <v>0</v>
      </c>
      <c r="W166" s="556">
        <f t="shared" si="99"/>
        <v>0</v>
      </c>
      <c r="X166" s="556">
        <f t="shared" si="99"/>
        <v>0</v>
      </c>
      <c r="Y166" s="556">
        <f t="shared" si="99"/>
        <v>0</v>
      </c>
      <c r="Z166" s="556">
        <f t="shared" si="99"/>
        <v>0</v>
      </c>
      <c r="AA166" s="556">
        <f t="shared" si="99"/>
        <v>0</v>
      </c>
      <c r="AB166" s="556">
        <f t="shared" si="99"/>
        <v>0</v>
      </c>
      <c r="AC166" s="556">
        <f t="shared" si="99"/>
        <v>0</v>
      </c>
      <c r="AD166" s="1"/>
      <c r="AE166" s="1"/>
    </row>
    <row r="167" spans="8:58" ht="18" customHeight="1" outlineLevel="1" thickTop="1" x14ac:dyDescent="0.25">
      <c r="I167" s="202"/>
      <c r="J167" s="31" t="s">
        <v>145</v>
      </c>
      <c r="K167" s="812">
        <f>SUM(N167:AC167)</f>
        <v>0</v>
      </c>
      <c r="L167" s="207">
        <f t="shared" si="95"/>
        <v>0</v>
      </c>
      <c r="N167" s="789">
        <f>SUM('Bgn&gt;&gt;:&lt;&lt;End'!N167)</f>
        <v>0</v>
      </c>
      <c r="O167" s="789">
        <f>SUM('Bgn&gt;&gt;:&lt;&lt;End'!O167)</f>
        <v>0</v>
      </c>
      <c r="P167" s="789">
        <f>SUM('Bgn&gt;&gt;:&lt;&lt;End'!P167)</f>
        <v>0</v>
      </c>
      <c r="Q167" s="789">
        <f>SUM('Bgn&gt;&gt;:&lt;&lt;End'!Q167)</f>
        <v>0</v>
      </c>
      <c r="R167" s="789">
        <f>SUM('Bgn&gt;&gt;:&lt;&lt;End'!R167)</f>
        <v>0</v>
      </c>
      <c r="S167" s="789">
        <f>SUM('Bgn&gt;&gt;:&lt;&lt;End'!S167)</f>
        <v>0</v>
      </c>
      <c r="T167" s="789">
        <f>SUM('Bgn&gt;&gt;:&lt;&lt;End'!T167)</f>
        <v>0</v>
      </c>
      <c r="U167" s="789">
        <f>SUM('Bgn&gt;&gt;:&lt;&lt;End'!U167)</f>
        <v>0</v>
      </c>
      <c r="V167" s="789">
        <f>SUM('Bgn&gt;&gt;:&lt;&lt;End'!V167)</f>
        <v>0</v>
      </c>
      <c r="W167" s="789">
        <f>SUM('Bgn&gt;&gt;:&lt;&lt;End'!W167)</f>
        <v>0</v>
      </c>
      <c r="X167" s="789">
        <f>SUM('Bgn&gt;&gt;:&lt;&lt;End'!X167)</f>
        <v>0</v>
      </c>
      <c r="Y167" s="789">
        <f>SUM('Bgn&gt;&gt;:&lt;&lt;End'!Y167)</f>
        <v>0</v>
      </c>
      <c r="Z167" s="789">
        <f>SUM('Bgn&gt;&gt;:&lt;&lt;End'!Z167)</f>
        <v>0</v>
      </c>
      <c r="AA167" s="789">
        <f>SUM('Bgn&gt;&gt;:&lt;&lt;End'!AA167)</f>
        <v>0</v>
      </c>
      <c r="AB167" s="789">
        <f>SUM('Bgn&gt;&gt;:&lt;&lt;End'!AB167)</f>
        <v>0</v>
      </c>
      <c r="AC167" s="789">
        <f>SUM('Bgn&gt;&gt;:&lt;&lt;End'!AC167)</f>
        <v>0</v>
      </c>
      <c r="AD167" s="1"/>
      <c r="AE167" s="1"/>
    </row>
    <row r="168" spans="8:58" ht="18" customHeight="1" outlineLevel="1" x14ac:dyDescent="0.25">
      <c r="I168" s="202"/>
      <c r="J168" s="31" t="s">
        <v>146</v>
      </c>
      <c r="K168" s="813">
        <f>SUM(N168:AC168)</f>
        <v>0</v>
      </c>
      <c r="L168" s="209">
        <f t="shared" si="95"/>
        <v>0</v>
      </c>
      <c r="N168" s="789">
        <f>SUM('Bgn&gt;&gt;:&lt;&lt;End'!N168)</f>
        <v>0</v>
      </c>
      <c r="O168" s="789">
        <f>SUM('Bgn&gt;&gt;:&lt;&lt;End'!O168)</f>
        <v>0</v>
      </c>
      <c r="P168" s="789">
        <f>SUM('Bgn&gt;&gt;:&lt;&lt;End'!P168)</f>
        <v>0</v>
      </c>
      <c r="Q168" s="789">
        <f>SUM('Bgn&gt;&gt;:&lt;&lt;End'!Q168)</f>
        <v>0</v>
      </c>
      <c r="R168" s="789">
        <f>SUM('Bgn&gt;&gt;:&lt;&lt;End'!R168)</f>
        <v>0</v>
      </c>
      <c r="S168" s="789">
        <f>SUM('Bgn&gt;&gt;:&lt;&lt;End'!S168)</f>
        <v>0</v>
      </c>
      <c r="T168" s="789">
        <f>SUM('Bgn&gt;&gt;:&lt;&lt;End'!T168)</f>
        <v>0</v>
      </c>
      <c r="U168" s="789">
        <f>SUM('Bgn&gt;&gt;:&lt;&lt;End'!U168)</f>
        <v>0</v>
      </c>
      <c r="V168" s="789">
        <f>SUM('Bgn&gt;&gt;:&lt;&lt;End'!V168)</f>
        <v>0</v>
      </c>
      <c r="W168" s="789">
        <f>SUM('Bgn&gt;&gt;:&lt;&lt;End'!W168)</f>
        <v>0</v>
      </c>
      <c r="X168" s="789">
        <f>SUM('Bgn&gt;&gt;:&lt;&lt;End'!X168)</f>
        <v>0</v>
      </c>
      <c r="Y168" s="789">
        <f>SUM('Bgn&gt;&gt;:&lt;&lt;End'!Y168)</f>
        <v>0</v>
      </c>
      <c r="Z168" s="789">
        <f>SUM('Bgn&gt;&gt;:&lt;&lt;End'!Z168)</f>
        <v>0</v>
      </c>
      <c r="AA168" s="789">
        <f>SUM('Bgn&gt;&gt;:&lt;&lt;End'!AA168)</f>
        <v>0</v>
      </c>
      <c r="AB168" s="789">
        <f>SUM('Bgn&gt;&gt;:&lt;&lt;End'!AB168)</f>
        <v>0</v>
      </c>
      <c r="AC168" s="789">
        <f>SUM('Bgn&gt;&gt;:&lt;&lt;End'!AC168)</f>
        <v>0</v>
      </c>
      <c r="AD168" s="1"/>
      <c r="AE168" s="1"/>
    </row>
    <row r="169" spans="8:58" ht="15.75" outlineLevel="1" x14ac:dyDescent="0.25">
      <c r="I169" s="202">
        <f>INDEX($J$118:$AC$171,MATCH($J169,$J$118:$J$171,0),MATCH($I$118,$J$118:$AC$118,0))</f>
        <v>0</v>
      </c>
      <c r="J169" s="547" t="s">
        <v>147</v>
      </c>
      <c r="K169" s="822">
        <f t="shared" ref="K169" si="100">K165+SUM(K167:K168)</f>
        <v>0</v>
      </c>
      <c r="L169" s="550">
        <f t="shared" si="95"/>
        <v>0</v>
      </c>
      <c r="M169" s="533"/>
      <c r="N169" s="807">
        <f>N165+SUM(N167:N168)</f>
        <v>0</v>
      </c>
      <c r="O169" s="808">
        <f t="shared" ref="O169:AC169" si="101">O165+SUM(O167:O168)</f>
        <v>0</v>
      </c>
      <c r="P169" s="808">
        <f t="shared" si="101"/>
        <v>0</v>
      </c>
      <c r="Q169" s="808">
        <f t="shared" si="101"/>
        <v>0</v>
      </c>
      <c r="R169" s="808">
        <f t="shared" si="101"/>
        <v>0</v>
      </c>
      <c r="S169" s="808">
        <f t="shared" si="101"/>
        <v>0</v>
      </c>
      <c r="T169" s="808">
        <f t="shared" si="101"/>
        <v>0</v>
      </c>
      <c r="U169" s="808">
        <f t="shared" si="101"/>
        <v>0</v>
      </c>
      <c r="V169" s="808">
        <f t="shared" si="101"/>
        <v>0</v>
      </c>
      <c r="W169" s="808">
        <f t="shared" si="101"/>
        <v>0</v>
      </c>
      <c r="X169" s="808">
        <f t="shared" si="101"/>
        <v>0</v>
      </c>
      <c r="Y169" s="808">
        <f t="shared" si="101"/>
        <v>0</v>
      </c>
      <c r="Z169" s="808">
        <f t="shared" si="101"/>
        <v>0</v>
      </c>
      <c r="AA169" s="808">
        <f t="shared" si="101"/>
        <v>0</v>
      </c>
      <c r="AB169" s="808">
        <f t="shared" si="101"/>
        <v>0</v>
      </c>
      <c r="AC169" s="1048">
        <f t="shared" si="101"/>
        <v>0</v>
      </c>
      <c r="AD169" s="1"/>
      <c r="AE169" s="1"/>
    </row>
    <row r="170" spans="8:58" ht="15.75" x14ac:dyDescent="0.25">
      <c r="I170" s="202">
        <f>INDEX($J$118:$AC$171,MATCH($J170,$J$118:$J$171,0),MATCH($I$118,$J$118:$AC$118,0))</f>
        <v>0</v>
      </c>
      <c r="J170" s="31" t="s">
        <v>148</v>
      </c>
      <c r="K170" s="812">
        <f>SUM(N170:AC170)</f>
        <v>0</v>
      </c>
      <c r="L170" s="207">
        <f t="shared" si="95"/>
        <v>0</v>
      </c>
      <c r="N170" s="789">
        <f>SUM('Bgn&gt;&gt;:&lt;&lt;End'!N170)</f>
        <v>0</v>
      </c>
      <c r="O170" s="789">
        <f>SUM('Bgn&gt;&gt;:&lt;&lt;End'!O170)</f>
        <v>0</v>
      </c>
      <c r="P170" s="789">
        <f>SUM('Bgn&gt;&gt;:&lt;&lt;End'!P170)</f>
        <v>0</v>
      </c>
      <c r="Q170" s="789">
        <f>SUM('Bgn&gt;&gt;:&lt;&lt;End'!Q170)</f>
        <v>0</v>
      </c>
      <c r="R170" s="789">
        <f>SUM('Bgn&gt;&gt;:&lt;&lt;End'!R170)</f>
        <v>0</v>
      </c>
      <c r="S170" s="789">
        <f>SUM('Bgn&gt;&gt;:&lt;&lt;End'!S170)</f>
        <v>0</v>
      </c>
      <c r="T170" s="789">
        <f>SUM('Bgn&gt;&gt;:&lt;&lt;End'!T170)</f>
        <v>0</v>
      </c>
      <c r="U170" s="789">
        <f>SUM('Bgn&gt;&gt;:&lt;&lt;End'!U170)</f>
        <v>0</v>
      </c>
      <c r="V170" s="789">
        <f>SUM('Bgn&gt;&gt;:&lt;&lt;End'!V170)</f>
        <v>0</v>
      </c>
      <c r="W170" s="789">
        <f>SUM('Bgn&gt;&gt;:&lt;&lt;End'!W170)</f>
        <v>0</v>
      </c>
      <c r="X170" s="789">
        <f>SUM('Bgn&gt;&gt;:&lt;&lt;End'!X170)</f>
        <v>0</v>
      </c>
      <c r="Y170" s="789">
        <f>SUM('Bgn&gt;&gt;:&lt;&lt;End'!Y170)</f>
        <v>0</v>
      </c>
      <c r="Z170" s="789">
        <f>SUM('Bgn&gt;&gt;:&lt;&lt;End'!Z170)</f>
        <v>0</v>
      </c>
      <c r="AA170" s="789">
        <f>SUM('Bgn&gt;&gt;:&lt;&lt;End'!AA170)</f>
        <v>0</v>
      </c>
      <c r="AB170" s="789">
        <f>SUM('Bgn&gt;&gt;:&lt;&lt;End'!AB170)</f>
        <v>0</v>
      </c>
      <c r="AC170" s="789">
        <f>SUM('Bgn&gt;&gt;:&lt;&lt;End'!AC170)</f>
        <v>0</v>
      </c>
      <c r="AD170" s="1"/>
      <c r="AE170" s="1"/>
    </row>
    <row r="171" spans="8:58" outlineLevel="1" thickBot="1" x14ac:dyDescent="0.3">
      <c r="I171" s="202">
        <f>INDEX($J$118:$AC$171,MATCH($J171,$J$118:$J$171,0),MATCH($I$118,$J$118:$AC$118,0))</f>
        <v>0</v>
      </c>
      <c r="J171" s="263" t="s">
        <v>149</v>
      </c>
      <c r="K171" s="825">
        <f>K169+K170</f>
        <v>0</v>
      </c>
      <c r="L171" s="264">
        <f t="shared" si="95"/>
        <v>0</v>
      </c>
      <c r="N171" s="1049">
        <f>N169+N170</f>
        <v>0</v>
      </c>
      <c r="O171" s="1050">
        <f t="shared" ref="O171:AC171" si="102">O169+O170</f>
        <v>0</v>
      </c>
      <c r="P171" s="1050">
        <f t="shared" si="102"/>
        <v>0</v>
      </c>
      <c r="Q171" s="1050">
        <f t="shared" si="102"/>
        <v>0</v>
      </c>
      <c r="R171" s="1050">
        <f t="shared" si="102"/>
        <v>0</v>
      </c>
      <c r="S171" s="1050">
        <f t="shared" si="102"/>
        <v>0</v>
      </c>
      <c r="T171" s="1050">
        <f t="shared" si="102"/>
        <v>0</v>
      </c>
      <c r="U171" s="1050">
        <f t="shared" si="102"/>
        <v>0</v>
      </c>
      <c r="V171" s="1050">
        <f t="shared" si="102"/>
        <v>0</v>
      </c>
      <c r="W171" s="1050">
        <f t="shared" si="102"/>
        <v>0</v>
      </c>
      <c r="X171" s="1050">
        <f t="shared" si="102"/>
        <v>0</v>
      </c>
      <c r="Y171" s="1050">
        <f t="shared" si="102"/>
        <v>0</v>
      </c>
      <c r="Z171" s="1050">
        <f t="shared" si="102"/>
        <v>0</v>
      </c>
      <c r="AA171" s="1050">
        <f t="shared" si="102"/>
        <v>0</v>
      </c>
      <c r="AB171" s="1050">
        <f t="shared" si="102"/>
        <v>0</v>
      </c>
      <c r="AC171" s="1051">
        <f t="shared" si="102"/>
        <v>0</v>
      </c>
      <c r="AD171" s="1"/>
      <c r="AE171" s="1"/>
    </row>
    <row r="172" spans="8:58" s="4" customFormat="1" thickTop="1" x14ac:dyDescent="0.25">
      <c r="H172" s="1"/>
      <c r="J172" s="31"/>
      <c r="K172" s="164"/>
      <c r="L172" s="164"/>
      <c r="M172" s="1"/>
      <c r="N172" s="31"/>
      <c r="O172" s="31"/>
      <c r="P172" s="31"/>
      <c r="Q172" s="31"/>
      <c r="R172" s="31"/>
      <c r="S172" s="31"/>
      <c r="T172" s="31"/>
      <c r="U172" s="31"/>
      <c r="V172" s="31"/>
      <c r="W172" s="31"/>
      <c r="X172" s="31"/>
      <c r="Y172" s="31"/>
      <c r="Z172" s="31"/>
      <c r="AA172" s="31"/>
      <c r="AB172" s="31"/>
      <c r="AC172" s="3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row>
    <row r="173" spans="8:58" ht="18" outlineLevel="1" x14ac:dyDescent="0.2">
      <c r="I173" s="104" t="s">
        <v>130</v>
      </c>
      <c r="J173" s="105" t="s">
        <v>150</v>
      </c>
      <c r="K173" s="105"/>
      <c r="L173" s="105"/>
      <c r="M173" s="106"/>
      <c r="N173" s="107">
        <f>N$11</f>
        <v>2024</v>
      </c>
      <c r="O173" s="107">
        <f t="shared" ref="O173:AC173" si="103">O$11</f>
        <v>2025</v>
      </c>
      <c r="P173" s="107">
        <f t="shared" si="103"/>
        <v>2026</v>
      </c>
      <c r="Q173" s="107">
        <f t="shared" si="103"/>
        <v>2027</v>
      </c>
      <c r="R173" s="107">
        <f t="shared" si="103"/>
        <v>2028</v>
      </c>
      <c r="S173" s="107">
        <f t="shared" si="103"/>
        <v>2029</v>
      </c>
      <c r="T173" s="107">
        <f t="shared" si="103"/>
        <v>2030</v>
      </c>
      <c r="U173" s="107">
        <f t="shared" si="103"/>
        <v>2031</v>
      </c>
      <c r="V173" s="107">
        <f t="shared" si="103"/>
        <v>2032</v>
      </c>
      <c r="W173" s="107">
        <f t="shared" si="103"/>
        <v>2033</v>
      </c>
      <c r="X173" s="107">
        <f t="shared" si="103"/>
        <v>2034</v>
      </c>
      <c r="Y173" s="107">
        <f t="shared" si="103"/>
        <v>2035</v>
      </c>
      <c r="Z173" s="107">
        <f t="shared" si="103"/>
        <v>2036</v>
      </c>
      <c r="AA173" s="107">
        <f t="shared" si="103"/>
        <v>2037</v>
      </c>
      <c r="AB173" s="107">
        <f t="shared" si="103"/>
        <v>2038</v>
      </c>
      <c r="AC173" s="107">
        <f t="shared" si="103"/>
        <v>2039</v>
      </c>
      <c r="AD173" s="1"/>
      <c r="AE173" s="1"/>
    </row>
    <row r="174" spans="8:58" s="4" customFormat="1" ht="15.75" outlineLevel="1" x14ac:dyDescent="0.25">
      <c r="H174" s="1"/>
      <c r="J174" s="31"/>
      <c r="K174" s="1189" t="s">
        <v>151</v>
      </c>
      <c r="L174" s="164"/>
      <c r="M174" s="1"/>
      <c r="N174" s="31"/>
      <c r="O174" s="31"/>
      <c r="P174" s="31"/>
      <c r="Q174" s="31"/>
      <c r="R174" s="31"/>
      <c r="S174" s="31"/>
      <c r="T174" s="31"/>
      <c r="U174" s="31"/>
      <c r="V174" s="31"/>
      <c r="W174" s="31"/>
      <c r="X174" s="31"/>
      <c r="Y174" s="31"/>
      <c r="Z174" s="31"/>
      <c r="AA174" s="31"/>
      <c r="AB174" s="31"/>
      <c r="AC174" s="3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row>
    <row r="175" spans="8:58" s="4" customFormat="1" ht="15.75" outlineLevel="1" x14ac:dyDescent="0.25">
      <c r="H175" s="1"/>
      <c r="J175" s="31"/>
      <c r="K175" s="1190"/>
      <c r="L175" s="141" t="s">
        <v>152</v>
      </c>
      <c r="M175" s="1"/>
      <c r="N175" s="31"/>
      <c r="O175" s="31"/>
      <c r="P175" s="31"/>
      <c r="Q175" s="31"/>
      <c r="R175" s="31"/>
      <c r="S175" s="31"/>
      <c r="T175" s="31"/>
      <c r="U175" s="31"/>
      <c r="V175" s="31"/>
      <c r="W175" s="31"/>
      <c r="X175" s="31"/>
      <c r="Y175" s="31"/>
      <c r="Z175" s="31"/>
      <c r="AA175" s="31"/>
      <c r="AB175" s="31"/>
      <c r="AC175" s="3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row>
    <row r="176" spans="8:58" s="4" customFormat="1" ht="22.5" customHeight="1" outlineLevel="1" x14ac:dyDescent="0.25">
      <c r="H176" s="1"/>
      <c r="I176" s="202"/>
      <c r="J176" s="203" t="s">
        <v>12</v>
      </c>
      <c r="K176" s="826"/>
      <c r="L176" s="266">
        <f>IFERROR(K118,"")</f>
        <v>0</v>
      </c>
      <c r="N176" s="832">
        <f t="shared" ref="N176:AC176" si="104">IFERROR(N118,"")</f>
        <v>0</v>
      </c>
      <c r="O176" s="832">
        <f t="shared" si="104"/>
        <v>0</v>
      </c>
      <c r="P176" s="832">
        <f t="shared" si="104"/>
        <v>0</v>
      </c>
      <c r="Q176" s="832">
        <f t="shared" si="104"/>
        <v>0</v>
      </c>
      <c r="R176" s="832">
        <f t="shared" si="104"/>
        <v>0</v>
      </c>
      <c r="S176" s="832">
        <f t="shared" si="104"/>
        <v>0</v>
      </c>
      <c r="T176" s="832">
        <f t="shared" si="104"/>
        <v>0</v>
      </c>
      <c r="U176" s="832">
        <f t="shared" si="104"/>
        <v>0</v>
      </c>
      <c r="V176" s="832">
        <f t="shared" si="104"/>
        <v>0</v>
      </c>
      <c r="W176" s="832">
        <f t="shared" si="104"/>
        <v>0</v>
      </c>
      <c r="X176" s="832">
        <f t="shared" si="104"/>
        <v>0</v>
      </c>
      <c r="Y176" s="832">
        <f t="shared" si="104"/>
        <v>0</v>
      </c>
      <c r="Z176" s="832">
        <f t="shared" si="104"/>
        <v>0</v>
      </c>
      <c r="AA176" s="832">
        <f t="shared" si="104"/>
        <v>0</v>
      </c>
      <c r="AB176" s="832">
        <f t="shared" si="104"/>
        <v>0</v>
      </c>
      <c r="AC176" s="832">
        <f t="shared" si="104"/>
        <v>0</v>
      </c>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row>
    <row r="177" spans="8:58" s="4" customFormat="1" ht="15.75" outlineLevel="1" x14ac:dyDescent="0.25">
      <c r="H177" s="1"/>
      <c r="I177" s="202"/>
      <c r="J177" s="97" t="s">
        <v>153</v>
      </c>
      <c r="K177" s="827"/>
      <c r="L177" s="268"/>
      <c r="N177" s="833" t="str">
        <f t="shared" ref="N177:AC177" si="105">IFERROR(SUM(N119,N148)/N$118,"")</f>
        <v/>
      </c>
      <c r="O177" s="833" t="str">
        <f t="shared" si="105"/>
        <v/>
      </c>
      <c r="P177" s="833" t="str">
        <f t="shared" si="105"/>
        <v/>
      </c>
      <c r="Q177" s="833" t="str">
        <f t="shared" si="105"/>
        <v/>
      </c>
      <c r="R177" s="833" t="str">
        <f t="shared" si="105"/>
        <v/>
      </c>
      <c r="S177" s="833" t="str">
        <f t="shared" si="105"/>
        <v/>
      </c>
      <c r="T177" s="833" t="str">
        <f t="shared" si="105"/>
        <v/>
      </c>
      <c r="U177" s="833" t="str">
        <f t="shared" si="105"/>
        <v/>
      </c>
      <c r="V177" s="833" t="str">
        <f t="shared" si="105"/>
        <v/>
      </c>
      <c r="W177" s="833" t="str">
        <f t="shared" si="105"/>
        <v/>
      </c>
      <c r="X177" s="833" t="str">
        <f t="shared" si="105"/>
        <v/>
      </c>
      <c r="Y177" s="833" t="str">
        <f t="shared" si="105"/>
        <v/>
      </c>
      <c r="Z177" s="833" t="str">
        <f t="shared" si="105"/>
        <v/>
      </c>
      <c r="AA177" s="833" t="str">
        <f t="shared" si="105"/>
        <v/>
      </c>
      <c r="AB177" s="833" t="str">
        <f t="shared" si="105"/>
        <v/>
      </c>
      <c r="AC177" s="833" t="str">
        <f t="shared" si="105"/>
        <v/>
      </c>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row>
    <row r="178" spans="8:58" s="4" customFormat="1" ht="15.75" outlineLevel="1" x14ac:dyDescent="0.25">
      <c r="H178" s="1"/>
      <c r="I178" s="202"/>
      <c r="J178" s="97" t="s">
        <v>108</v>
      </c>
      <c r="K178" s="828"/>
      <c r="L178" s="271"/>
      <c r="N178" s="833" t="str">
        <f t="shared" ref="N178:AC178" si="106">IFERROR(N120/N$118,"")</f>
        <v/>
      </c>
      <c r="O178" s="834" t="str">
        <f t="shared" si="106"/>
        <v/>
      </c>
      <c r="P178" s="834" t="str">
        <f t="shared" si="106"/>
        <v/>
      </c>
      <c r="Q178" s="834" t="str">
        <f t="shared" si="106"/>
        <v/>
      </c>
      <c r="R178" s="834" t="str">
        <f t="shared" si="106"/>
        <v/>
      </c>
      <c r="S178" s="834" t="str">
        <f t="shared" si="106"/>
        <v/>
      </c>
      <c r="T178" s="834" t="str">
        <f t="shared" si="106"/>
        <v/>
      </c>
      <c r="U178" s="834" t="str">
        <f t="shared" si="106"/>
        <v/>
      </c>
      <c r="V178" s="834" t="str">
        <f t="shared" si="106"/>
        <v/>
      </c>
      <c r="W178" s="834" t="str">
        <f t="shared" si="106"/>
        <v/>
      </c>
      <c r="X178" s="834" t="str">
        <f t="shared" si="106"/>
        <v/>
      </c>
      <c r="Y178" s="834" t="str">
        <f t="shared" si="106"/>
        <v/>
      </c>
      <c r="Z178" s="834" t="str">
        <f t="shared" si="106"/>
        <v/>
      </c>
      <c r="AA178" s="834" t="str">
        <f t="shared" si="106"/>
        <v/>
      </c>
      <c r="AB178" s="834" t="str">
        <f t="shared" si="106"/>
        <v/>
      </c>
      <c r="AC178" s="835" t="str">
        <f t="shared" si="106"/>
        <v/>
      </c>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row>
    <row r="179" spans="8:58" s="4" customFormat="1" ht="15.75" outlineLevel="1" x14ac:dyDescent="0.25">
      <c r="H179" s="1"/>
      <c r="I179" s="202"/>
      <c r="J179" s="97" t="s">
        <v>109</v>
      </c>
      <c r="K179" s="828"/>
      <c r="L179" s="271"/>
      <c r="N179" s="833" t="str">
        <f t="shared" ref="N179:AC179" si="107">IFERROR(N121/N$118,"")</f>
        <v/>
      </c>
      <c r="O179" s="834" t="str">
        <f t="shared" si="107"/>
        <v/>
      </c>
      <c r="P179" s="834" t="str">
        <f t="shared" si="107"/>
        <v/>
      </c>
      <c r="Q179" s="834" t="str">
        <f t="shared" si="107"/>
        <v/>
      </c>
      <c r="R179" s="834" t="str">
        <f t="shared" si="107"/>
        <v/>
      </c>
      <c r="S179" s="834" t="str">
        <f t="shared" si="107"/>
        <v/>
      </c>
      <c r="T179" s="834" t="str">
        <f t="shared" si="107"/>
        <v/>
      </c>
      <c r="U179" s="834" t="str">
        <f t="shared" si="107"/>
        <v/>
      </c>
      <c r="V179" s="834" t="str">
        <f t="shared" si="107"/>
        <v/>
      </c>
      <c r="W179" s="834" t="str">
        <f t="shared" si="107"/>
        <v/>
      </c>
      <c r="X179" s="834" t="str">
        <f t="shared" si="107"/>
        <v/>
      </c>
      <c r="Y179" s="834" t="str">
        <f t="shared" si="107"/>
        <v/>
      </c>
      <c r="Z179" s="834" t="str">
        <f t="shared" si="107"/>
        <v/>
      </c>
      <c r="AA179" s="834" t="str">
        <f t="shared" si="107"/>
        <v/>
      </c>
      <c r="AB179" s="834" t="str">
        <f t="shared" si="107"/>
        <v/>
      </c>
      <c r="AC179" s="835" t="str">
        <f t="shared" si="107"/>
        <v/>
      </c>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row>
    <row r="180" spans="8:58" s="4" customFormat="1" ht="15.75" outlineLevel="1" x14ac:dyDescent="0.25">
      <c r="H180" s="1"/>
      <c r="I180" s="202"/>
      <c r="J180" s="97" t="s">
        <v>110</v>
      </c>
      <c r="K180" s="828"/>
      <c r="L180" s="271"/>
      <c r="N180" s="833" t="str">
        <f t="shared" ref="N180:AC180" si="108">IFERROR(N122/N$118,"")</f>
        <v/>
      </c>
      <c r="O180" s="834" t="str">
        <f t="shared" si="108"/>
        <v/>
      </c>
      <c r="P180" s="834" t="str">
        <f t="shared" si="108"/>
        <v/>
      </c>
      <c r="Q180" s="834" t="str">
        <f t="shared" si="108"/>
        <v/>
      </c>
      <c r="R180" s="834" t="str">
        <f t="shared" si="108"/>
        <v/>
      </c>
      <c r="S180" s="834" t="str">
        <f t="shared" si="108"/>
        <v/>
      </c>
      <c r="T180" s="834" t="str">
        <f t="shared" si="108"/>
        <v/>
      </c>
      <c r="U180" s="834" t="str">
        <f t="shared" si="108"/>
        <v/>
      </c>
      <c r="V180" s="834" t="str">
        <f t="shared" si="108"/>
        <v/>
      </c>
      <c r="W180" s="834" t="str">
        <f t="shared" si="108"/>
        <v/>
      </c>
      <c r="X180" s="834" t="str">
        <f t="shared" si="108"/>
        <v/>
      </c>
      <c r="Y180" s="834" t="str">
        <f t="shared" si="108"/>
        <v/>
      </c>
      <c r="Z180" s="834" t="str">
        <f t="shared" si="108"/>
        <v/>
      </c>
      <c r="AA180" s="834" t="str">
        <f t="shared" si="108"/>
        <v/>
      </c>
      <c r="AB180" s="834" t="str">
        <f t="shared" si="108"/>
        <v/>
      </c>
      <c r="AC180" s="835" t="str">
        <f t="shared" si="108"/>
        <v/>
      </c>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row>
    <row r="181" spans="8:58" s="4" customFormat="1" ht="15.75" outlineLevel="1" x14ac:dyDescent="0.25">
      <c r="H181" s="1"/>
      <c r="I181" s="202"/>
      <c r="J181" s="74" t="s">
        <v>111</v>
      </c>
      <c r="K181" s="829"/>
      <c r="L181" s="275"/>
      <c r="N181" s="833" t="str">
        <f t="shared" ref="N181:AC181" si="109">IFERROR(N123/N$118,"")</f>
        <v/>
      </c>
      <c r="O181" s="834" t="str">
        <f t="shared" si="109"/>
        <v/>
      </c>
      <c r="P181" s="834" t="str">
        <f t="shared" si="109"/>
        <v/>
      </c>
      <c r="Q181" s="834" t="str">
        <f t="shared" si="109"/>
        <v/>
      </c>
      <c r="R181" s="834" t="str">
        <f t="shared" si="109"/>
        <v/>
      </c>
      <c r="S181" s="834" t="str">
        <f t="shared" si="109"/>
        <v/>
      </c>
      <c r="T181" s="834" t="str">
        <f t="shared" si="109"/>
        <v/>
      </c>
      <c r="U181" s="834" t="str">
        <f t="shared" si="109"/>
        <v/>
      </c>
      <c r="V181" s="834" t="str">
        <f t="shared" si="109"/>
        <v/>
      </c>
      <c r="W181" s="834" t="str">
        <f t="shared" si="109"/>
        <v/>
      </c>
      <c r="X181" s="834" t="str">
        <f t="shared" si="109"/>
        <v/>
      </c>
      <c r="Y181" s="834" t="str">
        <f t="shared" si="109"/>
        <v/>
      </c>
      <c r="Z181" s="834" t="str">
        <f t="shared" si="109"/>
        <v/>
      </c>
      <c r="AA181" s="834" t="str">
        <f t="shared" si="109"/>
        <v/>
      </c>
      <c r="AB181" s="834" t="str">
        <f t="shared" si="109"/>
        <v/>
      </c>
      <c r="AC181" s="835" t="str">
        <f t="shared" si="109"/>
        <v/>
      </c>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row>
    <row r="182" spans="8:58" s="4" customFormat="1" ht="15.75" outlineLevel="1" x14ac:dyDescent="0.25">
      <c r="H182" s="1"/>
      <c r="I182" s="202"/>
      <c r="J182" s="210" t="s">
        <v>154</v>
      </c>
      <c r="K182" s="830"/>
      <c r="L182" s="277">
        <f>L124</f>
        <v>0</v>
      </c>
      <c r="N182" s="836" t="str">
        <f>IFERROR(SUM(N124,N148)/N$118,"")</f>
        <v/>
      </c>
      <c r="O182" s="836" t="str">
        <f t="shared" ref="O182:AC182" si="110">IFERROR(SUM(O124,O148)/O$118,"")</f>
        <v/>
      </c>
      <c r="P182" s="836" t="str">
        <f t="shared" si="110"/>
        <v/>
      </c>
      <c r="Q182" s="836" t="str">
        <f t="shared" si="110"/>
        <v/>
      </c>
      <c r="R182" s="836" t="str">
        <f t="shared" si="110"/>
        <v/>
      </c>
      <c r="S182" s="836" t="str">
        <f t="shared" si="110"/>
        <v/>
      </c>
      <c r="T182" s="836" t="str">
        <f t="shared" si="110"/>
        <v/>
      </c>
      <c r="U182" s="836" t="str">
        <f t="shared" si="110"/>
        <v/>
      </c>
      <c r="V182" s="836" t="str">
        <f t="shared" si="110"/>
        <v/>
      </c>
      <c r="W182" s="836" t="str">
        <f t="shared" si="110"/>
        <v/>
      </c>
      <c r="X182" s="836" t="str">
        <f t="shared" si="110"/>
        <v/>
      </c>
      <c r="Y182" s="836" t="str">
        <f t="shared" si="110"/>
        <v/>
      </c>
      <c r="Z182" s="836" t="str">
        <f t="shared" si="110"/>
        <v/>
      </c>
      <c r="AA182" s="836" t="str">
        <f t="shared" si="110"/>
        <v/>
      </c>
      <c r="AB182" s="836" t="str">
        <f t="shared" si="110"/>
        <v/>
      </c>
      <c r="AC182" s="836" t="str">
        <f t="shared" si="110"/>
        <v/>
      </c>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row>
    <row r="183" spans="8:58" s="4" customFormat="1" ht="15.75" outlineLevel="1" x14ac:dyDescent="0.25">
      <c r="H183" s="1"/>
      <c r="I183" s="202"/>
      <c r="J183" s="97" t="s">
        <v>114</v>
      </c>
      <c r="K183" s="830"/>
      <c r="L183" s="269">
        <f>L126</f>
        <v>0</v>
      </c>
      <c r="N183" s="833" t="str">
        <f>IFERROR(N126/N$118,"")</f>
        <v/>
      </c>
      <c r="O183" s="833" t="str">
        <f t="shared" ref="O183:AC183" si="111">IFERROR(O126/O$118,"")</f>
        <v/>
      </c>
      <c r="P183" s="833" t="str">
        <f t="shared" si="111"/>
        <v/>
      </c>
      <c r="Q183" s="833" t="str">
        <f t="shared" si="111"/>
        <v/>
      </c>
      <c r="R183" s="833" t="str">
        <f t="shared" si="111"/>
        <v/>
      </c>
      <c r="S183" s="833" t="str">
        <f t="shared" si="111"/>
        <v/>
      </c>
      <c r="T183" s="833" t="str">
        <f t="shared" si="111"/>
        <v/>
      </c>
      <c r="U183" s="833" t="str">
        <f t="shared" si="111"/>
        <v/>
      </c>
      <c r="V183" s="833" t="str">
        <f t="shared" si="111"/>
        <v/>
      </c>
      <c r="W183" s="833" t="str">
        <f t="shared" si="111"/>
        <v/>
      </c>
      <c r="X183" s="833" t="str">
        <f t="shared" si="111"/>
        <v/>
      </c>
      <c r="Y183" s="833" t="str">
        <f t="shared" si="111"/>
        <v/>
      </c>
      <c r="Z183" s="833" t="str">
        <f t="shared" si="111"/>
        <v/>
      </c>
      <c r="AA183" s="833" t="str">
        <f t="shared" si="111"/>
        <v/>
      </c>
      <c r="AB183" s="833" t="str">
        <f t="shared" si="111"/>
        <v/>
      </c>
      <c r="AC183" s="833" t="str">
        <f t="shared" si="111"/>
        <v/>
      </c>
      <c r="AD183" s="219"/>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row>
    <row r="184" spans="8:58" s="4" customFormat="1" ht="15.75" outlineLevel="1" x14ac:dyDescent="0.25">
      <c r="H184" s="1"/>
      <c r="I184" s="202"/>
      <c r="J184" s="97" t="s">
        <v>115</v>
      </c>
      <c r="K184" s="830"/>
      <c r="L184" s="269">
        <f>L127</f>
        <v>0</v>
      </c>
      <c r="N184" s="833" t="str">
        <f>IFERROR(N127/N$118,"")</f>
        <v/>
      </c>
      <c r="O184" s="833" t="str">
        <f t="shared" ref="O184:AC184" si="112">IFERROR(O127/O$118,"")</f>
        <v/>
      </c>
      <c r="P184" s="833" t="str">
        <f t="shared" si="112"/>
        <v/>
      </c>
      <c r="Q184" s="833" t="str">
        <f t="shared" si="112"/>
        <v/>
      </c>
      <c r="R184" s="833" t="str">
        <f t="shared" si="112"/>
        <v/>
      </c>
      <c r="S184" s="833" t="str">
        <f t="shared" si="112"/>
        <v/>
      </c>
      <c r="T184" s="833" t="str">
        <f t="shared" si="112"/>
        <v/>
      </c>
      <c r="U184" s="833" t="str">
        <f t="shared" si="112"/>
        <v/>
      </c>
      <c r="V184" s="833" t="str">
        <f t="shared" si="112"/>
        <v/>
      </c>
      <c r="W184" s="833" t="str">
        <f t="shared" si="112"/>
        <v/>
      </c>
      <c r="X184" s="833" t="str">
        <f t="shared" si="112"/>
        <v/>
      </c>
      <c r="Y184" s="833" t="str">
        <f t="shared" si="112"/>
        <v/>
      </c>
      <c r="Z184" s="833" t="str">
        <f t="shared" si="112"/>
        <v/>
      </c>
      <c r="AA184" s="833" t="str">
        <f t="shared" si="112"/>
        <v/>
      </c>
      <c r="AB184" s="833" t="str">
        <f t="shared" si="112"/>
        <v/>
      </c>
      <c r="AC184" s="833" t="str">
        <f t="shared" si="112"/>
        <v/>
      </c>
      <c r="AD184" s="219"/>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row>
    <row r="185" spans="8:58" s="4" customFormat="1" ht="15.75" outlineLevel="1" x14ac:dyDescent="0.25">
      <c r="H185" s="1"/>
      <c r="I185" s="202"/>
      <c r="J185" s="97" t="s">
        <v>116</v>
      </c>
      <c r="K185" s="830"/>
      <c r="L185" s="269">
        <f>L128</f>
        <v>0</v>
      </c>
      <c r="N185" s="833" t="str">
        <f>IFERROR(SUM(N128,N149)/N$118,"")</f>
        <v/>
      </c>
      <c r="O185" s="833" t="str">
        <f t="shared" ref="O185:AC185" si="113">IFERROR(SUM(O128,O149)/O$118,"")</f>
        <v/>
      </c>
      <c r="P185" s="833" t="str">
        <f t="shared" si="113"/>
        <v/>
      </c>
      <c r="Q185" s="833" t="str">
        <f t="shared" si="113"/>
        <v/>
      </c>
      <c r="R185" s="833" t="str">
        <f t="shared" si="113"/>
        <v/>
      </c>
      <c r="S185" s="833" t="str">
        <f t="shared" si="113"/>
        <v/>
      </c>
      <c r="T185" s="833" t="str">
        <f t="shared" si="113"/>
        <v/>
      </c>
      <c r="U185" s="833" t="str">
        <f t="shared" si="113"/>
        <v/>
      </c>
      <c r="V185" s="833" t="str">
        <f t="shared" si="113"/>
        <v/>
      </c>
      <c r="W185" s="833" t="str">
        <f t="shared" si="113"/>
        <v/>
      </c>
      <c r="X185" s="833" t="str">
        <f t="shared" si="113"/>
        <v/>
      </c>
      <c r="Y185" s="833" t="str">
        <f t="shared" si="113"/>
        <v/>
      </c>
      <c r="Z185" s="833" t="str">
        <f t="shared" si="113"/>
        <v/>
      </c>
      <c r="AA185" s="833" t="str">
        <f t="shared" si="113"/>
        <v/>
      </c>
      <c r="AB185" s="833" t="str">
        <f t="shared" si="113"/>
        <v/>
      </c>
      <c r="AC185" s="833" t="str">
        <f t="shared" si="113"/>
        <v/>
      </c>
      <c r="AD185" s="219"/>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row>
    <row r="186" spans="8:58" s="4" customFormat="1" ht="15.75" outlineLevel="1" x14ac:dyDescent="0.25">
      <c r="H186" s="1"/>
      <c r="I186" s="202"/>
      <c r="J186" s="97" t="s">
        <v>117</v>
      </c>
      <c r="K186" s="830"/>
      <c r="L186" s="269">
        <f>L129</f>
        <v>0</v>
      </c>
      <c r="N186" s="833" t="str">
        <f>IFERROR(SUM(N129,N150)/N$118,"")</f>
        <v/>
      </c>
      <c r="O186" s="833" t="str">
        <f t="shared" ref="O186:AC186" si="114">IFERROR(SUM(O129,O150)/O$118,"")</f>
        <v/>
      </c>
      <c r="P186" s="833" t="str">
        <f t="shared" si="114"/>
        <v/>
      </c>
      <c r="Q186" s="833" t="str">
        <f t="shared" si="114"/>
        <v/>
      </c>
      <c r="R186" s="833" t="str">
        <f t="shared" si="114"/>
        <v/>
      </c>
      <c r="S186" s="833" t="str">
        <f t="shared" si="114"/>
        <v/>
      </c>
      <c r="T186" s="833" t="str">
        <f t="shared" si="114"/>
        <v/>
      </c>
      <c r="U186" s="833" t="str">
        <f t="shared" si="114"/>
        <v/>
      </c>
      <c r="V186" s="833" t="str">
        <f t="shared" si="114"/>
        <v/>
      </c>
      <c r="W186" s="833" t="str">
        <f t="shared" si="114"/>
        <v/>
      </c>
      <c r="X186" s="833" t="str">
        <f t="shared" si="114"/>
        <v/>
      </c>
      <c r="Y186" s="833" t="str">
        <f t="shared" si="114"/>
        <v/>
      </c>
      <c r="Z186" s="833" t="str">
        <f t="shared" si="114"/>
        <v/>
      </c>
      <c r="AA186" s="833" t="str">
        <f t="shared" si="114"/>
        <v/>
      </c>
      <c r="AB186" s="833" t="str">
        <f t="shared" si="114"/>
        <v/>
      </c>
      <c r="AC186" s="833" t="str">
        <f t="shared" si="114"/>
        <v/>
      </c>
      <c r="AD186" s="219"/>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row>
    <row r="187" spans="8:58" s="4" customFormat="1" ht="15.75" outlineLevel="1" x14ac:dyDescent="0.25">
      <c r="H187" s="1"/>
      <c r="I187" s="202"/>
      <c r="J187" s="97" t="s">
        <v>155</v>
      </c>
      <c r="K187" s="831"/>
      <c r="L187" s="269"/>
      <c r="N187" s="833" t="str">
        <f>IFERROR(SUM(N152)/N$118,"")</f>
        <v/>
      </c>
      <c r="O187" s="833" t="str">
        <f t="shared" ref="O187:AC187" si="115">IFERROR(SUM(O152)/O$118,"")</f>
        <v/>
      </c>
      <c r="P187" s="833" t="str">
        <f t="shared" si="115"/>
        <v/>
      </c>
      <c r="Q187" s="833" t="str">
        <f t="shared" si="115"/>
        <v/>
      </c>
      <c r="R187" s="833" t="str">
        <f t="shared" si="115"/>
        <v/>
      </c>
      <c r="S187" s="833" t="str">
        <f t="shared" si="115"/>
        <v/>
      </c>
      <c r="T187" s="833" t="str">
        <f t="shared" si="115"/>
        <v/>
      </c>
      <c r="U187" s="833" t="str">
        <f t="shared" si="115"/>
        <v/>
      </c>
      <c r="V187" s="833" t="str">
        <f t="shared" si="115"/>
        <v/>
      </c>
      <c r="W187" s="833" t="str">
        <f t="shared" si="115"/>
        <v/>
      </c>
      <c r="X187" s="833" t="str">
        <f t="shared" si="115"/>
        <v/>
      </c>
      <c r="Y187" s="833" t="str">
        <f t="shared" si="115"/>
        <v/>
      </c>
      <c r="Z187" s="833" t="str">
        <f t="shared" si="115"/>
        <v/>
      </c>
      <c r="AA187" s="833" t="str">
        <f t="shared" si="115"/>
        <v/>
      </c>
      <c r="AB187" s="833" t="str">
        <f t="shared" si="115"/>
        <v/>
      </c>
      <c r="AC187" s="833" t="str">
        <f t="shared" si="115"/>
        <v/>
      </c>
      <c r="AD187" s="219"/>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row>
    <row r="188" spans="8:58" s="4" customFormat="1" ht="15.75" outlineLevel="1" x14ac:dyDescent="0.25">
      <c r="H188" s="1"/>
      <c r="I188" s="202"/>
      <c r="J188" s="97" t="s">
        <v>118</v>
      </c>
      <c r="K188" s="828"/>
      <c r="L188" s="269">
        <f>L130</f>
        <v>0</v>
      </c>
      <c r="N188" s="833" t="str">
        <f>IFERROR(N130/N$118,"")</f>
        <v/>
      </c>
      <c r="O188" s="833" t="str">
        <f t="shared" ref="O188:AC188" si="116">IFERROR(O130/O$118,"")</f>
        <v/>
      </c>
      <c r="P188" s="833" t="str">
        <f t="shared" si="116"/>
        <v/>
      </c>
      <c r="Q188" s="833" t="str">
        <f t="shared" si="116"/>
        <v/>
      </c>
      <c r="R188" s="833" t="str">
        <f t="shared" si="116"/>
        <v/>
      </c>
      <c r="S188" s="833" t="str">
        <f t="shared" si="116"/>
        <v/>
      </c>
      <c r="T188" s="833" t="str">
        <f t="shared" si="116"/>
        <v/>
      </c>
      <c r="U188" s="833" t="str">
        <f t="shared" si="116"/>
        <v/>
      </c>
      <c r="V188" s="833" t="str">
        <f t="shared" si="116"/>
        <v/>
      </c>
      <c r="W188" s="833" t="str">
        <f t="shared" si="116"/>
        <v/>
      </c>
      <c r="X188" s="833" t="str">
        <f t="shared" si="116"/>
        <v/>
      </c>
      <c r="Y188" s="833" t="str">
        <f t="shared" si="116"/>
        <v/>
      </c>
      <c r="Z188" s="833" t="str">
        <f t="shared" si="116"/>
        <v/>
      </c>
      <c r="AA188" s="833" t="str">
        <f t="shared" si="116"/>
        <v/>
      </c>
      <c r="AB188" s="833" t="str">
        <f t="shared" si="116"/>
        <v/>
      </c>
      <c r="AC188" s="833" t="str">
        <f t="shared" si="116"/>
        <v/>
      </c>
      <c r="AD188" s="219"/>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row>
    <row r="189" spans="8:58" s="4" customFormat="1" ht="15.75" outlineLevel="1" x14ac:dyDescent="0.25">
      <c r="H189" s="1"/>
      <c r="I189" s="202"/>
      <c r="J189" s="97" t="s">
        <v>156</v>
      </c>
      <c r="K189" s="828"/>
      <c r="L189" s="269">
        <f>L131</f>
        <v>0</v>
      </c>
      <c r="N189" s="833" t="str">
        <f>IFERROR(N131/N$118,"")</f>
        <v/>
      </c>
      <c r="O189" s="833" t="str">
        <f t="shared" ref="O189:AC189" si="117">IFERROR(O131/O$118,"")</f>
        <v/>
      </c>
      <c r="P189" s="833" t="str">
        <f t="shared" si="117"/>
        <v/>
      </c>
      <c r="Q189" s="833" t="str">
        <f t="shared" si="117"/>
        <v/>
      </c>
      <c r="R189" s="833" t="str">
        <f t="shared" si="117"/>
        <v/>
      </c>
      <c r="S189" s="833" t="str">
        <f t="shared" si="117"/>
        <v/>
      </c>
      <c r="T189" s="833" t="str">
        <f t="shared" si="117"/>
        <v/>
      </c>
      <c r="U189" s="833" t="str">
        <f t="shared" si="117"/>
        <v/>
      </c>
      <c r="V189" s="833" t="str">
        <f t="shared" si="117"/>
        <v/>
      </c>
      <c r="W189" s="833" t="str">
        <f t="shared" si="117"/>
        <v/>
      </c>
      <c r="X189" s="833" t="str">
        <f t="shared" si="117"/>
        <v/>
      </c>
      <c r="Y189" s="833" t="str">
        <f t="shared" si="117"/>
        <v/>
      </c>
      <c r="Z189" s="833" t="str">
        <f t="shared" si="117"/>
        <v/>
      </c>
      <c r="AA189" s="833" t="str">
        <f t="shared" si="117"/>
        <v/>
      </c>
      <c r="AB189" s="833" t="str">
        <f t="shared" si="117"/>
        <v/>
      </c>
      <c r="AC189" s="833" t="str">
        <f t="shared" si="117"/>
        <v/>
      </c>
      <c r="AD189" s="219"/>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row>
    <row r="190" spans="8:58" s="4" customFormat="1" ht="15.75" outlineLevel="1" x14ac:dyDescent="0.25">
      <c r="H190" s="1"/>
      <c r="I190" s="202"/>
      <c r="J190" s="74" t="s">
        <v>120</v>
      </c>
      <c r="K190" s="828"/>
      <c r="L190" s="269">
        <f>L132</f>
        <v>0</v>
      </c>
      <c r="N190" s="833" t="str">
        <f>IFERROR(N132/N$118,"")</f>
        <v/>
      </c>
      <c r="O190" s="833" t="str">
        <f t="shared" ref="O190:AC190" si="118">IFERROR(O132/O$118,"")</f>
        <v/>
      </c>
      <c r="P190" s="833" t="str">
        <f t="shared" si="118"/>
        <v/>
      </c>
      <c r="Q190" s="833" t="str">
        <f t="shared" si="118"/>
        <v/>
      </c>
      <c r="R190" s="833" t="str">
        <f t="shared" si="118"/>
        <v/>
      </c>
      <c r="S190" s="833" t="str">
        <f t="shared" si="118"/>
        <v/>
      </c>
      <c r="T190" s="833" t="str">
        <f t="shared" si="118"/>
        <v/>
      </c>
      <c r="U190" s="833" t="str">
        <f t="shared" si="118"/>
        <v/>
      </c>
      <c r="V190" s="833" t="str">
        <f t="shared" si="118"/>
        <v/>
      </c>
      <c r="W190" s="833" t="str">
        <f t="shared" si="118"/>
        <v/>
      </c>
      <c r="X190" s="833" t="str">
        <f t="shared" si="118"/>
        <v/>
      </c>
      <c r="Y190" s="833" t="str">
        <f t="shared" si="118"/>
        <v/>
      </c>
      <c r="Z190" s="833" t="str">
        <f t="shared" si="118"/>
        <v/>
      </c>
      <c r="AA190" s="833" t="str">
        <f t="shared" si="118"/>
        <v/>
      </c>
      <c r="AB190" s="833" t="str">
        <f t="shared" si="118"/>
        <v/>
      </c>
      <c r="AC190" s="833" t="str">
        <f t="shared" si="118"/>
        <v/>
      </c>
      <c r="AD190" s="219"/>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row>
    <row r="191" spans="8:58" s="4" customFormat="1" ht="15.75" outlineLevel="1" x14ac:dyDescent="0.25">
      <c r="H191" s="1"/>
      <c r="I191" s="202"/>
      <c r="J191" s="210" t="s">
        <v>14</v>
      </c>
      <c r="K191" s="279">
        <f>SUM(K182:K190)</f>
        <v>0</v>
      </c>
      <c r="L191" s="280">
        <f>SUM(L182:L190)</f>
        <v>0</v>
      </c>
      <c r="N191" s="281">
        <f t="shared" ref="N191:AC191" si="119">SUM(N182:N190)</f>
        <v>0</v>
      </c>
      <c r="O191" s="282">
        <f t="shared" si="119"/>
        <v>0</v>
      </c>
      <c r="P191" s="282">
        <f t="shared" si="119"/>
        <v>0</v>
      </c>
      <c r="Q191" s="282">
        <f t="shared" si="119"/>
        <v>0</v>
      </c>
      <c r="R191" s="282">
        <f t="shared" si="119"/>
        <v>0</v>
      </c>
      <c r="S191" s="282">
        <f t="shared" si="119"/>
        <v>0</v>
      </c>
      <c r="T191" s="282">
        <f t="shared" si="119"/>
        <v>0</v>
      </c>
      <c r="U191" s="282">
        <f t="shared" si="119"/>
        <v>0</v>
      </c>
      <c r="V191" s="282">
        <f t="shared" si="119"/>
        <v>0</v>
      </c>
      <c r="W191" s="282">
        <f t="shared" si="119"/>
        <v>0</v>
      </c>
      <c r="X191" s="282">
        <f t="shared" si="119"/>
        <v>0</v>
      </c>
      <c r="Y191" s="282">
        <f t="shared" si="119"/>
        <v>0</v>
      </c>
      <c r="Z191" s="282">
        <f t="shared" si="119"/>
        <v>0</v>
      </c>
      <c r="AA191" s="282">
        <f t="shared" si="119"/>
        <v>0</v>
      </c>
      <c r="AB191" s="282">
        <f t="shared" si="119"/>
        <v>0</v>
      </c>
      <c r="AC191" s="283">
        <f t="shared" si="119"/>
        <v>0</v>
      </c>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row>
    <row r="192" spans="8:58" s="4" customFormat="1" ht="15.75" outlineLevel="1" x14ac:dyDescent="0.25">
      <c r="H192" s="1"/>
      <c r="I192" s="202"/>
      <c r="J192" s="97" t="s">
        <v>122</v>
      </c>
      <c r="K192" s="830"/>
      <c r="L192" s="269">
        <f>L134+L156</f>
        <v>0</v>
      </c>
      <c r="N192" s="269" t="str">
        <f t="shared" ref="N192:AC192" si="120">IFERROR(SUM(N134,N156)/N$118,"")</f>
        <v/>
      </c>
      <c r="O192" s="269" t="str">
        <f t="shared" si="120"/>
        <v/>
      </c>
      <c r="P192" s="269" t="str">
        <f t="shared" si="120"/>
        <v/>
      </c>
      <c r="Q192" s="269" t="str">
        <f t="shared" si="120"/>
        <v/>
      </c>
      <c r="R192" s="269" t="str">
        <f t="shared" si="120"/>
        <v/>
      </c>
      <c r="S192" s="269" t="str">
        <f t="shared" si="120"/>
        <v/>
      </c>
      <c r="T192" s="269" t="str">
        <f t="shared" si="120"/>
        <v/>
      </c>
      <c r="U192" s="269" t="str">
        <f t="shared" si="120"/>
        <v/>
      </c>
      <c r="V192" s="269" t="str">
        <f t="shared" si="120"/>
        <v/>
      </c>
      <c r="W192" s="269" t="str">
        <f t="shared" si="120"/>
        <v/>
      </c>
      <c r="X192" s="269" t="str">
        <f t="shared" si="120"/>
        <v/>
      </c>
      <c r="Y192" s="269" t="str">
        <f t="shared" si="120"/>
        <v/>
      </c>
      <c r="Z192" s="269" t="str">
        <f t="shared" si="120"/>
        <v/>
      </c>
      <c r="AA192" s="269" t="str">
        <f t="shared" si="120"/>
        <v/>
      </c>
      <c r="AB192" s="269" t="str">
        <f t="shared" si="120"/>
        <v/>
      </c>
      <c r="AC192" s="269" t="str">
        <f t="shared" si="120"/>
        <v/>
      </c>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row>
    <row r="193" spans="8:58" s="4" customFormat="1" ht="15.75" outlineLevel="1" x14ac:dyDescent="0.25">
      <c r="H193" s="1"/>
      <c r="I193" s="202"/>
      <c r="J193" s="97" t="s">
        <v>123</v>
      </c>
      <c r="K193" s="830"/>
      <c r="L193" s="269">
        <f>L136+L157</f>
        <v>0</v>
      </c>
      <c r="N193" s="833" t="str">
        <f t="shared" ref="N193:AC193" si="121">IFERROR(SUM(N136,N157)/N$118,"")</f>
        <v/>
      </c>
      <c r="O193" s="833" t="str">
        <f t="shared" si="121"/>
        <v/>
      </c>
      <c r="P193" s="833" t="str">
        <f t="shared" si="121"/>
        <v/>
      </c>
      <c r="Q193" s="833" t="str">
        <f t="shared" si="121"/>
        <v/>
      </c>
      <c r="R193" s="833" t="str">
        <f t="shared" si="121"/>
        <v/>
      </c>
      <c r="S193" s="833" t="str">
        <f t="shared" si="121"/>
        <v/>
      </c>
      <c r="T193" s="833" t="str">
        <f t="shared" si="121"/>
        <v/>
      </c>
      <c r="U193" s="833" t="str">
        <f t="shared" si="121"/>
        <v/>
      </c>
      <c r="V193" s="833" t="str">
        <f t="shared" si="121"/>
        <v/>
      </c>
      <c r="W193" s="833" t="str">
        <f t="shared" si="121"/>
        <v/>
      </c>
      <c r="X193" s="833" t="str">
        <f t="shared" si="121"/>
        <v/>
      </c>
      <c r="Y193" s="833" t="str">
        <f t="shared" si="121"/>
        <v/>
      </c>
      <c r="Z193" s="833" t="str">
        <f t="shared" si="121"/>
        <v/>
      </c>
      <c r="AA193" s="833" t="str">
        <f t="shared" si="121"/>
        <v/>
      </c>
      <c r="AB193" s="833" t="str">
        <f t="shared" si="121"/>
        <v/>
      </c>
      <c r="AC193" s="833" t="str">
        <f t="shared" si="121"/>
        <v/>
      </c>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row>
    <row r="194" spans="8:58" ht="15.75" outlineLevel="1" x14ac:dyDescent="0.25">
      <c r="I194" s="202"/>
      <c r="J194" s="31" t="s">
        <v>124</v>
      </c>
      <c r="K194" s="830"/>
      <c r="L194" s="269">
        <f>L137</f>
        <v>0</v>
      </c>
      <c r="N194" s="833" t="str">
        <f t="shared" ref="N194:AC194" si="122">IFERROR(N137/N$118,"")</f>
        <v/>
      </c>
      <c r="O194" s="834" t="str">
        <f t="shared" si="122"/>
        <v/>
      </c>
      <c r="P194" s="834" t="str">
        <f t="shared" si="122"/>
        <v/>
      </c>
      <c r="Q194" s="834" t="str">
        <f t="shared" si="122"/>
        <v/>
      </c>
      <c r="R194" s="834" t="str">
        <f t="shared" si="122"/>
        <v/>
      </c>
      <c r="S194" s="834" t="str">
        <f t="shared" si="122"/>
        <v/>
      </c>
      <c r="T194" s="834" t="str">
        <f t="shared" si="122"/>
        <v/>
      </c>
      <c r="U194" s="834" t="str">
        <f t="shared" si="122"/>
        <v/>
      </c>
      <c r="V194" s="834" t="str">
        <f t="shared" si="122"/>
        <v/>
      </c>
      <c r="W194" s="834" t="str">
        <f t="shared" si="122"/>
        <v/>
      </c>
      <c r="X194" s="834" t="str">
        <f t="shared" si="122"/>
        <v/>
      </c>
      <c r="Y194" s="834" t="str">
        <f t="shared" si="122"/>
        <v/>
      </c>
      <c r="Z194" s="834" t="str">
        <f t="shared" si="122"/>
        <v/>
      </c>
      <c r="AA194" s="834" t="str">
        <f t="shared" si="122"/>
        <v/>
      </c>
      <c r="AB194" s="834" t="str">
        <f t="shared" si="122"/>
        <v/>
      </c>
      <c r="AC194" s="835" t="str">
        <f t="shared" si="122"/>
        <v/>
      </c>
      <c r="AD194" s="1"/>
      <c r="AE194" s="1"/>
    </row>
    <row r="195" spans="8:58" ht="15.75" outlineLevel="1" x14ac:dyDescent="0.25">
      <c r="I195" s="202"/>
      <c r="J195" s="222" t="s">
        <v>157</v>
      </c>
      <c r="K195" s="284">
        <f>SUM(K191:K194)</f>
        <v>0</v>
      </c>
      <c r="L195" s="285">
        <f>SUM(L191:L194)</f>
        <v>0</v>
      </c>
      <c r="N195" s="285">
        <f t="shared" ref="N195:AC195" si="123">SUM(N191:N194)</f>
        <v>0</v>
      </c>
      <c r="O195" s="284">
        <f t="shared" si="123"/>
        <v>0</v>
      </c>
      <c r="P195" s="284">
        <f t="shared" si="123"/>
        <v>0</v>
      </c>
      <c r="Q195" s="284">
        <f t="shared" si="123"/>
        <v>0</v>
      </c>
      <c r="R195" s="284">
        <f t="shared" si="123"/>
        <v>0</v>
      </c>
      <c r="S195" s="284">
        <f t="shared" si="123"/>
        <v>0</v>
      </c>
      <c r="T195" s="284">
        <f t="shared" si="123"/>
        <v>0</v>
      </c>
      <c r="U195" s="284">
        <f t="shared" si="123"/>
        <v>0</v>
      </c>
      <c r="V195" s="284">
        <f t="shared" si="123"/>
        <v>0</v>
      </c>
      <c r="W195" s="284">
        <f t="shared" si="123"/>
        <v>0</v>
      </c>
      <c r="X195" s="284">
        <f t="shared" si="123"/>
        <v>0</v>
      </c>
      <c r="Y195" s="284">
        <f t="shared" si="123"/>
        <v>0</v>
      </c>
      <c r="Z195" s="284">
        <f t="shared" si="123"/>
        <v>0</v>
      </c>
      <c r="AA195" s="284">
        <f t="shared" si="123"/>
        <v>0</v>
      </c>
      <c r="AB195" s="284">
        <f t="shared" si="123"/>
        <v>0</v>
      </c>
      <c r="AC195" s="286">
        <f t="shared" si="123"/>
        <v>0</v>
      </c>
      <c r="AD195" s="1"/>
      <c r="AE195" s="1"/>
    </row>
    <row r="196" spans="8:58" s="4" customFormat="1" ht="15.75" outlineLevel="1" x14ac:dyDescent="0.25">
      <c r="H196" s="1"/>
      <c r="J196" s="31"/>
      <c r="K196" s="164"/>
      <c r="L196" s="164"/>
      <c r="M196" s="1"/>
      <c r="N196" s="31"/>
      <c r="O196" s="31"/>
      <c r="P196" s="31"/>
      <c r="Q196" s="31"/>
      <c r="R196" s="31"/>
      <c r="S196" s="31"/>
      <c r="T196" s="31"/>
      <c r="U196" s="31"/>
      <c r="V196" s="31"/>
      <c r="W196" s="31"/>
      <c r="X196" s="31"/>
      <c r="Y196" s="31"/>
      <c r="Z196" s="31"/>
      <c r="AA196" s="31"/>
      <c r="AB196" s="31"/>
      <c r="AC196" s="3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row>
    <row r="197" spans="8:58" ht="18" x14ac:dyDescent="0.2">
      <c r="I197" s="104" t="s">
        <v>158</v>
      </c>
      <c r="J197" s="105" t="s">
        <v>159</v>
      </c>
      <c r="K197" s="105"/>
      <c r="L197" s="105"/>
      <c r="M197" s="106"/>
      <c r="N197" s="107">
        <f>N$11</f>
        <v>2024</v>
      </c>
      <c r="O197" s="107">
        <f t="shared" ref="O197:AC197" si="124">O$11</f>
        <v>2025</v>
      </c>
      <c r="P197" s="107">
        <f t="shared" si="124"/>
        <v>2026</v>
      </c>
      <c r="Q197" s="107">
        <f t="shared" si="124"/>
        <v>2027</v>
      </c>
      <c r="R197" s="107">
        <f t="shared" si="124"/>
        <v>2028</v>
      </c>
      <c r="S197" s="107">
        <f t="shared" si="124"/>
        <v>2029</v>
      </c>
      <c r="T197" s="107">
        <f t="shared" si="124"/>
        <v>2030</v>
      </c>
      <c r="U197" s="107">
        <f t="shared" si="124"/>
        <v>2031</v>
      </c>
      <c r="V197" s="107">
        <f t="shared" si="124"/>
        <v>2032</v>
      </c>
      <c r="W197" s="107">
        <f t="shared" si="124"/>
        <v>2033</v>
      </c>
      <c r="X197" s="107">
        <f t="shared" si="124"/>
        <v>2034</v>
      </c>
      <c r="Y197" s="107">
        <f t="shared" si="124"/>
        <v>2035</v>
      </c>
      <c r="Z197" s="107">
        <f t="shared" si="124"/>
        <v>2036</v>
      </c>
      <c r="AA197" s="107">
        <f t="shared" si="124"/>
        <v>2037</v>
      </c>
      <c r="AB197" s="107">
        <f t="shared" si="124"/>
        <v>2038</v>
      </c>
      <c r="AC197" s="107">
        <f t="shared" si="124"/>
        <v>2039</v>
      </c>
      <c r="AD197" s="1"/>
      <c r="AE197" s="1"/>
    </row>
    <row r="198" spans="8:58" s="4" customFormat="1" ht="15.75" x14ac:dyDescent="0.25">
      <c r="H198" s="1"/>
      <c r="I198" s="99">
        <v>1</v>
      </c>
      <c r="J198" s="67" t="s">
        <v>160</v>
      </c>
      <c r="K198" s="31"/>
      <c r="L198" s="169"/>
      <c r="M198" s="1"/>
      <c r="N198" s="31"/>
      <c r="O198" s="31"/>
      <c r="P198" s="31"/>
      <c r="Q198" s="31"/>
      <c r="R198" s="31"/>
      <c r="S198" s="31"/>
      <c r="T198" s="31"/>
      <c r="U198" s="31"/>
      <c r="V198" s="31"/>
      <c r="W198" s="31"/>
      <c r="X198" s="31"/>
      <c r="Y198" s="31"/>
      <c r="Z198" s="31"/>
      <c r="AA198" s="31"/>
      <c r="AB198" s="31"/>
      <c r="AC198" s="3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row>
    <row r="199" spans="8:58" s="4" customFormat="1" ht="15.75" x14ac:dyDescent="0.25">
      <c r="H199" s="1"/>
      <c r="I199" s="99"/>
      <c r="J199" s="31" t="s">
        <v>161</v>
      </c>
      <c r="K199" s="31"/>
      <c r="L199" s="287"/>
      <c r="M199" s="1"/>
      <c r="N199" s="789">
        <f>SUM('Bgn&gt;&gt;:&lt;&lt;End'!N199)</f>
        <v>0</v>
      </c>
      <c r="O199" s="789">
        <f>SUM('Bgn&gt;&gt;:&lt;&lt;End'!O199)</f>
        <v>0</v>
      </c>
      <c r="P199" s="789">
        <f>SUM('Bgn&gt;&gt;:&lt;&lt;End'!P199)</f>
        <v>0</v>
      </c>
      <c r="Q199" s="789">
        <f>SUM('Bgn&gt;&gt;:&lt;&lt;End'!Q199)</f>
        <v>0</v>
      </c>
      <c r="R199" s="789">
        <f>SUM('Bgn&gt;&gt;:&lt;&lt;End'!R199)</f>
        <v>0</v>
      </c>
      <c r="S199" s="789">
        <f>SUM('Bgn&gt;&gt;:&lt;&lt;End'!S199)</f>
        <v>0</v>
      </c>
      <c r="T199" s="789">
        <f>SUM('Bgn&gt;&gt;:&lt;&lt;End'!T199)</f>
        <v>0</v>
      </c>
      <c r="U199" s="789">
        <f>SUM('Bgn&gt;&gt;:&lt;&lt;End'!U199)</f>
        <v>0</v>
      </c>
      <c r="V199" s="789">
        <f>SUM('Bgn&gt;&gt;:&lt;&lt;End'!V199)</f>
        <v>0</v>
      </c>
      <c r="W199" s="789">
        <f>SUM('Bgn&gt;&gt;:&lt;&lt;End'!W199)</f>
        <v>0</v>
      </c>
      <c r="X199" s="789">
        <f>SUM('Bgn&gt;&gt;:&lt;&lt;End'!X199)</f>
        <v>0</v>
      </c>
      <c r="Y199" s="789">
        <f>SUM('Bgn&gt;&gt;:&lt;&lt;End'!Y199)</f>
        <v>0</v>
      </c>
      <c r="Z199" s="789">
        <f>SUM('Bgn&gt;&gt;:&lt;&lt;End'!Z199)</f>
        <v>0</v>
      </c>
      <c r="AA199" s="789">
        <f>SUM('Bgn&gt;&gt;:&lt;&lt;End'!AA199)</f>
        <v>0</v>
      </c>
      <c r="AB199" s="789">
        <f>SUM('Bgn&gt;&gt;:&lt;&lt;End'!AB199)</f>
        <v>0</v>
      </c>
      <c r="AC199" s="789">
        <f>SUM('Bgn&gt;&gt;:&lt;&lt;End'!AC199)</f>
        <v>0</v>
      </c>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row>
    <row r="200" spans="8:58" s="4" customFormat="1" ht="15.75" x14ac:dyDescent="0.25">
      <c r="H200" s="1"/>
      <c r="I200" s="99"/>
      <c r="J200" s="31" t="s">
        <v>30</v>
      </c>
      <c r="K200" s="31"/>
      <c r="L200" s="287"/>
      <c r="M200" s="1"/>
      <c r="N200" s="789">
        <f>SUM('Bgn&gt;&gt;:&lt;&lt;End'!N200)</f>
        <v>0</v>
      </c>
      <c r="O200" s="789">
        <f>SUM('Bgn&gt;&gt;:&lt;&lt;End'!O200)</f>
        <v>0</v>
      </c>
      <c r="P200" s="789">
        <f>SUM('Bgn&gt;&gt;:&lt;&lt;End'!P200)</f>
        <v>0</v>
      </c>
      <c r="Q200" s="789">
        <f>SUM('Bgn&gt;&gt;:&lt;&lt;End'!Q200)</f>
        <v>0</v>
      </c>
      <c r="R200" s="789">
        <f>SUM('Bgn&gt;&gt;:&lt;&lt;End'!R200)</f>
        <v>0</v>
      </c>
      <c r="S200" s="789">
        <f>SUM('Bgn&gt;&gt;:&lt;&lt;End'!S200)</f>
        <v>0</v>
      </c>
      <c r="T200" s="789">
        <f>SUM('Bgn&gt;&gt;:&lt;&lt;End'!T200)</f>
        <v>0</v>
      </c>
      <c r="U200" s="789">
        <f>SUM('Bgn&gt;&gt;:&lt;&lt;End'!U200)</f>
        <v>0</v>
      </c>
      <c r="V200" s="789">
        <f>SUM('Bgn&gt;&gt;:&lt;&lt;End'!V200)</f>
        <v>0</v>
      </c>
      <c r="W200" s="789">
        <f>SUM('Bgn&gt;&gt;:&lt;&lt;End'!W200)</f>
        <v>0</v>
      </c>
      <c r="X200" s="789">
        <f>SUM('Bgn&gt;&gt;:&lt;&lt;End'!X200)</f>
        <v>0</v>
      </c>
      <c r="Y200" s="789">
        <f>SUM('Bgn&gt;&gt;:&lt;&lt;End'!Y200)</f>
        <v>0</v>
      </c>
      <c r="Z200" s="789">
        <f>SUM('Bgn&gt;&gt;:&lt;&lt;End'!Z200)</f>
        <v>0</v>
      </c>
      <c r="AA200" s="789">
        <f>SUM('Bgn&gt;&gt;:&lt;&lt;End'!AA200)</f>
        <v>0</v>
      </c>
      <c r="AB200" s="789">
        <f>SUM('Bgn&gt;&gt;:&lt;&lt;End'!AB200)</f>
        <v>0</v>
      </c>
      <c r="AC200" s="789">
        <f>SUM('Bgn&gt;&gt;:&lt;&lt;End'!AC200)</f>
        <v>0</v>
      </c>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row>
    <row r="201" spans="8:58" s="4" customFormat="1" ht="15.75" x14ac:dyDescent="0.25">
      <c r="H201" s="1"/>
      <c r="I201" s="99"/>
      <c r="J201" s="31" t="s">
        <v>295</v>
      </c>
      <c r="K201" s="31"/>
      <c r="L201" s="287"/>
      <c r="M201" s="1"/>
      <c r="N201" s="789">
        <f>SUM('Bgn&gt;&gt;:&lt;&lt;End'!N201)</f>
        <v>0</v>
      </c>
      <c r="O201" s="789">
        <f>SUM('Bgn&gt;&gt;:&lt;&lt;End'!O201)</f>
        <v>0</v>
      </c>
      <c r="P201" s="789">
        <f>SUM('Bgn&gt;&gt;:&lt;&lt;End'!P201)</f>
        <v>0</v>
      </c>
      <c r="Q201" s="789">
        <f>SUM('Bgn&gt;&gt;:&lt;&lt;End'!Q201)</f>
        <v>0</v>
      </c>
      <c r="R201" s="789">
        <f>SUM('Bgn&gt;&gt;:&lt;&lt;End'!R201)</f>
        <v>0</v>
      </c>
      <c r="S201" s="789">
        <f>SUM('Bgn&gt;&gt;:&lt;&lt;End'!S201)</f>
        <v>0</v>
      </c>
      <c r="T201" s="789">
        <f>SUM('Bgn&gt;&gt;:&lt;&lt;End'!T201)</f>
        <v>0</v>
      </c>
      <c r="U201" s="789">
        <f>SUM('Bgn&gt;&gt;:&lt;&lt;End'!U201)</f>
        <v>0</v>
      </c>
      <c r="V201" s="789">
        <f>SUM('Bgn&gt;&gt;:&lt;&lt;End'!V201)</f>
        <v>0</v>
      </c>
      <c r="W201" s="789">
        <f>SUM('Bgn&gt;&gt;:&lt;&lt;End'!W201)</f>
        <v>0</v>
      </c>
      <c r="X201" s="789">
        <f>SUM('Bgn&gt;&gt;:&lt;&lt;End'!X201)</f>
        <v>0</v>
      </c>
      <c r="Y201" s="789">
        <f>SUM('Bgn&gt;&gt;:&lt;&lt;End'!Y201)</f>
        <v>0</v>
      </c>
      <c r="Z201" s="789">
        <f>SUM('Bgn&gt;&gt;:&lt;&lt;End'!Z201)</f>
        <v>0</v>
      </c>
      <c r="AA201" s="789">
        <f>SUM('Bgn&gt;&gt;:&lt;&lt;End'!AA201)</f>
        <v>0</v>
      </c>
      <c r="AB201" s="789">
        <f>SUM('Bgn&gt;&gt;:&lt;&lt;End'!AB201)</f>
        <v>0</v>
      </c>
      <c r="AC201" s="789">
        <f>SUM('Bgn&gt;&gt;:&lt;&lt;End'!AC201)</f>
        <v>0</v>
      </c>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row>
    <row r="202" spans="8:58" s="4" customFormat="1" ht="15.75" x14ac:dyDescent="0.25">
      <c r="H202" s="1"/>
      <c r="I202" s="99"/>
      <c r="J202" s="31" t="s">
        <v>296</v>
      </c>
      <c r="K202" s="31"/>
      <c r="L202" s="287"/>
      <c r="M202" s="1"/>
      <c r="N202" s="789">
        <f>SUM('Bgn&gt;&gt;:&lt;&lt;End'!N202)</f>
        <v>0</v>
      </c>
      <c r="O202" s="789">
        <f>SUM('Bgn&gt;&gt;:&lt;&lt;End'!O202)</f>
        <v>0</v>
      </c>
      <c r="P202" s="789">
        <f>SUM('Bgn&gt;&gt;:&lt;&lt;End'!P202)</f>
        <v>0</v>
      </c>
      <c r="Q202" s="789">
        <f>SUM('Bgn&gt;&gt;:&lt;&lt;End'!Q202)</f>
        <v>0</v>
      </c>
      <c r="R202" s="789">
        <f>SUM('Bgn&gt;&gt;:&lt;&lt;End'!R202)</f>
        <v>0</v>
      </c>
      <c r="S202" s="789">
        <f>SUM('Bgn&gt;&gt;:&lt;&lt;End'!S202)</f>
        <v>0</v>
      </c>
      <c r="T202" s="789">
        <f>SUM('Bgn&gt;&gt;:&lt;&lt;End'!T202)</f>
        <v>0</v>
      </c>
      <c r="U202" s="789">
        <f>SUM('Bgn&gt;&gt;:&lt;&lt;End'!U202)</f>
        <v>0</v>
      </c>
      <c r="V202" s="789">
        <f>SUM('Bgn&gt;&gt;:&lt;&lt;End'!V202)</f>
        <v>0</v>
      </c>
      <c r="W202" s="789">
        <f>SUM('Bgn&gt;&gt;:&lt;&lt;End'!W202)</f>
        <v>0</v>
      </c>
      <c r="X202" s="789">
        <f>SUM('Bgn&gt;&gt;:&lt;&lt;End'!X202)</f>
        <v>0</v>
      </c>
      <c r="Y202" s="789">
        <f>SUM('Bgn&gt;&gt;:&lt;&lt;End'!Y202)</f>
        <v>0</v>
      </c>
      <c r="Z202" s="789">
        <f>SUM('Bgn&gt;&gt;:&lt;&lt;End'!Z202)</f>
        <v>0</v>
      </c>
      <c r="AA202" s="789">
        <f>SUM('Bgn&gt;&gt;:&lt;&lt;End'!AA202)</f>
        <v>0</v>
      </c>
      <c r="AB202" s="789">
        <f>SUM('Bgn&gt;&gt;:&lt;&lt;End'!AB202)</f>
        <v>0</v>
      </c>
      <c r="AC202" s="789">
        <f>SUM('Bgn&gt;&gt;:&lt;&lt;End'!AC202)</f>
        <v>0</v>
      </c>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row>
    <row r="203" spans="8:58" s="4" customFormat="1" ht="15.75" x14ac:dyDescent="0.25">
      <c r="H203" s="1"/>
      <c r="I203" s="99"/>
      <c r="J203" s="31" t="s">
        <v>458</v>
      </c>
      <c r="K203" s="31"/>
      <c r="L203" s="287"/>
      <c r="M203" s="1"/>
      <c r="N203" s="789">
        <f>SUM('Bgn&gt;&gt;:&lt;&lt;End'!N203)</f>
        <v>0</v>
      </c>
      <c r="O203" s="789">
        <f>SUM('Bgn&gt;&gt;:&lt;&lt;End'!O203)</f>
        <v>0</v>
      </c>
      <c r="P203" s="789">
        <f>SUM('Bgn&gt;&gt;:&lt;&lt;End'!P203)</f>
        <v>0</v>
      </c>
      <c r="Q203" s="789">
        <f>SUM('Bgn&gt;&gt;:&lt;&lt;End'!Q203)</f>
        <v>0</v>
      </c>
      <c r="R203" s="789">
        <f>SUM('Bgn&gt;&gt;:&lt;&lt;End'!R203)</f>
        <v>0</v>
      </c>
      <c r="S203" s="789">
        <f>SUM('Bgn&gt;&gt;:&lt;&lt;End'!S203)</f>
        <v>0</v>
      </c>
      <c r="T203" s="789">
        <f>SUM('Bgn&gt;&gt;:&lt;&lt;End'!T203)</f>
        <v>0</v>
      </c>
      <c r="U203" s="789">
        <f>SUM('Bgn&gt;&gt;:&lt;&lt;End'!U203)</f>
        <v>0</v>
      </c>
      <c r="V203" s="789">
        <f>SUM('Bgn&gt;&gt;:&lt;&lt;End'!V203)</f>
        <v>0</v>
      </c>
      <c r="W203" s="789">
        <f>SUM('Bgn&gt;&gt;:&lt;&lt;End'!W203)</f>
        <v>0</v>
      </c>
      <c r="X203" s="789">
        <f>SUM('Bgn&gt;&gt;:&lt;&lt;End'!X203)</f>
        <v>0</v>
      </c>
      <c r="Y203" s="789">
        <f>SUM('Bgn&gt;&gt;:&lt;&lt;End'!Y203)</f>
        <v>0</v>
      </c>
      <c r="Z203" s="789">
        <f>SUM('Bgn&gt;&gt;:&lt;&lt;End'!Z203)</f>
        <v>0</v>
      </c>
      <c r="AA203" s="789">
        <f>SUM('Bgn&gt;&gt;:&lt;&lt;End'!AA203)</f>
        <v>0</v>
      </c>
      <c r="AB203" s="789">
        <f>SUM('Bgn&gt;&gt;:&lt;&lt;End'!AB203)</f>
        <v>0</v>
      </c>
      <c r="AC203" s="789">
        <f>SUM('Bgn&gt;&gt;:&lt;&lt;End'!AC203)</f>
        <v>0</v>
      </c>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row>
    <row r="204" spans="8:58" s="4" customFormat="1" ht="15.75" x14ac:dyDescent="0.25">
      <c r="H204" s="1"/>
      <c r="I204" s="99"/>
      <c r="J204" s="31" t="s">
        <v>298</v>
      </c>
      <c r="K204" s="31"/>
      <c r="L204" s="287"/>
      <c r="M204" s="1"/>
      <c r="N204" s="789">
        <f>SUM('Bgn&gt;&gt;:&lt;&lt;End'!N204)</f>
        <v>0</v>
      </c>
      <c r="O204" s="789">
        <f>SUM('Bgn&gt;&gt;:&lt;&lt;End'!O204)</f>
        <v>0</v>
      </c>
      <c r="P204" s="789">
        <f>SUM('Bgn&gt;&gt;:&lt;&lt;End'!P204)</f>
        <v>0</v>
      </c>
      <c r="Q204" s="789">
        <f>SUM('Bgn&gt;&gt;:&lt;&lt;End'!Q204)</f>
        <v>0</v>
      </c>
      <c r="R204" s="789">
        <f>SUM('Bgn&gt;&gt;:&lt;&lt;End'!R204)</f>
        <v>0</v>
      </c>
      <c r="S204" s="789">
        <f>SUM('Bgn&gt;&gt;:&lt;&lt;End'!S204)</f>
        <v>0</v>
      </c>
      <c r="T204" s="789">
        <f>SUM('Bgn&gt;&gt;:&lt;&lt;End'!T204)</f>
        <v>0</v>
      </c>
      <c r="U204" s="789">
        <f>SUM('Bgn&gt;&gt;:&lt;&lt;End'!U204)</f>
        <v>0</v>
      </c>
      <c r="V204" s="789">
        <f>SUM('Bgn&gt;&gt;:&lt;&lt;End'!V204)</f>
        <v>0</v>
      </c>
      <c r="W204" s="789">
        <f>SUM('Bgn&gt;&gt;:&lt;&lt;End'!W204)</f>
        <v>0</v>
      </c>
      <c r="X204" s="789">
        <f>SUM('Bgn&gt;&gt;:&lt;&lt;End'!X204)</f>
        <v>0</v>
      </c>
      <c r="Y204" s="789">
        <f>SUM('Bgn&gt;&gt;:&lt;&lt;End'!Y204)</f>
        <v>0</v>
      </c>
      <c r="Z204" s="789">
        <f>SUM('Bgn&gt;&gt;:&lt;&lt;End'!Z204)</f>
        <v>0</v>
      </c>
      <c r="AA204" s="789">
        <f>SUM('Bgn&gt;&gt;:&lt;&lt;End'!AA204)</f>
        <v>0</v>
      </c>
      <c r="AB204" s="789">
        <f>SUM('Bgn&gt;&gt;:&lt;&lt;End'!AB204)</f>
        <v>0</v>
      </c>
      <c r="AC204" s="789">
        <f>SUM('Bgn&gt;&gt;:&lt;&lt;End'!AC204)</f>
        <v>0</v>
      </c>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row>
    <row r="205" spans="8:58" s="4" customFormat="1" ht="15.75" x14ac:dyDescent="0.25">
      <c r="H205" s="1"/>
      <c r="I205" s="99"/>
      <c r="J205" s="31" t="s">
        <v>162</v>
      </c>
      <c r="K205" s="31"/>
      <c r="L205" s="287"/>
      <c r="M205" s="1"/>
      <c r="N205" s="789">
        <f>SUM('Bgn&gt;&gt;:&lt;&lt;End'!N205)</f>
        <v>0</v>
      </c>
      <c r="O205" s="789">
        <f>SUM('Bgn&gt;&gt;:&lt;&lt;End'!O205)</f>
        <v>0</v>
      </c>
      <c r="P205" s="789">
        <f>SUM('Bgn&gt;&gt;:&lt;&lt;End'!P205)</f>
        <v>0</v>
      </c>
      <c r="Q205" s="789">
        <f>SUM('Bgn&gt;&gt;:&lt;&lt;End'!Q205)</f>
        <v>0</v>
      </c>
      <c r="R205" s="789">
        <f>SUM('Bgn&gt;&gt;:&lt;&lt;End'!R205)</f>
        <v>0</v>
      </c>
      <c r="S205" s="789">
        <f>SUM('Bgn&gt;&gt;:&lt;&lt;End'!S205)</f>
        <v>0</v>
      </c>
      <c r="T205" s="789">
        <f>SUM('Bgn&gt;&gt;:&lt;&lt;End'!T205)</f>
        <v>0</v>
      </c>
      <c r="U205" s="789">
        <f>SUM('Bgn&gt;&gt;:&lt;&lt;End'!U205)</f>
        <v>0</v>
      </c>
      <c r="V205" s="789">
        <f>SUM('Bgn&gt;&gt;:&lt;&lt;End'!V205)</f>
        <v>0</v>
      </c>
      <c r="W205" s="789">
        <f>SUM('Bgn&gt;&gt;:&lt;&lt;End'!W205)</f>
        <v>0</v>
      </c>
      <c r="X205" s="789">
        <f>SUM('Bgn&gt;&gt;:&lt;&lt;End'!X205)</f>
        <v>0</v>
      </c>
      <c r="Y205" s="789">
        <f>SUM('Bgn&gt;&gt;:&lt;&lt;End'!Y205)</f>
        <v>0</v>
      </c>
      <c r="Z205" s="789">
        <f>SUM('Bgn&gt;&gt;:&lt;&lt;End'!Z205)</f>
        <v>0</v>
      </c>
      <c r="AA205" s="789">
        <f>SUM('Bgn&gt;&gt;:&lt;&lt;End'!AA205)</f>
        <v>0</v>
      </c>
      <c r="AB205" s="789">
        <f>SUM('Bgn&gt;&gt;:&lt;&lt;End'!AB205)</f>
        <v>0</v>
      </c>
      <c r="AC205" s="789">
        <f>SUM('Bgn&gt;&gt;:&lt;&lt;End'!AC205)</f>
        <v>0</v>
      </c>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row>
    <row r="206" spans="8:58" s="4" customFormat="1" ht="15.75" x14ac:dyDescent="0.25">
      <c r="H206" s="1"/>
      <c r="I206" s="99"/>
      <c r="J206" s="31" t="s">
        <v>163</v>
      </c>
      <c r="K206" s="31"/>
      <c r="L206" s="287"/>
      <c r="M206" s="1"/>
      <c r="N206" s="789">
        <f>SUM('Bgn&gt;&gt;:&lt;&lt;End'!N206)</f>
        <v>0</v>
      </c>
      <c r="O206" s="789">
        <f>SUM('Bgn&gt;&gt;:&lt;&lt;End'!O206)</f>
        <v>0</v>
      </c>
      <c r="P206" s="789">
        <f>SUM('Bgn&gt;&gt;:&lt;&lt;End'!P206)</f>
        <v>0</v>
      </c>
      <c r="Q206" s="789">
        <f>SUM('Bgn&gt;&gt;:&lt;&lt;End'!Q206)</f>
        <v>0</v>
      </c>
      <c r="R206" s="789">
        <f>SUM('Bgn&gt;&gt;:&lt;&lt;End'!R206)</f>
        <v>0</v>
      </c>
      <c r="S206" s="789">
        <f>SUM('Bgn&gt;&gt;:&lt;&lt;End'!S206)</f>
        <v>0</v>
      </c>
      <c r="T206" s="789">
        <f>SUM('Bgn&gt;&gt;:&lt;&lt;End'!T206)</f>
        <v>0</v>
      </c>
      <c r="U206" s="789">
        <f>SUM('Bgn&gt;&gt;:&lt;&lt;End'!U206)</f>
        <v>0</v>
      </c>
      <c r="V206" s="789">
        <f>SUM('Bgn&gt;&gt;:&lt;&lt;End'!V206)</f>
        <v>0</v>
      </c>
      <c r="W206" s="789">
        <f>SUM('Bgn&gt;&gt;:&lt;&lt;End'!W206)</f>
        <v>0</v>
      </c>
      <c r="X206" s="789">
        <f>SUM('Bgn&gt;&gt;:&lt;&lt;End'!X206)</f>
        <v>0</v>
      </c>
      <c r="Y206" s="789">
        <f>SUM('Bgn&gt;&gt;:&lt;&lt;End'!Y206)</f>
        <v>0</v>
      </c>
      <c r="Z206" s="789">
        <f>SUM('Bgn&gt;&gt;:&lt;&lt;End'!Z206)</f>
        <v>0</v>
      </c>
      <c r="AA206" s="789">
        <f>SUM('Bgn&gt;&gt;:&lt;&lt;End'!AA206)</f>
        <v>0</v>
      </c>
      <c r="AB206" s="789">
        <f>SUM('Bgn&gt;&gt;:&lt;&lt;End'!AB206)</f>
        <v>0</v>
      </c>
      <c r="AC206" s="789">
        <f>SUM('Bgn&gt;&gt;:&lt;&lt;End'!AC206)</f>
        <v>0</v>
      </c>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row>
    <row r="207" spans="8:58" s="4" customFormat="1" ht="15.75" x14ac:dyDescent="0.25">
      <c r="H207" s="1"/>
      <c r="I207" s="99"/>
      <c r="J207" s="31" t="s">
        <v>164</v>
      </c>
      <c r="K207" s="31"/>
      <c r="L207" s="287"/>
      <c r="M207" s="1"/>
      <c r="N207" s="789">
        <f>SUM('Bgn&gt;&gt;:&lt;&lt;End'!N207)</f>
        <v>0</v>
      </c>
      <c r="O207" s="789">
        <f>SUM('Bgn&gt;&gt;:&lt;&lt;End'!O207)</f>
        <v>0</v>
      </c>
      <c r="P207" s="789">
        <f>SUM('Bgn&gt;&gt;:&lt;&lt;End'!P207)</f>
        <v>0</v>
      </c>
      <c r="Q207" s="789">
        <f>SUM('Bgn&gt;&gt;:&lt;&lt;End'!Q207)</f>
        <v>0</v>
      </c>
      <c r="R207" s="789">
        <f>SUM('Bgn&gt;&gt;:&lt;&lt;End'!R207)</f>
        <v>0</v>
      </c>
      <c r="S207" s="789">
        <f>SUM('Bgn&gt;&gt;:&lt;&lt;End'!S207)</f>
        <v>0</v>
      </c>
      <c r="T207" s="789">
        <f>SUM('Bgn&gt;&gt;:&lt;&lt;End'!T207)</f>
        <v>0</v>
      </c>
      <c r="U207" s="789">
        <f>SUM('Bgn&gt;&gt;:&lt;&lt;End'!U207)</f>
        <v>0</v>
      </c>
      <c r="V207" s="789">
        <f>SUM('Bgn&gt;&gt;:&lt;&lt;End'!V207)</f>
        <v>0</v>
      </c>
      <c r="W207" s="789">
        <f>SUM('Bgn&gt;&gt;:&lt;&lt;End'!W207)</f>
        <v>0</v>
      </c>
      <c r="X207" s="789">
        <f>SUM('Bgn&gt;&gt;:&lt;&lt;End'!X207)</f>
        <v>0</v>
      </c>
      <c r="Y207" s="789">
        <f>SUM('Bgn&gt;&gt;:&lt;&lt;End'!Y207)</f>
        <v>0</v>
      </c>
      <c r="Z207" s="789">
        <f>SUM('Bgn&gt;&gt;:&lt;&lt;End'!Z207)</f>
        <v>0</v>
      </c>
      <c r="AA207" s="789">
        <f>SUM('Bgn&gt;&gt;:&lt;&lt;End'!AA207)</f>
        <v>0</v>
      </c>
      <c r="AB207" s="789">
        <f>SUM('Bgn&gt;&gt;:&lt;&lt;End'!AB207)</f>
        <v>0</v>
      </c>
      <c r="AC207" s="789">
        <f>SUM('Bgn&gt;&gt;:&lt;&lt;End'!AC207)</f>
        <v>0</v>
      </c>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row>
    <row r="208" spans="8:58" s="4" customFormat="1" ht="15.75" x14ac:dyDescent="0.25">
      <c r="H208" s="1"/>
      <c r="I208" s="99"/>
      <c r="J208" s="31" t="s">
        <v>165</v>
      </c>
      <c r="K208" s="31"/>
      <c r="L208" s="289"/>
      <c r="M208" s="1"/>
      <c r="N208" s="789">
        <f>SUM('Bgn&gt;&gt;:&lt;&lt;End'!N208)</f>
        <v>0</v>
      </c>
      <c r="O208" s="789">
        <f>SUM('Bgn&gt;&gt;:&lt;&lt;End'!O208)</f>
        <v>0</v>
      </c>
      <c r="P208" s="789">
        <f>SUM('Bgn&gt;&gt;:&lt;&lt;End'!P208)</f>
        <v>0</v>
      </c>
      <c r="Q208" s="789">
        <f>SUM('Bgn&gt;&gt;:&lt;&lt;End'!Q208)</f>
        <v>0</v>
      </c>
      <c r="R208" s="789">
        <f>SUM('Bgn&gt;&gt;:&lt;&lt;End'!R208)</f>
        <v>0</v>
      </c>
      <c r="S208" s="789">
        <f>SUM('Bgn&gt;&gt;:&lt;&lt;End'!S208)</f>
        <v>0</v>
      </c>
      <c r="T208" s="789">
        <f>SUM('Bgn&gt;&gt;:&lt;&lt;End'!T208)</f>
        <v>0</v>
      </c>
      <c r="U208" s="789">
        <f>SUM('Bgn&gt;&gt;:&lt;&lt;End'!U208)</f>
        <v>0</v>
      </c>
      <c r="V208" s="789">
        <f>SUM('Bgn&gt;&gt;:&lt;&lt;End'!V208)</f>
        <v>0</v>
      </c>
      <c r="W208" s="789">
        <f>SUM('Bgn&gt;&gt;:&lt;&lt;End'!W208)</f>
        <v>0</v>
      </c>
      <c r="X208" s="789">
        <f>SUM('Bgn&gt;&gt;:&lt;&lt;End'!X208)</f>
        <v>0</v>
      </c>
      <c r="Y208" s="789">
        <f>SUM('Bgn&gt;&gt;:&lt;&lt;End'!Y208)</f>
        <v>0</v>
      </c>
      <c r="Z208" s="789">
        <f>SUM('Bgn&gt;&gt;:&lt;&lt;End'!Z208)</f>
        <v>0</v>
      </c>
      <c r="AA208" s="789">
        <f>SUM('Bgn&gt;&gt;:&lt;&lt;End'!AA208)</f>
        <v>0</v>
      </c>
      <c r="AB208" s="789">
        <f>SUM('Bgn&gt;&gt;:&lt;&lt;End'!AB208)</f>
        <v>0</v>
      </c>
      <c r="AC208" s="789">
        <f>SUM('Bgn&gt;&gt;:&lt;&lt;End'!AC208)</f>
        <v>0</v>
      </c>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row>
    <row r="209" spans="8:58" s="4" customFormat="1" thickBot="1" x14ac:dyDescent="0.3">
      <c r="H209" s="1"/>
      <c r="I209" s="99"/>
      <c r="J209" s="263" t="s">
        <v>166</v>
      </c>
      <c r="K209" s="263"/>
      <c r="L209" s="290"/>
      <c r="M209" s="1"/>
      <c r="N209" s="837">
        <f t="shared" ref="N209:AC209" si="125">SUM(N199:N208)</f>
        <v>0</v>
      </c>
      <c r="O209" s="837">
        <f t="shared" si="125"/>
        <v>0</v>
      </c>
      <c r="P209" s="837">
        <f t="shared" si="125"/>
        <v>0</v>
      </c>
      <c r="Q209" s="837">
        <f t="shared" si="125"/>
        <v>0</v>
      </c>
      <c r="R209" s="837">
        <f t="shared" si="125"/>
        <v>0</v>
      </c>
      <c r="S209" s="837">
        <f t="shared" si="125"/>
        <v>0</v>
      </c>
      <c r="T209" s="837">
        <f t="shared" si="125"/>
        <v>0</v>
      </c>
      <c r="U209" s="837">
        <f t="shared" si="125"/>
        <v>0</v>
      </c>
      <c r="V209" s="837">
        <f t="shared" si="125"/>
        <v>0</v>
      </c>
      <c r="W209" s="837">
        <f t="shared" si="125"/>
        <v>0</v>
      </c>
      <c r="X209" s="837">
        <f t="shared" si="125"/>
        <v>0</v>
      </c>
      <c r="Y209" s="837">
        <f t="shared" si="125"/>
        <v>0</v>
      </c>
      <c r="Z209" s="837">
        <f t="shared" si="125"/>
        <v>0</v>
      </c>
      <c r="AA209" s="837">
        <f t="shared" si="125"/>
        <v>0</v>
      </c>
      <c r="AB209" s="837">
        <f t="shared" si="125"/>
        <v>0</v>
      </c>
      <c r="AC209" s="837">
        <f t="shared" si="125"/>
        <v>0</v>
      </c>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row>
    <row r="210" spans="8:58" s="4" customFormat="1" thickTop="1" x14ac:dyDescent="0.25">
      <c r="H210" s="1"/>
      <c r="I210" s="99">
        <v>2</v>
      </c>
      <c r="J210" s="67" t="s">
        <v>167</v>
      </c>
      <c r="K210" s="31"/>
      <c r="L210" s="287"/>
      <c r="M210" s="1"/>
      <c r="N210" s="838"/>
      <c r="O210" s="838"/>
      <c r="P210" s="838"/>
      <c r="Q210" s="838"/>
      <c r="R210" s="838"/>
      <c r="S210" s="838"/>
      <c r="T210" s="838"/>
      <c r="U210" s="838"/>
      <c r="V210" s="838"/>
      <c r="W210" s="838"/>
      <c r="X210" s="838"/>
      <c r="Y210" s="838"/>
      <c r="Z210" s="838"/>
      <c r="AA210" s="838"/>
      <c r="AB210" s="838"/>
      <c r="AC210" s="838"/>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row>
    <row r="211" spans="8:58" s="4" customFormat="1" ht="15.75" x14ac:dyDescent="0.25">
      <c r="H211" s="1"/>
      <c r="I211" s="99"/>
      <c r="J211" s="31" t="s">
        <v>168</v>
      </c>
      <c r="K211" s="31"/>
      <c r="L211" s="287"/>
      <c r="M211" s="1"/>
      <c r="N211" s="789">
        <f>SUM('Bgn&gt;&gt;:&lt;&lt;End'!N211)</f>
        <v>0</v>
      </c>
      <c r="O211" s="789">
        <f>SUM('Bgn&gt;&gt;:&lt;&lt;End'!O211)</f>
        <v>0</v>
      </c>
      <c r="P211" s="789">
        <f>SUM('Bgn&gt;&gt;:&lt;&lt;End'!P211)</f>
        <v>0</v>
      </c>
      <c r="Q211" s="789">
        <f>SUM('Bgn&gt;&gt;:&lt;&lt;End'!Q211)</f>
        <v>0</v>
      </c>
      <c r="R211" s="789">
        <f>SUM('Bgn&gt;&gt;:&lt;&lt;End'!R211)</f>
        <v>0</v>
      </c>
      <c r="S211" s="789">
        <f>SUM('Bgn&gt;&gt;:&lt;&lt;End'!S211)</f>
        <v>0</v>
      </c>
      <c r="T211" s="789">
        <f>SUM('Bgn&gt;&gt;:&lt;&lt;End'!T211)</f>
        <v>0</v>
      </c>
      <c r="U211" s="789">
        <f>SUM('Bgn&gt;&gt;:&lt;&lt;End'!U211)</f>
        <v>0</v>
      </c>
      <c r="V211" s="789">
        <f>SUM('Bgn&gt;&gt;:&lt;&lt;End'!V211)</f>
        <v>0</v>
      </c>
      <c r="W211" s="789">
        <f>SUM('Bgn&gt;&gt;:&lt;&lt;End'!W211)</f>
        <v>0</v>
      </c>
      <c r="X211" s="789">
        <f>SUM('Bgn&gt;&gt;:&lt;&lt;End'!X211)</f>
        <v>0</v>
      </c>
      <c r="Y211" s="789">
        <f>SUM('Bgn&gt;&gt;:&lt;&lt;End'!Y211)</f>
        <v>0</v>
      </c>
      <c r="Z211" s="789">
        <f>SUM('Bgn&gt;&gt;:&lt;&lt;End'!Z211)</f>
        <v>0</v>
      </c>
      <c r="AA211" s="789">
        <f>SUM('Bgn&gt;&gt;:&lt;&lt;End'!AA211)</f>
        <v>0</v>
      </c>
      <c r="AB211" s="789">
        <f>SUM('Bgn&gt;&gt;:&lt;&lt;End'!AB211)</f>
        <v>0</v>
      </c>
      <c r="AC211" s="789">
        <f>SUM('Bgn&gt;&gt;:&lt;&lt;End'!AC211)</f>
        <v>0</v>
      </c>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row>
    <row r="212" spans="8:58" s="4" customFormat="1" ht="15.75" x14ac:dyDescent="0.25">
      <c r="H212" s="1"/>
      <c r="I212" s="99"/>
      <c r="J212" s="31" t="s">
        <v>169</v>
      </c>
      <c r="K212" s="31"/>
      <c r="L212" s="287"/>
      <c r="M212" s="1"/>
      <c r="N212" s="789">
        <f>SUM('Bgn&gt;&gt;:&lt;&lt;End'!N212)</f>
        <v>0</v>
      </c>
      <c r="O212" s="789">
        <f>SUM('Bgn&gt;&gt;:&lt;&lt;End'!O212)</f>
        <v>0</v>
      </c>
      <c r="P212" s="789">
        <f>SUM('Bgn&gt;&gt;:&lt;&lt;End'!P212)</f>
        <v>0</v>
      </c>
      <c r="Q212" s="789">
        <f>SUM('Bgn&gt;&gt;:&lt;&lt;End'!Q212)</f>
        <v>0</v>
      </c>
      <c r="R212" s="789">
        <f>SUM('Bgn&gt;&gt;:&lt;&lt;End'!R212)</f>
        <v>0</v>
      </c>
      <c r="S212" s="789">
        <f>SUM('Bgn&gt;&gt;:&lt;&lt;End'!S212)</f>
        <v>0</v>
      </c>
      <c r="T212" s="789">
        <f>SUM('Bgn&gt;&gt;:&lt;&lt;End'!T212)</f>
        <v>0</v>
      </c>
      <c r="U212" s="789">
        <f>SUM('Bgn&gt;&gt;:&lt;&lt;End'!U212)</f>
        <v>0</v>
      </c>
      <c r="V212" s="789">
        <f>SUM('Bgn&gt;&gt;:&lt;&lt;End'!V212)</f>
        <v>0</v>
      </c>
      <c r="W212" s="789">
        <f>SUM('Bgn&gt;&gt;:&lt;&lt;End'!W212)</f>
        <v>0</v>
      </c>
      <c r="X212" s="789">
        <f>SUM('Bgn&gt;&gt;:&lt;&lt;End'!X212)</f>
        <v>0</v>
      </c>
      <c r="Y212" s="789">
        <f>SUM('Bgn&gt;&gt;:&lt;&lt;End'!Y212)</f>
        <v>0</v>
      </c>
      <c r="Z212" s="789">
        <f>SUM('Bgn&gt;&gt;:&lt;&lt;End'!Z212)</f>
        <v>0</v>
      </c>
      <c r="AA212" s="789">
        <f>SUM('Bgn&gt;&gt;:&lt;&lt;End'!AA212)</f>
        <v>0</v>
      </c>
      <c r="AB212" s="789">
        <f>SUM('Bgn&gt;&gt;:&lt;&lt;End'!AB212)</f>
        <v>0</v>
      </c>
      <c r="AC212" s="789">
        <f>SUM('Bgn&gt;&gt;:&lt;&lt;End'!AC212)</f>
        <v>0</v>
      </c>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row>
    <row r="213" spans="8:58" s="4" customFormat="1" ht="15.75" x14ac:dyDescent="0.25">
      <c r="H213" s="1"/>
      <c r="I213" s="99"/>
      <c r="J213" s="31" t="s">
        <v>170</v>
      </c>
      <c r="K213" s="31"/>
      <c r="L213" s="289"/>
      <c r="M213" s="1"/>
      <c r="N213" s="789">
        <f>SUM('Bgn&gt;&gt;:&lt;&lt;End'!N213)</f>
        <v>0</v>
      </c>
      <c r="O213" s="789">
        <f>SUM('Bgn&gt;&gt;:&lt;&lt;End'!O213)</f>
        <v>0</v>
      </c>
      <c r="P213" s="789">
        <f>SUM('Bgn&gt;&gt;:&lt;&lt;End'!P213)</f>
        <v>0</v>
      </c>
      <c r="Q213" s="789">
        <f>SUM('Bgn&gt;&gt;:&lt;&lt;End'!Q213)</f>
        <v>0</v>
      </c>
      <c r="R213" s="789">
        <f>SUM('Bgn&gt;&gt;:&lt;&lt;End'!R213)</f>
        <v>0</v>
      </c>
      <c r="S213" s="789">
        <f>SUM('Bgn&gt;&gt;:&lt;&lt;End'!S213)</f>
        <v>0</v>
      </c>
      <c r="T213" s="789">
        <f>SUM('Bgn&gt;&gt;:&lt;&lt;End'!T213)</f>
        <v>0</v>
      </c>
      <c r="U213" s="789">
        <f>SUM('Bgn&gt;&gt;:&lt;&lt;End'!U213)</f>
        <v>0</v>
      </c>
      <c r="V213" s="789">
        <f>SUM('Bgn&gt;&gt;:&lt;&lt;End'!V213)</f>
        <v>0</v>
      </c>
      <c r="W213" s="789">
        <f>SUM('Bgn&gt;&gt;:&lt;&lt;End'!W213)</f>
        <v>0</v>
      </c>
      <c r="X213" s="789">
        <f>SUM('Bgn&gt;&gt;:&lt;&lt;End'!X213)</f>
        <v>0</v>
      </c>
      <c r="Y213" s="789">
        <f>SUM('Bgn&gt;&gt;:&lt;&lt;End'!Y213)</f>
        <v>0</v>
      </c>
      <c r="Z213" s="789">
        <f>SUM('Bgn&gt;&gt;:&lt;&lt;End'!Z213)</f>
        <v>0</v>
      </c>
      <c r="AA213" s="789">
        <f>SUM('Bgn&gt;&gt;:&lt;&lt;End'!AA213)</f>
        <v>0</v>
      </c>
      <c r="AB213" s="789">
        <f>SUM('Bgn&gt;&gt;:&lt;&lt;End'!AB213)</f>
        <v>0</v>
      </c>
      <c r="AC213" s="789">
        <f>SUM('Bgn&gt;&gt;:&lt;&lt;End'!AC213)</f>
        <v>0</v>
      </c>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row>
    <row r="214" spans="8:58" s="4" customFormat="1" ht="15.75" x14ac:dyDescent="0.25">
      <c r="H214" s="1"/>
      <c r="I214" s="99"/>
      <c r="J214" s="210" t="s">
        <v>171</v>
      </c>
      <c r="K214" s="210"/>
      <c r="L214" s="292"/>
      <c r="M214" s="1"/>
      <c r="N214" s="839">
        <f t="shared" ref="N214:AC214" si="126">SUM(N211:N213)</f>
        <v>0</v>
      </c>
      <c r="O214" s="839">
        <f t="shared" si="126"/>
        <v>0</v>
      </c>
      <c r="P214" s="839">
        <f t="shared" si="126"/>
        <v>0</v>
      </c>
      <c r="Q214" s="839">
        <f t="shared" si="126"/>
        <v>0</v>
      </c>
      <c r="R214" s="839">
        <f t="shared" si="126"/>
        <v>0</v>
      </c>
      <c r="S214" s="839">
        <f t="shared" si="126"/>
        <v>0</v>
      </c>
      <c r="T214" s="839">
        <f t="shared" si="126"/>
        <v>0</v>
      </c>
      <c r="U214" s="839">
        <f t="shared" si="126"/>
        <v>0</v>
      </c>
      <c r="V214" s="839">
        <f t="shared" si="126"/>
        <v>0</v>
      </c>
      <c r="W214" s="839">
        <f t="shared" si="126"/>
        <v>0</v>
      </c>
      <c r="X214" s="839">
        <f t="shared" si="126"/>
        <v>0</v>
      </c>
      <c r="Y214" s="839">
        <f t="shared" si="126"/>
        <v>0</v>
      </c>
      <c r="Z214" s="839">
        <f t="shared" si="126"/>
        <v>0</v>
      </c>
      <c r="AA214" s="839">
        <f t="shared" si="126"/>
        <v>0</v>
      </c>
      <c r="AB214" s="839">
        <f t="shared" si="126"/>
        <v>0</v>
      </c>
      <c r="AC214" s="839">
        <f t="shared" si="126"/>
        <v>0</v>
      </c>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row>
    <row r="215" spans="8:58" s="4" customFormat="1" ht="15.75" x14ac:dyDescent="0.25">
      <c r="H215" s="1"/>
      <c r="I215" s="99"/>
      <c r="J215" s="67" t="s">
        <v>172</v>
      </c>
      <c r="K215" s="31"/>
      <c r="L215" s="293"/>
      <c r="M215" s="1"/>
      <c r="N215" s="838"/>
      <c r="O215" s="838"/>
      <c r="P215" s="838"/>
      <c r="Q215" s="838"/>
      <c r="R215" s="838"/>
      <c r="S215" s="838"/>
      <c r="T215" s="838"/>
      <c r="U215" s="838"/>
      <c r="V215" s="838"/>
      <c r="W215" s="838"/>
      <c r="X215" s="838"/>
      <c r="Y215" s="838"/>
      <c r="Z215" s="838"/>
      <c r="AA215" s="838"/>
      <c r="AB215" s="838"/>
      <c r="AC215" s="838"/>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row>
    <row r="216" spans="8:58" s="4" customFormat="1" ht="15.75" x14ac:dyDescent="0.25">
      <c r="H216" s="1"/>
      <c r="I216" s="99"/>
      <c r="J216" s="31" t="s">
        <v>173</v>
      </c>
      <c r="K216" s="31"/>
      <c r="L216" s="289"/>
      <c r="M216" s="1"/>
      <c r="N216" s="789">
        <f>SUM('Bgn&gt;&gt;:&lt;&lt;End'!N216)</f>
        <v>0</v>
      </c>
      <c r="O216" s="789">
        <f>SUM('Bgn&gt;&gt;:&lt;&lt;End'!O216)</f>
        <v>0</v>
      </c>
      <c r="P216" s="789">
        <f>SUM('Bgn&gt;&gt;:&lt;&lt;End'!P216)</f>
        <v>0</v>
      </c>
      <c r="Q216" s="789">
        <f>SUM('Bgn&gt;&gt;:&lt;&lt;End'!Q216)</f>
        <v>0</v>
      </c>
      <c r="R216" s="789">
        <f>SUM('Bgn&gt;&gt;:&lt;&lt;End'!R216)</f>
        <v>0</v>
      </c>
      <c r="S216" s="789">
        <f>SUM('Bgn&gt;&gt;:&lt;&lt;End'!S216)</f>
        <v>0</v>
      </c>
      <c r="T216" s="789">
        <f>SUM('Bgn&gt;&gt;:&lt;&lt;End'!T216)</f>
        <v>0</v>
      </c>
      <c r="U216" s="789">
        <f>SUM('Bgn&gt;&gt;:&lt;&lt;End'!U216)</f>
        <v>0</v>
      </c>
      <c r="V216" s="789">
        <f>SUM('Bgn&gt;&gt;:&lt;&lt;End'!V216)</f>
        <v>0</v>
      </c>
      <c r="W216" s="789">
        <f>SUM('Bgn&gt;&gt;:&lt;&lt;End'!W216)</f>
        <v>0</v>
      </c>
      <c r="X216" s="789">
        <f>SUM('Bgn&gt;&gt;:&lt;&lt;End'!X216)</f>
        <v>0</v>
      </c>
      <c r="Y216" s="789">
        <f>SUM('Bgn&gt;&gt;:&lt;&lt;End'!Y216)</f>
        <v>0</v>
      </c>
      <c r="Z216" s="789">
        <f>SUM('Bgn&gt;&gt;:&lt;&lt;End'!Z216)</f>
        <v>0</v>
      </c>
      <c r="AA216" s="789">
        <f>SUM('Bgn&gt;&gt;:&lt;&lt;End'!AA216)</f>
        <v>0</v>
      </c>
      <c r="AB216" s="789">
        <f>SUM('Bgn&gt;&gt;:&lt;&lt;End'!AB216)</f>
        <v>0</v>
      </c>
      <c r="AC216" s="789">
        <f>SUM('Bgn&gt;&gt;:&lt;&lt;End'!AC216)</f>
        <v>0</v>
      </c>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row>
    <row r="217" spans="8:58" s="4" customFormat="1" ht="15.75" x14ac:dyDescent="0.25">
      <c r="H217" s="1"/>
      <c r="I217" s="99"/>
      <c r="J217" s="31" t="s">
        <v>174</v>
      </c>
      <c r="K217" s="31"/>
      <c r="L217" s="289"/>
      <c r="M217" s="1"/>
      <c r="N217" s="789">
        <f>SUM('Bgn&gt;&gt;:&lt;&lt;End'!N217)</f>
        <v>0</v>
      </c>
      <c r="O217" s="789">
        <f>SUM('Bgn&gt;&gt;:&lt;&lt;End'!O217)</f>
        <v>0</v>
      </c>
      <c r="P217" s="789">
        <f>SUM('Bgn&gt;&gt;:&lt;&lt;End'!P217)</f>
        <v>0</v>
      </c>
      <c r="Q217" s="789">
        <f>SUM('Bgn&gt;&gt;:&lt;&lt;End'!Q217)</f>
        <v>0</v>
      </c>
      <c r="R217" s="789">
        <f>SUM('Bgn&gt;&gt;:&lt;&lt;End'!R217)</f>
        <v>0</v>
      </c>
      <c r="S217" s="789">
        <f>SUM('Bgn&gt;&gt;:&lt;&lt;End'!S217)</f>
        <v>0</v>
      </c>
      <c r="T217" s="789">
        <f>SUM('Bgn&gt;&gt;:&lt;&lt;End'!T217)</f>
        <v>0</v>
      </c>
      <c r="U217" s="789">
        <f>SUM('Bgn&gt;&gt;:&lt;&lt;End'!U217)</f>
        <v>0</v>
      </c>
      <c r="V217" s="789">
        <f>SUM('Bgn&gt;&gt;:&lt;&lt;End'!V217)</f>
        <v>0</v>
      </c>
      <c r="W217" s="789">
        <f>SUM('Bgn&gt;&gt;:&lt;&lt;End'!W217)</f>
        <v>0</v>
      </c>
      <c r="X217" s="789">
        <f>SUM('Bgn&gt;&gt;:&lt;&lt;End'!X217)</f>
        <v>0</v>
      </c>
      <c r="Y217" s="789">
        <f>SUM('Bgn&gt;&gt;:&lt;&lt;End'!Y217)</f>
        <v>0</v>
      </c>
      <c r="Z217" s="789">
        <f>SUM('Bgn&gt;&gt;:&lt;&lt;End'!Z217)</f>
        <v>0</v>
      </c>
      <c r="AA217" s="789">
        <f>SUM('Bgn&gt;&gt;:&lt;&lt;End'!AA217)</f>
        <v>0</v>
      </c>
      <c r="AB217" s="789">
        <f>SUM('Bgn&gt;&gt;:&lt;&lt;End'!AB217)</f>
        <v>0</v>
      </c>
      <c r="AC217" s="789">
        <f>SUM('Bgn&gt;&gt;:&lt;&lt;End'!AC217)</f>
        <v>0</v>
      </c>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row>
    <row r="218" spans="8:58" s="4" customFormat="1" ht="15.75" x14ac:dyDescent="0.25">
      <c r="H218" s="1"/>
      <c r="I218" s="99"/>
      <c r="J218" s="222" t="s">
        <v>172</v>
      </c>
      <c r="K218" s="222"/>
      <c r="L218" s="294"/>
      <c r="M218" s="1"/>
      <c r="N218" s="840">
        <f t="shared" ref="N218:AC218" si="127">SUM(N216:N217)</f>
        <v>0</v>
      </c>
      <c r="O218" s="840">
        <f t="shared" si="127"/>
        <v>0</v>
      </c>
      <c r="P218" s="840">
        <f t="shared" si="127"/>
        <v>0</v>
      </c>
      <c r="Q218" s="840">
        <f t="shared" si="127"/>
        <v>0</v>
      </c>
      <c r="R218" s="840">
        <f t="shared" si="127"/>
        <v>0</v>
      </c>
      <c r="S218" s="840">
        <f t="shared" si="127"/>
        <v>0</v>
      </c>
      <c r="T218" s="840">
        <f t="shared" si="127"/>
        <v>0</v>
      </c>
      <c r="U218" s="840">
        <f t="shared" si="127"/>
        <v>0</v>
      </c>
      <c r="V218" s="840">
        <f t="shared" si="127"/>
        <v>0</v>
      </c>
      <c r="W218" s="840">
        <f t="shared" si="127"/>
        <v>0</v>
      </c>
      <c r="X218" s="840">
        <f t="shared" si="127"/>
        <v>0</v>
      </c>
      <c r="Y218" s="840">
        <f t="shared" si="127"/>
        <v>0</v>
      </c>
      <c r="Z218" s="840">
        <f t="shared" si="127"/>
        <v>0</v>
      </c>
      <c r="AA218" s="840">
        <f t="shared" si="127"/>
        <v>0</v>
      </c>
      <c r="AB218" s="840">
        <f t="shared" si="127"/>
        <v>0</v>
      </c>
      <c r="AC218" s="840">
        <f t="shared" si="127"/>
        <v>0</v>
      </c>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row>
    <row r="219" spans="8:58" s="4" customFormat="1" thickBot="1" x14ac:dyDescent="0.3">
      <c r="H219" s="1"/>
      <c r="I219" s="99"/>
      <c r="J219" s="263" t="s">
        <v>175</v>
      </c>
      <c r="K219" s="263"/>
      <c r="L219" s="290"/>
      <c r="M219" s="1"/>
      <c r="N219" s="837">
        <f>N214+N218</f>
        <v>0</v>
      </c>
      <c r="O219" s="837">
        <f t="shared" ref="O219:AC219" si="128">O214+O218</f>
        <v>0</v>
      </c>
      <c r="P219" s="837">
        <f t="shared" si="128"/>
        <v>0</v>
      </c>
      <c r="Q219" s="837">
        <f t="shared" si="128"/>
        <v>0</v>
      </c>
      <c r="R219" s="837">
        <f t="shared" si="128"/>
        <v>0</v>
      </c>
      <c r="S219" s="837">
        <f t="shared" si="128"/>
        <v>0</v>
      </c>
      <c r="T219" s="837">
        <f t="shared" si="128"/>
        <v>0</v>
      </c>
      <c r="U219" s="837">
        <f t="shared" si="128"/>
        <v>0</v>
      </c>
      <c r="V219" s="837">
        <f t="shared" si="128"/>
        <v>0</v>
      </c>
      <c r="W219" s="837">
        <f t="shared" si="128"/>
        <v>0</v>
      </c>
      <c r="X219" s="837">
        <f t="shared" si="128"/>
        <v>0</v>
      </c>
      <c r="Y219" s="837">
        <f t="shared" si="128"/>
        <v>0</v>
      </c>
      <c r="Z219" s="837">
        <f t="shared" si="128"/>
        <v>0</v>
      </c>
      <c r="AA219" s="837">
        <f t="shared" si="128"/>
        <v>0</v>
      </c>
      <c r="AB219" s="837">
        <f t="shared" si="128"/>
        <v>0</v>
      </c>
      <c r="AC219" s="837">
        <f t="shared" si="128"/>
        <v>0</v>
      </c>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row>
    <row r="220" spans="8:58" s="4" customFormat="1" thickTop="1" x14ac:dyDescent="0.25">
      <c r="H220" s="1"/>
      <c r="I220" s="99"/>
      <c r="J220" s="295" t="s">
        <v>176</v>
      </c>
      <c r="K220" s="296"/>
      <c r="L220" s="297"/>
      <c r="M220" s="1"/>
      <c r="N220" s="298" t="str">
        <f>IF(ABS(N219-N209)&lt;1,"OK","Wrong")</f>
        <v>OK</v>
      </c>
      <c r="O220" s="298" t="str">
        <f>IF(ABS(O219-O209)&lt;1,"OK","Wrong")</f>
        <v>OK</v>
      </c>
      <c r="P220" s="298" t="str">
        <f t="shared" ref="P220:AC220" si="129">IF(ABS(P219-P209)&lt;1,"OK","Wrong")</f>
        <v>OK</v>
      </c>
      <c r="Q220" s="298" t="str">
        <f t="shared" si="129"/>
        <v>OK</v>
      </c>
      <c r="R220" s="298" t="str">
        <f t="shared" si="129"/>
        <v>OK</v>
      </c>
      <c r="S220" s="298" t="str">
        <f t="shared" si="129"/>
        <v>OK</v>
      </c>
      <c r="T220" s="298" t="str">
        <f t="shared" si="129"/>
        <v>OK</v>
      </c>
      <c r="U220" s="298" t="str">
        <f t="shared" si="129"/>
        <v>OK</v>
      </c>
      <c r="V220" s="298" t="str">
        <f t="shared" si="129"/>
        <v>OK</v>
      </c>
      <c r="W220" s="298" t="str">
        <f t="shared" si="129"/>
        <v>OK</v>
      </c>
      <c r="X220" s="298" t="str">
        <f t="shared" si="129"/>
        <v>OK</v>
      </c>
      <c r="Y220" s="298" t="str">
        <f t="shared" si="129"/>
        <v>OK</v>
      </c>
      <c r="Z220" s="298" t="str">
        <f t="shared" si="129"/>
        <v>OK</v>
      </c>
      <c r="AA220" s="298" t="str">
        <f t="shared" si="129"/>
        <v>OK</v>
      </c>
      <c r="AB220" s="298" t="str">
        <f t="shared" si="129"/>
        <v>OK</v>
      </c>
      <c r="AC220" s="298" t="str">
        <f t="shared" si="129"/>
        <v>OK</v>
      </c>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row>
    <row r="221" spans="8:58" s="4" customFormat="1" ht="15.75" x14ac:dyDescent="0.25">
      <c r="H221" s="1"/>
      <c r="I221" s="99"/>
      <c r="J221" s="296" t="s">
        <v>177</v>
      </c>
      <c r="K221" s="296"/>
      <c r="L221" s="297"/>
      <c r="M221" s="1"/>
      <c r="N221" s="299" t="str">
        <f>IF(ABS(((N217)-N171))&lt;1,"OK","Wrong")</f>
        <v>OK</v>
      </c>
      <c r="O221" s="298" t="str">
        <f t="shared" ref="O221:AC221" si="130">IF(ABS(((O217-N217)-O171))&lt;1,"OK","Wrong")</f>
        <v>OK</v>
      </c>
      <c r="P221" s="298" t="str">
        <f t="shared" si="130"/>
        <v>OK</v>
      </c>
      <c r="Q221" s="298" t="str">
        <f t="shared" si="130"/>
        <v>OK</v>
      </c>
      <c r="R221" s="298" t="str">
        <f t="shared" si="130"/>
        <v>OK</v>
      </c>
      <c r="S221" s="298" t="str">
        <f t="shared" si="130"/>
        <v>OK</v>
      </c>
      <c r="T221" s="298" t="str">
        <f t="shared" si="130"/>
        <v>OK</v>
      </c>
      <c r="U221" s="298" t="str">
        <f t="shared" si="130"/>
        <v>OK</v>
      </c>
      <c r="V221" s="298" t="str">
        <f t="shared" si="130"/>
        <v>OK</v>
      </c>
      <c r="W221" s="298" t="str">
        <f t="shared" si="130"/>
        <v>OK</v>
      </c>
      <c r="X221" s="298" t="str">
        <f t="shared" si="130"/>
        <v>OK</v>
      </c>
      <c r="Y221" s="298" t="str">
        <f t="shared" si="130"/>
        <v>OK</v>
      </c>
      <c r="Z221" s="298" t="str">
        <f t="shared" si="130"/>
        <v>OK</v>
      </c>
      <c r="AA221" s="298" t="str">
        <f t="shared" si="130"/>
        <v>OK</v>
      </c>
      <c r="AB221" s="298" t="str">
        <f t="shared" si="130"/>
        <v>OK</v>
      </c>
      <c r="AC221" s="298" t="str">
        <f t="shared" si="130"/>
        <v>OK</v>
      </c>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row>
    <row r="222" spans="8:58" s="4" customFormat="1" thickBot="1" x14ac:dyDescent="0.3">
      <c r="H222" s="1"/>
      <c r="I222" s="99"/>
      <c r="J222" s="31"/>
      <c r="K222" s="31"/>
      <c r="L222" s="169"/>
      <c r="M222" s="1"/>
      <c r="N222" s="31"/>
      <c r="O222" s="31"/>
      <c r="P222" s="31"/>
      <c r="Q222" s="31"/>
      <c r="R222" s="31"/>
      <c r="S222" s="31"/>
      <c r="T222" s="31"/>
      <c r="U222" s="31"/>
      <c r="V222" s="31"/>
      <c r="W222" s="31"/>
      <c r="X222" s="31"/>
      <c r="Y222" s="31"/>
      <c r="Z222" s="31"/>
      <c r="AA222" s="31"/>
      <c r="AB222" s="31"/>
      <c r="AC222" s="31"/>
      <c r="AD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row>
    <row r="223" spans="8:58" s="4" customFormat="1" ht="18" x14ac:dyDescent="0.2">
      <c r="H223" s="1"/>
      <c r="I223" s="132">
        <v>5</v>
      </c>
      <c r="J223" s="33" t="s">
        <v>178</v>
      </c>
      <c r="K223" s="33"/>
      <c r="L223" s="34" t="s">
        <v>11</v>
      </c>
      <c r="M223" s="1"/>
      <c r="N223" s="133">
        <f>N$11</f>
        <v>2024</v>
      </c>
      <c r="O223" s="133">
        <f t="shared" ref="O223:AC223" si="131">O$11</f>
        <v>2025</v>
      </c>
      <c r="P223" s="133">
        <f t="shared" si="131"/>
        <v>2026</v>
      </c>
      <c r="Q223" s="133">
        <f t="shared" si="131"/>
        <v>2027</v>
      </c>
      <c r="R223" s="133">
        <f t="shared" si="131"/>
        <v>2028</v>
      </c>
      <c r="S223" s="133">
        <f t="shared" si="131"/>
        <v>2029</v>
      </c>
      <c r="T223" s="133">
        <f t="shared" si="131"/>
        <v>2030</v>
      </c>
      <c r="U223" s="133">
        <f t="shared" si="131"/>
        <v>2031</v>
      </c>
      <c r="V223" s="133">
        <f t="shared" si="131"/>
        <v>2032</v>
      </c>
      <c r="W223" s="133">
        <f t="shared" si="131"/>
        <v>2033</v>
      </c>
      <c r="X223" s="133">
        <f t="shared" si="131"/>
        <v>2034</v>
      </c>
      <c r="Y223" s="133">
        <f t="shared" si="131"/>
        <v>2035</v>
      </c>
      <c r="Z223" s="133">
        <f t="shared" si="131"/>
        <v>2036</v>
      </c>
      <c r="AA223" s="133">
        <f t="shared" si="131"/>
        <v>2037</v>
      </c>
      <c r="AB223" s="133">
        <f t="shared" si="131"/>
        <v>2038</v>
      </c>
      <c r="AC223" s="133">
        <f t="shared" si="131"/>
        <v>2039</v>
      </c>
      <c r="AD223" s="1"/>
      <c r="AE223" s="1"/>
      <c r="AV223" s="1"/>
      <c r="AW223" s="1"/>
      <c r="AX223" s="1"/>
      <c r="AY223" s="1"/>
      <c r="AZ223" s="1"/>
      <c r="BA223" s="1"/>
      <c r="BB223" s="1"/>
      <c r="BC223" s="1"/>
      <c r="BD223" s="1"/>
      <c r="BE223" s="1"/>
      <c r="BF223" s="1"/>
    </row>
    <row r="224" spans="8:58" s="4" customFormat="1" ht="15.75" x14ac:dyDescent="0.25">
      <c r="H224" s="1"/>
      <c r="I224" s="99">
        <v>1</v>
      </c>
      <c r="J224" s="67" t="s">
        <v>179</v>
      </c>
      <c r="K224" s="31"/>
      <c r="L224" s="300"/>
      <c r="M224" s="1"/>
      <c r="N224" s="31"/>
      <c r="O224" s="31"/>
      <c r="P224" s="31"/>
      <c r="Q224" s="31"/>
      <c r="R224" s="31"/>
      <c r="S224" s="31"/>
      <c r="T224" s="31"/>
      <c r="U224" s="31"/>
      <c r="V224" s="31"/>
      <c r="W224" s="31"/>
      <c r="X224" s="31"/>
      <c r="Y224" s="31"/>
      <c r="Z224" s="31"/>
      <c r="AA224" s="31"/>
      <c r="AB224" s="31"/>
      <c r="AC224" s="31"/>
      <c r="AD224" s="1"/>
      <c r="AE224" s="1"/>
      <c r="AV224" s="1"/>
      <c r="AW224" s="1"/>
      <c r="AX224" s="1"/>
      <c r="AY224" s="1"/>
      <c r="AZ224" s="1"/>
      <c r="BA224" s="1"/>
      <c r="BB224" s="1"/>
      <c r="BC224" s="1"/>
      <c r="BD224" s="1"/>
      <c r="BE224" s="1"/>
      <c r="BF224" s="1"/>
    </row>
    <row r="225" spans="8:58" s="4" customFormat="1" ht="15.75" x14ac:dyDescent="0.25">
      <c r="H225" s="1"/>
      <c r="I225" s="99"/>
      <c r="J225" s="31" t="s">
        <v>149</v>
      </c>
      <c r="K225" s="31"/>
      <c r="L225" s="841">
        <f>SUM(N225:AC225)</f>
        <v>0</v>
      </c>
      <c r="M225" s="750"/>
      <c r="N225" s="789">
        <f>SUM('Bgn&gt;&gt;:&lt;&lt;End'!N225)</f>
        <v>0</v>
      </c>
      <c r="O225" s="789">
        <f>SUM('Bgn&gt;&gt;:&lt;&lt;End'!O225)</f>
        <v>0</v>
      </c>
      <c r="P225" s="789">
        <f>SUM('Bgn&gt;&gt;:&lt;&lt;End'!P225)</f>
        <v>0</v>
      </c>
      <c r="Q225" s="789">
        <f>SUM('Bgn&gt;&gt;:&lt;&lt;End'!Q225)</f>
        <v>0</v>
      </c>
      <c r="R225" s="789">
        <f>SUM('Bgn&gt;&gt;:&lt;&lt;End'!R225)</f>
        <v>0</v>
      </c>
      <c r="S225" s="789">
        <f>SUM('Bgn&gt;&gt;:&lt;&lt;End'!S225)</f>
        <v>0</v>
      </c>
      <c r="T225" s="789">
        <f>SUM('Bgn&gt;&gt;:&lt;&lt;End'!T225)</f>
        <v>0</v>
      </c>
      <c r="U225" s="789">
        <f>SUM('Bgn&gt;&gt;:&lt;&lt;End'!U225)</f>
        <v>0</v>
      </c>
      <c r="V225" s="789">
        <f>SUM('Bgn&gt;&gt;:&lt;&lt;End'!V225)</f>
        <v>0</v>
      </c>
      <c r="W225" s="789">
        <f>SUM('Bgn&gt;&gt;:&lt;&lt;End'!W225)</f>
        <v>0</v>
      </c>
      <c r="X225" s="789">
        <f>SUM('Bgn&gt;&gt;:&lt;&lt;End'!X225)</f>
        <v>0</v>
      </c>
      <c r="Y225" s="789">
        <f>SUM('Bgn&gt;&gt;:&lt;&lt;End'!Y225)</f>
        <v>0</v>
      </c>
      <c r="Z225" s="789">
        <f>SUM('Bgn&gt;&gt;:&lt;&lt;End'!Z225)</f>
        <v>0</v>
      </c>
      <c r="AA225" s="789">
        <f>SUM('Bgn&gt;&gt;:&lt;&lt;End'!AA225)</f>
        <v>0</v>
      </c>
      <c r="AB225" s="789">
        <f>SUM('Bgn&gt;&gt;:&lt;&lt;End'!AB225)</f>
        <v>0</v>
      </c>
      <c r="AC225" s="789">
        <f>SUM('Bgn&gt;&gt;:&lt;&lt;End'!AC225)</f>
        <v>0</v>
      </c>
      <c r="AD225" s="1"/>
      <c r="AV225" s="1"/>
      <c r="AW225" s="1"/>
      <c r="AX225" s="1"/>
      <c r="AY225" s="1"/>
      <c r="AZ225" s="1"/>
      <c r="BA225" s="1"/>
      <c r="BB225" s="1"/>
      <c r="BC225" s="1"/>
      <c r="BD225" s="1"/>
      <c r="BE225" s="1"/>
      <c r="BF225" s="1"/>
    </row>
    <row r="226" spans="8:58" s="4" customFormat="1" ht="15.75" x14ac:dyDescent="0.25">
      <c r="H226" s="1"/>
      <c r="I226" s="99"/>
      <c r="J226" s="31" t="s">
        <v>180</v>
      </c>
      <c r="K226" s="31"/>
      <c r="L226" s="841">
        <f>SUM(N226:AC226)</f>
        <v>0</v>
      </c>
      <c r="M226" s="750"/>
      <c r="N226" s="789">
        <f>SUM('Bgn&gt;&gt;:&lt;&lt;End'!N226)</f>
        <v>0</v>
      </c>
      <c r="O226" s="789">
        <f>SUM('Bgn&gt;&gt;:&lt;&lt;End'!O226)</f>
        <v>0</v>
      </c>
      <c r="P226" s="789">
        <f>SUM('Bgn&gt;&gt;:&lt;&lt;End'!P226)</f>
        <v>0</v>
      </c>
      <c r="Q226" s="789">
        <f>SUM('Bgn&gt;&gt;:&lt;&lt;End'!Q226)</f>
        <v>0</v>
      </c>
      <c r="R226" s="789">
        <f>SUM('Bgn&gt;&gt;:&lt;&lt;End'!R226)</f>
        <v>0</v>
      </c>
      <c r="S226" s="789">
        <f>SUM('Bgn&gt;&gt;:&lt;&lt;End'!S226)</f>
        <v>0</v>
      </c>
      <c r="T226" s="789">
        <f>SUM('Bgn&gt;&gt;:&lt;&lt;End'!T226)</f>
        <v>0</v>
      </c>
      <c r="U226" s="789">
        <f>SUM('Bgn&gt;&gt;:&lt;&lt;End'!U226)</f>
        <v>0</v>
      </c>
      <c r="V226" s="789">
        <f>SUM('Bgn&gt;&gt;:&lt;&lt;End'!V226)</f>
        <v>0</v>
      </c>
      <c r="W226" s="789">
        <f>SUM('Bgn&gt;&gt;:&lt;&lt;End'!W226)</f>
        <v>0</v>
      </c>
      <c r="X226" s="789">
        <f>SUM('Bgn&gt;&gt;:&lt;&lt;End'!X226)</f>
        <v>0</v>
      </c>
      <c r="Y226" s="789">
        <f>SUM('Bgn&gt;&gt;:&lt;&lt;End'!Y226)</f>
        <v>0</v>
      </c>
      <c r="Z226" s="789">
        <f>SUM('Bgn&gt;&gt;:&lt;&lt;End'!Z226)</f>
        <v>0</v>
      </c>
      <c r="AA226" s="789">
        <f>SUM('Bgn&gt;&gt;:&lt;&lt;End'!AA226)</f>
        <v>0</v>
      </c>
      <c r="AB226" s="789">
        <f>SUM('Bgn&gt;&gt;:&lt;&lt;End'!AB226)</f>
        <v>0</v>
      </c>
      <c r="AC226" s="789">
        <f>SUM('Bgn&gt;&gt;:&lt;&lt;End'!AC226)</f>
        <v>0</v>
      </c>
      <c r="AD226" s="1"/>
      <c r="AV226" s="1"/>
      <c r="AW226" s="1"/>
      <c r="AX226" s="1"/>
      <c r="AY226" s="1"/>
      <c r="AZ226" s="1"/>
      <c r="BA226" s="1"/>
      <c r="BB226" s="1"/>
      <c r="BC226" s="1"/>
      <c r="BD226" s="1"/>
      <c r="BE226" s="1"/>
      <c r="BF226" s="1"/>
    </row>
    <row r="227" spans="8:58" s="4" customFormat="1" ht="15.75" x14ac:dyDescent="0.25">
      <c r="H227" s="1"/>
      <c r="I227" s="99"/>
      <c r="J227" s="31" t="s">
        <v>181</v>
      </c>
      <c r="K227" s="31"/>
      <c r="L227" s="841">
        <f>SUM(N227:AC227)</f>
        <v>0</v>
      </c>
      <c r="M227" s="750"/>
      <c r="N227" s="789">
        <f>SUM('Bgn&gt;&gt;:&lt;&lt;End'!N227)</f>
        <v>0</v>
      </c>
      <c r="O227" s="789">
        <f>SUM('Bgn&gt;&gt;:&lt;&lt;End'!O227)</f>
        <v>0</v>
      </c>
      <c r="P227" s="789">
        <f>SUM('Bgn&gt;&gt;:&lt;&lt;End'!P227)</f>
        <v>0</v>
      </c>
      <c r="Q227" s="789">
        <f>SUM('Bgn&gt;&gt;:&lt;&lt;End'!Q227)</f>
        <v>0</v>
      </c>
      <c r="R227" s="789">
        <f>SUM('Bgn&gt;&gt;:&lt;&lt;End'!R227)</f>
        <v>0</v>
      </c>
      <c r="S227" s="789">
        <f>SUM('Bgn&gt;&gt;:&lt;&lt;End'!S227)</f>
        <v>0</v>
      </c>
      <c r="T227" s="789">
        <f>SUM('Bgn&gt;&gt;:&lt;&lt;End'!T227)</f>
        <v>0</v>
      </c>
      <c r="U227" s="789">
        <f>SUM('Bgn&gt;&gt;:&lt;&lt;End'!U227)</f>
        <v>0</v>
      </c>
      <c r="V227" s="789">
        <f>SUM('Bgn&gt;&gt;:&lt;&lt;End'!V227)</f>
        <v>0</v>
      </c>
      <c r="W227" s="789">
        <f>SUM('Bgn&gt;&gt;:&lt;&lt;End'!W227)</f>
        <v>0</v>
      </c>
      <c r="X227" s="789">
        <f>SUM('Bgn&gt;&gt;:&lt;&lt;End'!X227)</f>
        <v>0</v>
      </c>
      <c r="Y227" s="789">
        <f>SUM('Bgn&gt;&gt;:&lt;&lt;End'!Y227)</f>
        <v>0</v>
      </c>
      <c r="Z227" s="789">
        <f>SUM('Bgn&gt;&gt;:&lt;&lt;End'!Z227)</f>
        <v>0</v>
      </c>
      <c r="AA227" s="789">
        <f>SUM('Bgn&gt;&gt;:&lt;&lt;End'!AA227)</f>
        <v>0</v>
      </c>
      <c r="AB227" s="789">
        <f>SUM('Bgn&gt;&gt;:&lt;&lt;End'!AB227)</f>
        <v>0</v>
      </c>
      <c r="AC227" s="789">
        <f>SUM('Bgn&gt;&gt;:&lt;&lt;End'!AC227)</f>
        <v>0</v>
      </c>
      <c r="AD227" s="1"/>
      <c r="AV227" s="1"/>
      <c r="AW227" s="1"/>
      <c r="AX227" s="1"/>
      <c r="AY227" s="1"/>
      <c r="AZ227" s="1"/>
      <c r="BA227" s="1"/>
      <c r="BB227" s="1"/>
      <c r="BC227" s="1"/>
      <c r="BD227" s="1"/>
      <c r="BE227" s="1"/>
      <c r="BF227" s="1"/>
    </row>
    <row r="228" spans="8:58" s="4" customFormat="1" ht="15.75" x14ac:dyDescent="0.25">
      <c r="H228" s="1"/>
      <c r="I228" s="99"/>
      <c r="J228" s="210" t="s">
        <v>182</v>
      </c>
      <c r="K228" s="102"/>
      <c r="L228" s="842">
        <f t="shared" ref="L228:AC228" si="132">SUM(L225:L227)</f>
        <v>0</v>
      </c>
      <c r="M228" s="750"/>
      <c r="N228" s="839">
        <f t="shared" si="132"/>
        <v>0</v>
      </c>
      <c r="O228" s="839">
        <f t="shared" si="132"/>
        <v>0</v>
      </c>
      <c r="P228" s="839">
        <f t="shared" si="132"/>
        <v>0</v>
      </c>
      <c r="Q228" s="839">
        <f t="shared" si="132"/>
        <v>0</v>
      </c>
      <c r="R228" s="839">
        <f t="shared" si="132"/>
        <v>0</v>
      </c>
      <c r="S228" s="839">
        <f t="shared" si="132"/>
        <v>0</v>
      </c>
      <c r="T228" s="839">
        <f t="shared" si="132"/>
        <v>0</v>
      </c>
      <c r="U228" s="839">
        <f t="shared" si="132"/>
        <v>0</v>
      </c>
      <c r="V228" s="839">
        <f t="shared" si="132"/>
        <v>0</v>
      </c>
      <c r="W228" s="839">
        <f t="shared" si="132"/>
        <v>0</v>
      </c>
      <c r="X228" s="839">
        <f t="shared" si="132"/>
        <v>0</v>
      </c>
      <c r="Y228" s="839">
        <f t="shared" si="132"/>
        <v>0</v>
      </c>
      <c r="Z228" s="839">
        <f t="shared" si="132"/>
        <v>0</v>
      </c>
      <c r="AA228" s="839">
        <f t="shared" si="132"/>
        <v>0</v>
      </c>
      <c r="AB228" s="839">
        <f t="shared" si="132"/>
        <v>0</v>
      </c>
      <c r="AC228" s="839">
        <f t="shared" si="132"/>
        <v>0</v>
      </c>
      <c r="AD228" s="1"/>
      <c r="AV228" s="1"/>
      <c r="AW228" s="1"/>
      <c r="AX228" s="1"/>
      <c r="AY228" s="1"/>
      <c r="AZ228" s="1"/>
      <c r="BA228" s="1"/>
      <c r="BB228" s="1"/>
      <c r="BC228" s="1"/>
      <c r="BD228" s="1"/>
      <c r="BE228" s="1"/>
      <c r="BF228" s="1"/>
    </row>
    <row r="229" spans="8:58" s="4" customFormat="1" ht="15.75" x14ac:dyDescent="0.25">
      <c r="H229" s="1"/>
      <c r="I229" s="99">
        <v>2</v>
      </c>
      <c r="J229" s="67" t="s">
        <v>183</v>
      </c>
      <c r="K229" s="31"/>
      <c r="L229" s="843"/>
      <c r="M229" s="750"/>
      <c r="N229" s="838"/>
      <c r="O229" s="838"/>
      <c r="P229" s="838"/>
      <c r="Q229" s="838"/>
      <c r="R229" s="838"/>
      <c r="S229" s="838"/>
      <c r="T229" s="838"/>
      <c r="U229" s="838"/>
      <c r="V229" s="838"/>
      <c r="W229" s="838"/>
      <c r="X229" s="838"/>
      <c r="Y229" s="838"/>
      <c r="Z229" s="838"/>
      <c r="AA229" s="838"/>
      <c r="AB229" s="838"/>
      <c r="AC229" s="838"/>
      <c r="AD229" s="1"/>
      <c r="AV229" s="1"/>
      <c r="AW229" s="1"/>
      <c r="AX229" s="1"/>
      <c r="AY229" s="1"/>
      <c r="AZ229" s="1"/>
      <c r="BA229" s="1"/>
      <c r="BB229" s="1"/>
      <c r="BC229" s="1"/>
      <c r="BD229" s="1"/>
      <c r="BE229" s="1"/>
      <c r="BF229" s="1"/>
    </row>
    <row r="230" spans="8:58" ht="15.75" x14ac:dyDescent="0.25">
      <c r="I230" s="99"/>
      <c r="J230" s="31" t="s">
        <v>351</v>
      </c>
      <c r="K230" s="31"/>
      <c r="L230" s="841">
        <f>SUM(N230:AC230)</f>
        <v>0</v>
      </c>
      <c r="M230" s="750"/>
      <c r="N230" s="844">
        <f>N69-N73</f>
        <v>0</v>
      </c>
      <c r="O230" s="844">
        <f t="shared" ref="O230:AC230" si="133">O69-O73</f>
        <v>0</v>
      </c>
      <c r="P230" s="844">
        <f t="shared" si="133"/>
        <v>0</v>
      </c>
      <c r="Q230" s="844">
        <f t="shared" si="133"/>
        <v>0</v>
      </c>
      <c r="R230" s="844">
        <f t="shared" si="133"/>
        <v>0</v>
      </c>
      <c r="S230" s="844">
        <f t="shared" si="133"/>
        <v>0</v>
      </c>
      <c r="T230" s="844">
        <f t="shared" si="133"/>
        <v>0</v>
      </c>
      <c r="U230" s="844">
        <f t="shared" si="133"/>
        <v>0</v>
      </c>
      <c r="V230" s="844">
        <f t="shared" si="133"/>
        <v>0</v>
      </c>
      <c r="W230" s="844">
        <f t="shared" si="133"/>
        <v>0</v>
      </c>
      <c r="X230" s="844">
        <f t="shared" si="133"/>
        <v>0</v>
      </c>
      <c r="Y230" s="844">
        <f t="shared" si="133"/>
        <v>0</v>
      </c>
      <c r="Z230" s="844">
        <f t="shared" si="133"/>
        <v>0</v>
      </c>
      <c r="AA230" s="844">
        <f t="shared" si="133"/>
        <v>0</v>
      </c>
      <c r="AB230" s="844">
        <f t="shared" si="133"/>
        <v>0</v>
      </c>
      <c r="AC230" s="844">
        <f t="shared" si="133"/>
        <v>0</v>
      </c>
      <c r="AD230" s="1"/>
    </row>
    <row r="231" spans="8:58" ht="15.75" x14ac:dyDescent="0.25">
      <c r="I231" s="99"/>
      <c r="J231" s="31" t="s">
        <v>184</v>
      </c>
      <c r="K231" s="31"/>
      <c r="L231" s="841">
        <f>SUM(N231:AC231)</f>
        <v>0</v>
      </c>
      <c r="M231" s="750"/>
      <c r="N231" s="789">
        <f>SUM('Bgn&gt;&gt;:&lt;&lt;End'!N231)</f>
        <v>0</v>
      </c>
      <c r="O231" s="789">
        <f>SUM('Bgn&gt;&gt;:&lt;&lt;End'!O231)</f>
        <v>0</v>
      </c>
      <c r="P231" s="789">
        <f>SUM('Bgn&gt;&gt;:&lt;&lt;End'!P231)</f>
        <v>0</v>
      </c>
      <c r="Q231" s="789">
        <f>SUM('Bgn&gt;&gt;:&lt;&lt;End'!Q231)</f>
        <v>0</v>
      </c>
      <c r="R231" s="789">
        <f>SUM('Bgn&gt;&gt;:&lt;&lt;End'!R231)</f>
        <v>0</v>
      </c>
      <c r="S231" s="789">
        <f>SUM('Bgn&gt;&gt;:&lt;&lt;End'!S231)</f>
        <v>0</v>
      </c>
      <c r="T231" s="789">
        <f>SUM('Bgn&gt;&gt;:&lt;&lt;End'!T231)</f>
        <v>0</v>
      </c>
      <c r="U231" s="789">
        <f>SUM('Bgn&gt;&gt;:&lt;&lt;End'!U231)</f>
        <v>0</v>
      </c>
      <c r="V231" s="789">
        <f>SUM('Bgn&gt;&gt;:&lt;&lt;End'!V231)</f>
        <v>0</v>
      </c>
      <c r="W231" s="789">
        <f>SUM('Bgn&gt;&gt;:&lt;&lt;End'!W231)</f>
        <v>0</v>
      </c>
      <c r="X231" s="789">
        <f>SUM('Bgn&gt;&gt;:&lt;&lt;End'!X231)</f>
        <v>0</v>
      </c>
      <c r="Y231" s="789">
        <f>SUM('Bgn&gt;&gt;:&lt;&lt;End'!Y231)</f>
        <v>0</v>
      </c>
      <c r="Z231" s="789">
        <f>SUM('Bgn&gt;&gt;:&lt;&lt;End'!Z231)</f>
        <v>0</v>
      </c>
      <c r="AA231" s="789">
        <f>SUM('Bgn&gt;&gt;:&lt;&lt;End'!AA231)</f>
        <v>0</v>
      </c>
      <c r="AB231" s="789">
        <f>SUM('Bgn&gt;&gt;:&lt;&lt;End'!AB231)</f>
        <v>0</v>
      </c>
      <c r="AC231" s="789">
        <f>SUM('Bgn&gt;&gt;:&lt;&lt;End'!AC231)</f>
        <v>0</v>
      </c>
      <c r="AD231" s="1"/>
    </row>
    <row r="232" spans="8:58" ht="15.75" x14ac:dyDescent="0.25">
      <c r="I232" s="99"/>
      <c r="J232" s="210" t="s">
        <v>185</v>
      </c>
      <c r="K232" s="102"/>
      <c r="L232" s="842">
        <f t="shared" ref="L232:AC232" si="134">SUM(L230:L231)</f>
        <v>0</v>
      </c>
      <c r="M232" s="750"/>
      <c r="N232" s="839">
        <f t="shared" si="134"/>
        <v>0</v>
      </c>
      <c r="O232" s="839">
        <f t="shared" si="134"/>
        <v>0</v>
      </c>
      <c r="P232" s="839">
        <f t="shared" si="134"/>
        <v>0</v>
      </c>
      <c r="Q232" s="839">
        <f t="shared" si="134"/>
        <v>0</v>
      </c>
      <c r="R232" s="839">
        <f t="shared" si="134"/>
        <v>0</v>
      </c>
      <c r="S232" s="839">
        <f t="shared" si="134"/>
        <v>0</v>
      </c>
      <c r="T232" s="839">
        <f t="shared" si="134"/>
        <v>0</v>
      </c>
      <c r="U232" s="839">
        <f t="shared" si="134"/>
        <v>0</v>
      </c>
      <c r="V232" s="839">
        <f t="shared" si="134"/>
        <v>0</v>
      </c>
      <c r="W232" s="839">
        <f t="shared" si="134"/>
        <v>0</v>
      </c>
      <c r="X232" s="839">
        <f t="shared" si="134"/>
        <v>0</v>
      </c>
      <c r="Y232" s="839">
        <f t="shared" si="134"/>
        <v>0</v>
      </c>
      <c r="Z232" s="839">
        <f t="shared" si="134"/>
        <v>0</v>
      </c>
      <c r="AA232" s="839">
        <f t="shared" si="134"/>
        <v>0</v>
      </c>
      <c r="AB232" s="839">
        <f t="shared" si="134"/>
        <v>0</v>
      </c>
      <c r="AC232" s="839">
        <f t="shared" si="134"/>
        <v>0</v>
      </c>
      <c r="AD232" s="1"/>
    </row>
    <row r="233" spans="8:58" ht="15.75" x14ac:dyDescent="0.25">
      <c r="I233" s="99">
        <v>3</v>
      </c>
      <c r="J233" s="67" t="s">
        <v>186</v>
      </c>
      <c r="K233" s="31"/>
      <c r="L233" s="843"/>
      <c r="M233" s="750"/>
      <c r="N233" s="838"/>
      <c r="O233" s="838"/>
      <c r="P233" s="838"/>
      <c r="Q233" s="838"/>
      <c r="R233" s="838"/>
      <c r="S233" s="838"/>
      <c r="T233" s="838"/>
      <c r="U233" s="838"/>
      <c r="V233" s="838"/>
      <c r="W233" s="838"/>
      <c r="X233" s="838"/>
      <c r="Y233" s="838"/>
      <c r="Z233" s="838"/>
      <c r="AA233" s="838"/>
      <c r="AB233" s="838"/>
      <c r="AC233" s="838"/>
      <c r="AD233" s="1"/>
    </row>
    <row r="234" spans="8:58" ht="15.75" x14ac:dyDescent="0.25">
      <c r="I234" s="99"/>
      <c r="J234" s="31" t="s">
        <v>187</v>
      </c>
      <c r="K234" s="31"/>
      <c r="L234" s="845"/>
      <c r="M234" s="750"/>
      <c r="N234" s="789">
        <f>SUM('Bgn&gt;&gt;:&lt;&lt;End'!N234)</f>
        <v>0</v>
      </c>
      <c r="O234" s="789">
        <f>SUM('Bgn&gt;&gt;:&lt;&lt;End'!O234)</f>
        <v>0</v>
      </c>
      <c r="P234" s="789">
        <f>SUM('Bgn&gt;&gt;:&lt;&lt;End'!P234)</f>
        <v>0</v>
      </c>
      <c r="Q234" s="789">
        <f>SUM('Bgn&gt;&gt;:&lt;&lt;End'!Q234)</f>
        <v>0</v>
      </c>
      <c r="R234" s="789">
        <f>SUM('Bgn&gt;&gt;:&lt;&lt;End'!R234)</f>
        <v>0</v>
      </c>
      <c r="S234" s="789">
        <f>SUM('Bgn&gt;&gt;:&lt;&lt;End'!S234)</f>
        <v>0</v>
      </c>
      <c r="T234" s="789">
        <f>SUM('Bgn&gt;&gt;:&lt;&lt;End'!T234)</f>
        <v>0</v>
      </c>
      <c r="U234" s="789">
        <f>SUM('Bgn&gt;&gt;:&lt;&lt;End'!U234)</f>
        <v>0</v>
      </c>
      <c r="V234" s="789">
        <f>SUM('Bgn&gt;&gt;:&lt;&lt;End'!V234)</f>
        <v>0</v>
      </c>
      <c r="W234" s="789">
        <f>SUM('Bgn&gt;&gt;:&lt;&lt;End'!W234)</f>
        <v>0</v>
      </c>
      <c r="X234" s="789">
        <f>SUM('Bgn&gt;&gt;:&lt;&lt;End'!X234)</f>
        <v>0</v>
      </c>
      <c r="Y234" s="789">
        <f>SUM('Bgn&gt;&gt;:&lt;&lt;End'!Y234)</f>
        <v>0</v>
      </c>
      <c r="Z234" s="789">
        <f>SUM('Bgn&gt;&gt;:&lt;&lt;End'!Z234)</f>
        <v>0</v>
      </c>
      <c r="AA234" s="789">
        <f>SUM('Bgn&gt;&gt;:&lt;&lt;End'!AA234)</f>
        <v>0</v>
      </c>
      <c r="AB234" s="789">
        <f>SUM('Bgn&gt;&gt;:&lt;&lt;End'!AB234)</f>
        <v>0</v>
      </c>
      <c r="AC234" s="789">
        <f>SUM('Bgn&gt;&gt;:&lt;&lt;End'!AC234)</f>
        <v>0</v>
      </c>
      <c r="AD234" s="1"/>
    </row>
    <row r="235" spans="8:58" ht="15.75" x14ac:dyDescent="0.25">
      <c r="I235" s="99"/>
      <c r="J235" s="31" t="s">
        <v>188</v>
      </c>
      <c r="K235" s="31"/>
      <c r="L235" s="841">
        <f>SUM(N235:AC235)</f>
        <v>0</v>
      </c>
      <c r="M235" s="750"/>
      <c r="N235" s="789">
        <f>SUM('Bgn&gt;&gt;:&lt;&lt;End'!N235)</f>
        <v>0</v>
      </c>
      <c r="O235" s="789">
        <f>SUM('Bgn&gt;&gt;:&lt;&lt;End'!O235)</f>
        <v>0</v>
      </c>
      <c r="P235" s="789">
        <f>SUM('Bgn&gt;&gt;:&lt;&lt;End'!P235)</f>
        <v>0</v>
      </c>
      <c r="Q235" s="789">
        <f>SUM('Bgn&gt;&gt;:&lt;&lt;End'!Q235)</f>
        <v>0</v>
      </c>
      <c r="R235" s="789">
        <f>SUM('Bgn&gt;&gt;:&lt;&lt;End'!R235)</f>
        <v>0</v>
      </c>
      <c r="S235" s="789">
        <f>SUM('Bgn&gt;&gt;:&lt;&lt;End'!S235)</f>
        <v>0</v>
      </c>
      <c r="T235" s="789">
        <f>SUM('Bgn&gt;&gt;:&lt;&lt;End'!T235)</f>
        <v>0</v>
      </c>
      <c r="U235" s="789">
        <f>SUM('Bgn&gt;&gt;:&lt;&lt;End'!U235)</f>
        <v>0</v>
      </c>
      <c r="V235" s="789">
        <f>SUM('Bgn&gt;&gt;:&lt;&lt;End'!V235)</f>
        <v>0</v>
      </c>
      <c r="W235" s="789">
        <f>SUM('Bgn&gt;&gt;:&lt;&lt;End'!W235)</f>
        <v>0</v>
      </c>
      <c r="X235" s="789">
        <f>SUM('Bgn&gt;&gt;:&lt;&lt;End'!X235)</f>
        <v>0</v>
      </c>
      <c r="Y235" s="789">
        <f>SUM('Bgn&gt;&gt;:&lt;&lt;End'!Y235)</f>
        <v>0</v>
      </c>
      <c r="Z235" s="789">
        <f>SUM('Bgn&gt;&gt;:&lt;&lt;End'!Z235)</f>
        <v>0</v>
      </c>
      <c r="AA235" s="789">
        <f>SUM('Bgn&gt;&gt;:&lt;&lt;End'!AA235)</f>
        <v>0</v>
      </c>
      <c r="AB235" s="789">
        <f>SUM('Bgn&gt;&gt;:&lt;&lt;End'!AB235)</f>
        <v>0</v>
      </c>
      <c r="AC235" s="789">
        <f>SUM('Bgn&gt;&gt;:&lt;&lt;End'!AC235)</f>
        <v>0</v>
      </c>
      <c r="AD235" s="1"/>
    </row>
    <row r="236" spans="8:58" ht="15.75" x14ac:dyDescent="0.25">
      <c r="I236" s="99"/>
      <c r="J236" s="31" t="s">
        <v>189</v>
      </c>
      <c r="K236" s="31"/>
      <c r="L236" s="841">
        <f>SUM(N236:AC236)</f>
        <v>0</v>
      </c>
      <c r="M236" s="750"/>
      <c r="N236" s="789">
        <f>SUM('Bgn&gt;&gt;:&lt;&lt;End'!N236)</f>
        <v>0</v>
      </c>
      <c r="O236" s="789">
        <f>SUM('Bgn&gt;&gt;:&lt;&lt;End'!O236)</f>
        <v>0</v>
      </c>
      <c r="P236" s="789">
        <f>SUM('Bgn&gt;&gt;:&lt;&lt;End'!P236)</f>
        <v>0</v>
      </c>
      <c r="Q236" s="789">
        <f>SUM('Bgn&gt;&gt;:&lt;&lt;End'!Q236)</f>
        <v>0</v>
      </c>
      <c r="R236" s="789">
        <f>SUM('Bgn&gt;&gt;:&lt;&lt;End'!R236)</f>
        <v>0</v>
      </c>
      <c r="S236" s="789">
        <f>SUM('Bgn&gt;&gt;:&lt;&lt;End'!S236)</f>
        <v>0</v>
      </c>
      <c r="T236" s="789">
        <f>SUM('Bgn&gt;&gt;:&lt;&lt;End'!T236)</f>
        <v>0</v>
      </c>
      <c r="U236" s="789">
        <f>SUM('Bgn&gt;&gt;:&lt;&lt;End'!U236)</f>
        <v>0</v>
      </c>
      <c r="V236" s="789">
        <f>SUM('Bgn&gt;&gt;:&lt;&lt;End'!V236)</f>
        <v>0</v>
      </c>
      <c r="W236" s="789">
        <f>SUM('Bgn&gt;&gt;:&lt;&lt;End'!W236)</f>
        <v>0</v>
      </c>
      <c r="X236" s="789">
        <f>SUM('Bgn&gt;&gt;:&lt;&lt;End'!X236)</f>
        <v>0</v>
      </c>
      <c r="Y236" s="789">
        <f>SUM('Bgn&gt;&gt;:&lt;&lt;End'!Y236)</f>
        <v>0</v>
      </c>
      <c r="Z236" s="789">
        <f>SUM('Bgn&gt;&gt;:&lt;&lt;End'!Z236)</f>
        <v>0</v>
      </c>
      <c r="AA236" s="789">
        <f>SUM('Bgn&gt;&gt;:&lt;&lt;End'!AA236)</f>
        <v>0</v>
      </c>
      <c r="AB236" s="789">
        <f>SUM('Bgn&gt;&gt;:&lt;&lt;End'!AB236)</f>
        <v>0</v>
      </c>
      <c r="AC236" s="789">
        <f>SUM('Bgn&gt;&gt;:&lt;&lt;End'!AC236)</f>
        <v>0</v>
      </c>
      <c r="AD236" s="1"/>
      <c r="AE236" s="1"/>
    </row>
    <row r="237" spans="8:58" ht="15.75" x14ac:dyDescent="0.25">
      <c r="I237" s="99"/>
      <c r="J237" s="210" t="s">
        <v>190</v>
      </c>
      <c r="K237" s="102"/>
      <c r="L237" s="842">
        <f>SUM(L234:L236)</f>
        <v>0</v>
      </c>
      <c r="M237" s="750"/>
      <c r="N237" s="839">
        <f t="shared" ref="N237:AC237" si="135">SUM(N234:N236)</f>
        <v>0</v>
      </c>
      <c r="O237" s="839">
        <f t="shared" si="135"/>
        <v>0</v>
      </c>
      <c r="P237" s="839">
        <f t="shared" si="135"/>
        <v>0</v>
      </c>
      <c r="Q237" s="839">
        <f t="shared" si="135"/>
        <v>0</v>
      </c>
      <c r="R237" s="839">
        <f t="shared" si="135"/>
        <v>0</v>
      </c>
      <c r="S237" s="839">
        <f t="shared" si="135"/>
        <v>0</v>
      </c>
      <c r="T237" s="839">
        <f t="shared" si="135"/>
        <v>0</v>
      </c>
      <c r="U237" s="839">
        <f t="shared" si="135"/>
        <v>0</v>
      </c>
      <c r="V237" s="839">
        <f t="shared" si="135"/>
        <v>0</v>
      </c>
      <c r="W237" s="839">
        <f t="shared" si="135"/>
        <v>0</v>
      </c>
      <c r="X237" s="839">
        <f t="shared" si="135"/>
        <v>0</v>
      </c>
      <c r="Y237" s="839">
        <f t="shared" si="135"/>
        <v>0</v>
      </c>
      <c r="Z237" s="839">
        <f t="shared" si="135"/>
        <v>0</v>
      </c>
      <c r="AA237" s="839">
        <f t="shared" si="135"/>
        <v>0</v>
      </c>
      <c r="AB237" s="839">
        <f t="shared" si="135"/>
        <v>0</v>
      </c>
      <c r="AC237" s="839">
        <f t="shared" si="135"/>
        <v>0</v>
      </c>
      <c r="AD237" s="1"/>
      <c r="AE237" s="1"/>
    </row>
    <row r="238" spans="8:58" ht="15.75" x14ac:dyDescent="0.25">
      <c r="I238" s="99"/>
      <c r="J238" s="31" t="s">
        <v>191</v>
      </c>
      <c r="K238" s="31"/>
      <c r="L238" s="841">
        <f>L228-L232+L237</f>
        <v>0</v>
      </c>
      <c r="M238" s="750"/>
      <c r="N238" s="844">
        <f t="shared" ref="N238:AC238" si="136">N228-N232+N237</f>
        <v>0</v>
      </c>
      <c r="O238" s="844">
        <f t="shared" si="136"/>
        <v>0</v>
      </c>
      <c r="P238" s="844">
        <f t="shared" si="136"/>
        <v>0</v>
      </c>
      <c r="Q238" s="844">
        <f t="shared" si="136"/>
        <v>0</v>
      </c>
      <c r="R238" s="844">
        <f t="shared" si="136"/>
        <v>0</v>
      </c>
      <c r="S238" s="844">
        <f t="shared" si="136"/>
        <v>0</v>
      </c>
      <c r="T238" s="844">
        <f t="shared" si="136"/>
        <v>0</v>
      </c>
      <c r="U238" s="844">
        <f t="shared" si="136"/>
        <v>0</v>
      </c>
      <c r="V238" s="844">
        <f t="shared" si="136"/>
        <v>0</v>
      </c>
      <c r="W238" s="844">
        <f t="shared" si="136"/>
        <v>0</v>
      </c>
      <c r="X238" s="844">
        <f t="shared" si="136"/>
        <v>0</v>
      </c>
      <c r="Y238" s="844">
        <f t="shared" si="136"/>
        <v>0</v>
      </c>
      <c r="Z238" s="844">
        <f t="shared" si="136"/>
        <v>0</v>
      </c>
      <c r="AA238" s="844">
        <f t="shared" si="136"/>
        <v>0</v>
      </c>
      <c r="AB238" s="844">
        <f t="shared" si="136"/>
        <v>0</v>
      </c>
      <c r="AC238" s="844">
        <f t="shared" si="136"/>
        <v>0</v>
      </c>
      <c r="AD238" s="1"/>
      <c r="AE238" s="1"/>
    </row>
    <row r="239" spans="8:58" ht="15.75" x14ac:dyDescent="0.25">
      <c r="I239" s="99"/>
      <c r="J239" s="31" t="s">
        <v>192</v>
      </c>
      <c r="K239" s="31"/>
      <c r="L239" s="845">
        <v>0</v>
      </c>
      <c r="M239" s="750"/>
      <c r="N239" s="789">
        <f>SUM('Bgn&gt;&gt;:&lt;&lt;End'!N239)</f>
        <v>0</v>
      </c>
      <c r="O239" s="789">
        <f>SUM('Bgn&gt;&gt;:&lt;&lt;End'!O239)</f>
        <v>0</v>
      </c>
      <c r="P239" s="789">
        <f>SUM('Bgn&gt;&gt;:&lt;&lt;End'!P239)</f>
        <v>0</v>
      </c>
      <c r="Q239" s="789">
        <f>SUM('Bgn&gt;&gt;:&lt;&lt;End'!Q239)</f>
        <v>0</v>
      </c>
      <c r="R239" s="789">
        <f>SUM('Bgn&gt;&gt;:&lt;&lt;End'!R239)</f>
        <v>0</v>
      </c>
      <c r="S239" s="789">
        <f>SUM('Bgn&gt;&gt;:&lt;&lt;End'!S239)</f>
        <v>0</v>
      </c>
      <c r="T239" s="789">
        <f>SUM('Bgn&gt;&gt;:&lt;&lt;End'!T239)</f>
        <v>0</v>
      </c>
      <c r="U239" s="789">
        <f>SUM('Bgn&gt;&gt;:&lt;&lt;End'!U239)</f>
        <v>0</v>
      </c>
      <c r="V239" s="789">
        <f>SUM('Bgn&gt;&gt;:&lt;&lt;End'!V239)</f>
        <v>0</v>
      </c>
      <c r="W239" s="789">
        <f>SUM('Bgn&gt;&gt;:&lt;&lt;End'!W239)</f>
        <v>0</v>
      </c>
      <c r="X239" s="789">
        <f>SUM('Bgn&gt;&gt;:&lt;&lt;End'!X239)</f>
        <v>0</v>
      </c>
      <c r="Y239" s="789">
        <f>SUM('Bgn&gt;&gt;:&lt;&lt;End'!Y239)</f>
        <v>0</v>
      </c>
      <c r="Z239" s="789">
        <f>SUM('Bgn&gt;&gt;:&lt;&lt;End'!Z239)</f>
        <v>0</v>
      </c>
      <c r="AA239" s="789">
        <f>SUM('Bgn&gt;&gt;:&lt;&lt;End'!AA239)</f>
        <v>0</v>
      </c>
      <c r="AB239" s="789">
        <f>SUM('Bgn&gt;&gt;:&lt;&lt;End'!AB239)</f>
        <v>0</v>
      </c>
      <c r="AC239" s="789">
        <f>SUM('Bgn&gt;&gt;:&lt;&lt;End'!AC239)</f>
        <v>0</v>
      </c>
      <c r="AD239" s="1"/>
      <c r="AE239" s="1"/>
    </row>
    <row r="240" spans="8:58" thickBot="1" x14ac:dyDescent="0.3">
      <c r="I240" s="99">
        <v>4</v>
      </c>
      <c r="J240" s="301" t="s">
        <v>193</v>
      </c>
      <c r="K240" s="302"/>
      <c r="L240" s="846">
        <f>SUM(L238:L239)</f>
        <v>0</v>
      </c>
      <c r="M240" s="750"/>
      <c r="N240" s="847">
        <f t="shared" ref="N240:AC240" si="137">SUM(N238:N239)</f>
        <v>0</v>
      </c>
      <c r="O240" s="847">
        <f t="shared" si="137"/>
        <v>0</v>
      </c>
      <c r="P240" s="847">
        <f t="shared" si="137"/>
        <v>0</v>
      </c>
      <c r="Q240" s="847">
        <f t="shared" si="137"/>
        <v>0</v>
      </c>
      <c r="R240" s="847">
        <f t="shared" si="137"/>
        <v>0</v>
      </c>
      <c r="S240" s="847">
        <f t="shared" si="137"/>
        <v>0</v>
      </c>
      <c r="T240" s="847">
        <f t="shared" si="137"/>
        <v>0</v>
      </c>
      <c r="U240" s="847">
        <f t="shared" si="137"/>
        <v>0</v>
      </c>
      <c r="V240" s="847">
        <f t="shared" si="137"/>
        <v>0</v>
      </c>
      <c r="W240" s="847">
        <f t="shared" si="137"/>
        <v>0</v>
      </c>
      <c r="X240" s="847">
        <f t="shared" si="137"/>
        <v>0</v>
      </c>
      <c r="Y240" s="847">
        <f t="shared" si="137"/>
        <v>0</v>
      </c>
      <c r="Z240" s="847">
        <f t="shared" si="137"/>
        <v>0</v>
      </c>
      <c r="AA240" s="847">
        <f t="shared" si="137"/>
        <v>0</v>
      </c>
      <c r="AB240" s="847">
        <f t="shared" si="137"/>
        <v>0</v>
      </c>
      <c r="AC240" s="847">
        <f t="shared" si="137"/>
        <v>0</v>
      </c>
      <c r="AD240" s="1"/>
      <c r="AE240" s="1"/>
    </row>
    <row r="241" spans="9:31" s="308" customFormat="1" ht="18" customHeight="1" thickTop="1" x14ac:dyDescent="0.2">
      <c r="I241" s="303"/>
      <c r="J241" s="304" t="s">
        <v>176</v>
      </c>
      <c r="K241" s="305"/>
      <c r="L241" s="306"/>
      <c r="M241" s="7"/>
      <c r="N241" s="307" t="str">
        <f>IF(AND(ABS(N240-N199)&lt;1,ABS(N240)&gt;=0),"OK","Wrong")</f>
        <v>OK</v>
      </c>
      <c r="O241" s="307" t="str">
        <f>IF(AND(ABS(O240-O199)&lt;1,ABS(O240)&gt;=0),"OK","Wrong")</f>
        <v>OK</v>
      </c>
      <c r="P241" s="307" t="str">
        <f t="shared" ref="P241:AC241" si="138">IF(AND(ABS(P240-P199)&lt;1,ABS(P240)&gt;=0),"OK","Wrong")</f>
        <v>OK</v>
      </c>
      <c r="Q241" s="307" t="str">
        <f t="shared" si="138"/>
        <v>OK</v>
      </c>
      <c r="R241" s="307" t="str">
        <f t="shared" si="138"/>
        <v>OK</v>
      </c>
      <c r="S241" s="307" t="str">
        <f t="shared" si="138"/>
        <v>OK</v>
      </c>
      <c r="T241" s="307" t="str">
        <f t="shared" si="138"/>
        <v>OK</v>
      </c>
      <c r="U241" s="307" t="str">
        <f t="shared" si="138"/>
        <v>OK</v>
      </c>
      <c r="V241" s="307" t="str">
        <f t="shared" si="138"/>
        <v>OK</v>
      </c>
      <c r="W241" s="307" t="str">
        <f t="shared" si="138"/>
        <v>OK</v>
      </c>
      <c r="X241" s="307" t="str">
        <f t="shared" si="138"/>
        <v>OK</v>
      </c>
      <c r="Y241" s="307" t="str">
        <f t="shared" si="138"/>
        <v>OK</v>
      </c>
      <c r="Z241" s="307" t="str">
        <f t="shared" si="138"/>
        <v>OK</v>
      </c>
      <c r="AA241" s="307" t="str">
        <f t="shared" si="138"/>
        <v>OK</v>
      </c>
      <c r="AB241" s="307" t="str">
        <f t="shared" si="138"/>
        <v>OK</v>
      </c>
      <c r="AC241" s="307" t="str">
        <f t="shared" si="138"/>
        <v>OK</v>
      </c>
    </row>
    <row r="242" spans="9:31" s="308" customFormat="1" ht="18" customHeight="1" x14ac:dyDescent="0.2">
      <c r="I242" s="303"/>
      <c r="J242" s="304"/>
      <c r="K242" s="305"/>
      <c r="L242" s="306"/>
      <c r="M242" s="7"/>
      <c r="N242" s="307"/>
      <c r="O242" s="307"/>
      <c r="P242" s="307"/>
      <c r="Q242" s="307"/>
      <c r="R242" s="307"/>
      <c r="S242" s="307"/>
      <c r="T242" s="307"/>
      <c r="U242" s="307"/>
      <c r="V242" s="307"/>
      <c r="W242" s="307"/>
      <c r="X242" s="307"/>
      <c r="Y242" s="307"/>
      <c r="Z242" s="307"/>
      <c r="AA242" s="307"/>
      <c r="AB242" s="307"/>
      <c r="AC242" s="307"/>
    </row>
    <row r="243" spans="9:31" ht="18" outlineLevel="1" x14ac:dyDescent="0.2">
      <c r="I243" s="104" t="s">
        <v>194</v>
      </c>
      <c r="J243" s="105" t="s">
        <v>195</v>
      </c>
      <c r="K243" s="105"/>
      <c r="L243" s="105"/>
      <c r="M243" s="106"/>
      <c r="N243" s="107">
        <f>N$11</f>
        <v>2024</v>
      </c>
      <c r="O243" s="107">
        <f t="shared" ref="O243:AC243" si="139">O$11</f>
        <v>2025</v>
      </c>
      <c r="P243" s="107">
        <f t="shared" si="139"/>
        <v>2026</v>
      </c>
      <c r="Q243" s="107">
        <f t="shared" si="139"/>
        <v>2027</v>
      </c>
      <c r="R243" s="107">
        <f t="shared" si="139"/>
        <v>2028</v>
      </c>
      <c r="S243" s="107">
        <f t="shared" si="139"/>
        <v>2029</v>
      </c>
      <c r="T243" s="107">
        <f t="shared" si="139"/>
        <v>2030</v>
      </c>
      <c r="U243" s="107">
        <f t="shared" si="139"/>
        <v>2031</v>
      </c>
      <c r="V243" s="107">
        <f t="shared" si="139"/>
        <v>2032</v>
      </c>
      <c r="W243" s="107">
        <f t="shared" si="139"/>
        <v>2033</v>
      </c>
      <c r="X243" s="107">
        <f t="shared" si="139"/>
        <v>2034</v>
      </c>
      <c r="Y243" s="107">
        <f t="shared" si="139"/>
        <v>2035</v>
      </c>
      <c r="Z243" s="107">
        <f t="shared" si="139"/>
        <v>2036</v>
      </c>
      <c r="AA243" s="107">
        <f t="shared" si="139"/>
        <v>2037</v>
      </c>
      <c r="AB243" s="107">
        <f t="shared" si="139"/>
        <v>2038</v>
      </c>
      <c r="AC243" s="107">
        <f t="shared" si="139"/>
        <v>2039</v>
      </c>
      <c r="AD243" s="1"/>
      <c r="AE243" s="1"/>
    </row>
    <row r="244" spans="9:31" customFormat="1" ht="13.5" outlineLevel="1" thickBot="1" x14ac:dyDescent="0.25"/>
    <row r="245" spans="9:31" ht="18" outlineLevel="1" x14ac:dyDescent="0.4">
      <c r="I245" s="309"/>
      <c r="J245" s="310" t="s">
        <v>196</v>
      </c>
      <c r="K245" s="311"/>
      <c r="L245" s="312"/>
      <c r="M245" s="313"/>
      <c r="N245" s="314"/>
      <c r="O245" s="314"/>
      <c r="P245" s="314"/>
      <c r="Q245" s="314"/>
      <c r="R245" s="314"/>
      <c r="S245" s="314"/>
      <c r="T245" s="314"/>
      <c r="U245" s="314"/>
      <c r="V245" s="314"/>
      <c r="W245" s="314"/>
      <c r="X245" s="314"/>
      <c r="Y245" s="314"/>
      <c r="Z245" s="314"/>
      <c r="AA245" s="314"/>
      <c r="AB245" s="314"/>
      <c r="AC245" s="315"/>
      <c r="AD245" s="1"/>
    </row>
    <row r="246" spans="9:31" ht="18.75" customHeight="1" outlineLevel="1" x14ac:dyDescent="0.25">
      <c r="I246" s="316"/>
      <c r="J246" s="317" t="s">
        <v>197</v>
      </c>
      <c r="K246" s="318"/>
      <c r="L246" s="319"/>
      <c r="M246" s="320"/>
      <c r="N246" s="319"/>
      <c r="O246" s="319"/>
      <c r="P246" s="319"/>
      <c r="Q246" s="319"/>
      <c r="R246" s="319"/>
      <c r="S246" s="319"/>
      <c r="T246" s="319"/>
      <c r="U246" s="319"/>
      <c r="V246" s="319"/>
      <c r="W246" s="319"/>
      <c r="X246" s="319"/>
      <c r="Y246" s="319"/>
      <c r="Z246" s="319"/>
      <c r="AA246" s="319"/>
      <c r="AB246" s="319"/>
      <c r="AC246" s="321"/>
      <c r="AD246" s="1"/>
    </row>
    <row r="247" spans="9:31" ht="15.75" outlineLevel="1" x14ac:dyDescent="0.25">
      <c r="I247" s="316"/>
      <c r="J247" s="322" t="s">
        <v>198</v>
      </c>
      <c r="K247" s="318"/>
      <c r="L247" s="848">
        <f>SUM(N247:AC247)</f>
        <v>0</v>
      </c>
      <c r="M247" s="750"/>
      <c r="N247" s="789">
        <f>SUM('Bgn&gt;&gt;:&lt;&lt;End'!N247)</f>
        <v>0</v>
      </c>
      <c r="O247" s="789">
        <f>SUM('Bgn&gt;&gt;:&lt;&lt;End'!O247)</f>
        <v>0</v>
      </c>
      <c r="P247" s="789">
        <f>SUM('Bgn&gt;&gt;:&lt;&lt;End'!P247)</f>
        <v>0</v>
      </c>
      <c r="Q247" s="789">
        <f>SUM('Bgn&gt;&gt;:&lt;&lt;End'!Q247)</f>
        <v>0</v>
      </c>
      <c r="R247" s="789">
        <f>SUM('Bgn&gt;&gt;:&lt;&lt;End'!R247)</f>
        <v>0</v>
      </c>
      <c r="S247" s="789">
        <f>SUM('Bgn&gt;&gt;:&lt;&lt;End'!S247)</f>
        <v>0</v>
      </c>
      <c r="T247" s="789">
        <f>SUM('Bgn&gt;&gt;:&lt;&lt;End'!T247)</f>
        <v>0</v>
      </c>
      <c r="U247" s="789">
        <f>SUM('Bgn&gt;&gt;:&lt;&lt;End'!U247)</f>
        <v>0</v>
      </c>
      <c r="V247" s="789">
        <f>SUM('Bgn&gt;&gt;:&lt;&lt;End'!V247)</f>
        <v>0</v>
      </c>
      <c r="W247" s="789">
        <f>SUM('Bgn&gt;&gt;:&lt;&lt;End'!W247)</f>
        <v>0</v>
      </c>
      <c r="X247" s="789">
        <f>SUM('Bgn&gt;&gt;:&lt;&lt;End'!X247)</f>
        <v>0</v>
      </c>
      <c r="Y247" s="789">
        <f>SUM('Bgn&gt;&gt;:&lt;&lt;End'!Y247)</f>
        <v>0</v>
      </c>
      <c r="Z247" s="789">
        <f>SUM('Bgn&gt;&gt;:&lt;&lt;End'!Z247)</f>
        <v>0</v>
      </c>
      <c r="AA247" s="789">
        <f>SUM('Bgn&gt;&gt;:&lt;&lt;End'!AA247)</f>
        <v>0</v>
      </c>
      <c r="AB247" s="789">
        <f>SUM('Bgn&gt;&gt;:&lt;&lt;End'!AB247)</f>
        <v>0</v>
      </c>
      <c r="AC247" s="789">
        <f>SUM('Bgn&gt;&gt;:&lt;&lt;End'!AC247)</f>
        <v>0</v>
      </c>
      <c r="AD247" s="1"/>
    </row>
    <row r="248" spans="9:31" ht="15.75" outlineLevel="1" x14ac:dyDescent="0.25">
      <c r="I248" s="316"/>
      <c r="J248" s="322" t="s">
        <v>199</v>
      </c>
      <c r="K248" s="318"/>
      <c r="L248" s="848">
        <f>SUM(N248:AC248)</f>
        <v>0</v>
      </c>
      <c r="M248" s="750"/>
      <c r="N248" s="789">
        <f>SUM('Bgn&gt;&gt;:&lt;&lt;End'!N248)</f>
        <v>0</v>
      </c>
      <c r="O248" s="789">
        <f>SUM('Bgn&gt;&gt;:&lt;&lt;End'!O248)</f>
        <v>0</v>
      </c>
      <c r="P248" s="789">
        <f>SUM('Bgn&gt;&gt;:&lt;&lt;End'!P248)</f>
        <v>0</v>
      </c>
      <c r="Q248" s="789">
        <f>SUM('Bgn&gt;&gt;:&lt;&lt;End'!Q248)</f>
        <v>0</v>
      </c>
      <c r="R248" s="789">
        <f>SUM('Bgn&gt;&gt;:&lt;&lt;End'!R248)</f>
        <v>0</v>
      </c>
      <c r="S248" s="789">
        <f>SUM('Bgn&gt;&gt;:&lt;&lt;End'!S248)</f>
        <v>0</v>
      </c>
      <c r="T248" s="789">
        <f>SUM('Bgn&gt;&gt;:&lt;&lt;End'!T248)</f>
        <v>0</v>
      </c>
      <c r="U248" s="789">
        <f>SUM('Bgn&gt;&gt;:&lt;&lt;End'!U248)</f>
        <v>0</v>
      </c>
      <c r="V248" s="789">
        <f>SUM('Bgn&gt;&gt;:&lt;&lt;End'!V248)</f>
        <v>0</v>
      </c>
      <c r="W248" s="789">
        <f>SUM('Bgn&gt;&gt;:&lt;&lt;End'!W248)</f>
        <v>0</v>
      </c>
      <c r="X248" s="789">
        <f>SUM('Bgn&gt;&gt;:&lt;&lt;End'!X248)</f>
        <v>0</v>
      </c>
      <c r="Y248" s="789">
        <f>SUM('Bgn&gt;&gt;:&lt;&lt;End'!Y248)</f>
        <v>0</v>
      </c>
      <c r="Z248" s="789">
        <f>SUM('Bgn&gt;&gt;:&lt;&lt;End'!Z248)</f>
        <v>0</v>
      </c>
      <c r="AA248" s="789">
        <f>SUM('Bgn&gt;&gt;:&lt;&lt;End'!AA248)</f>
        <v>0</v>
      </c>
      <c r="AB248" s="789">
        <f>SUM('Bgn&gt;&gt;:&lt;&lt;End'!AB248)</f>
        <v>0</v>
      </c>
      <c r="AC248" s="789">
        <f>SUM('Bgn&gt;&gt;:&lt;&lt;End'!AC248)</f>
        <v>0</v>
      </c>
      <c r="AD248" s="1"/>
    </row>
    <row r="249" spans="9:31" ht="15.75" outlineLevel="1" x14ac:dyDescent="0.25">
      <c r="I249" s="316"/>
      <c r="J249" s="324" t="s">
        <v>200</v>
      </c>
      <c r="K249" s="318"/>
      <c r="L249" s="839">
        <f>SUM(L247:L248)</f>
        <v>0</v>
      </c>
      <c r="M249" s="750"/>
      <c r="N249" s="839">
        <f>SUM(N247:N248)</f>
        <v>0</v>
      </c>
      <c r="O249" s="839">
        <f t="shared" ref="O249:AC249" si="140">SUM(O247:O248)</f>
        <v>0</v>
      </c>
      <c r="P249" s="839">
        <f t="shared" si="140"/>
        <v>0</v>
      </c>
      <c r="Q249" s="839">
        <f t="shared" si="140"/>
        <v>0</v>
      </c>
      <c r="R249" s="839">
        <f t="shared" si="140"/>
        <v>0</v>
      </c>
      <c r="S249" s="839">
        <f t="shared" si="140"/>
        <v>0</v>
      </c>
      <c r="T249" s="839">
        <f t="shared" si="140"/>
        <v>0</v>
      </c>
      <c r="U249" s="839">
        <f t="shared" si="140"/>
        <v>0</v>
      </c>
      <c r="V249" s="839">
        <f t="shared" si="140"/>
        <v>0</v>
      </c>
      <c r="W249" s="839">
        <f t="shared" si="140"/>
        <v>0</v>
      </c>
      <c r="X249" s="839">
        <f t="shared" si="140"/>
        <v>0</v>
      </c>
      <c r="Y249" s="839">
        <f t="shared" si="140"/>
        <v>0</v>
      </c>
      <c r="Z249" s="839">
        <f t="shared" si="140"/>
        <v>0</v>
      </c>
      <c r="AA249" s="839">
        <f t="shared" si="140"/>
        <v>0</v>
      </c>
      <c r="AB249" s="839">
        <f t="shared" si="140"/>
        <v>0</v>
      </c>
      <c r="AC249" s="849">
        <f t="shared" si="140"/>
        <v>0</v>
      </c>
      <c r="AD249" s="1"/>
    </row>
    <row r="250" spans="9:31" ht="15.75" outlineLevel="1" x14ac:dyDescent="0.25">
      <c r="I250" s="316"/>
      <c r="J250" s="317" t="s">
        <v>201</v>
      </c>
      <c r="K250" s="318"/>
      <c r="L250" s="850"/>
      <c r="M250" s="750"/>
      <c r="N250" s="850"/>
      <c r="O250" s="850"/>
      <c r="P250" s="850"/>
      <c r="Q250" s="850"/>
      <c r="R250" s="850"/>
      <c r="S250" s="850"/>
      <c r="T250" s="850"/>
      <c r="U250" s="850"/>
      <c r="V250" s="850"/>
      <c r="W250" s="850"/>
      <c r="X250" s="850"/>
      <c r="Y250" s="850"/>
      <c r="Z250" s="850"/>
      <c r="AA250" s="850"/>
      <c r="AB250" s="850"/>
      <c r="AC250" s="851"/>
      <c r="AD250" s="1"/>
    </row>
    <row r="251" spans="9:31" ht="15.75" outlineLevel="1" x14ac:dyDescent="0.25">
      <c r="I251" s="316"/>
      <c r="J251" s="322" t="s">
        <v>202</v>
      </c>
      <c r="K251" s="318"/>
      <c r="L251" s="848">
        <f>SUM(N251:AC251)</f>
        <v>0</v>
      </c>
      <c r="M251" s="750"/>
      <c r="N251" s="789">
        <f>SUM('Bgn&gt;&gt;:&lt;&lt;End'!N251)</f>
        <v>0</v>
      </c>
      <c r="O251" s="789">
        <f>SUM('Bgn&gt;&gt;:&lt;&lt;End'!O251)</f>
        <v>0</v>
      </c>
      <c r="P251" s="789">
        <f>SUM('Bgn&gt;&gt;:&lt;&lt;End'!P251)</f>
        <v>0</v>
      </c>
      <c r="Q251" s="789">
        <f>SUM('Bgn&gt;&gt;:&lt;&lt;End'!Q251)</f>
        <v>0</v>
      </c>
      <c r="R251" s="789">
        <f>SUM('Bgn&gt;&gt;:&lt;&lt;End'!R251)</f>
        <v>0</v>
      </c>
      <c r="S251" s="789">
        <f>SUM('Bgn&gt;&gt;:&lt;&lt;End'!S251)</f>
        <v>0</v>
      </c>
      <c r="T251" s="789">
        <f>SUM('Bgn&gt;&gt;:&lt;&lt;End'!T251)</f>
        <v>0</v>
      </c>
      <c r="U251" s="789">
        <f>SUM('Bgn&gt;&gt;:&lt;&lt;End'!U251)</f>
        <v>0</v>
      </c>
      <c r="V251" s="789">
        <f>SUM('Bgn&gt;&gt;:&lt;&lt;End'!V251)</f>
        <v>0</v>
      </c>
      <c r="W251" s="789">
        <f>SUM('Bgn&gt;&gt;:&lt;&lt;End'!W251)</f>
        <v>0</v>
      </c>
      <c r="X251" s="789">
        <f>SUM('Bgn&gt;&gt;:&lt;&lt;End'!X251)</f>
        <v>0</v>
      </c>
      <c r="Y251" s="789">
        <f>SUM('Bgn&gt;&gt;:&lt;&lt;End'!Y251)</f>
        <v>0</v>
      </c>
      <c r="Z251" s="789">
        <f>SUM('Bgn&gt;&gt;:&lt;&lt;End'!Z251)</f>
        <v>0</v>
      </c>
      <c r="AA251" s="789">
        <f>SUM('Bgn&gt;&gt;:&lt;&lt;End'!AA251)</f>
        <v>0</v>
      </c>
      <c r="AB251" s="789">
        <f>SUM('Bgn&gt;&gt;:&lt;&lt;End'!AB251)</f>
        <v>0</v>
      </c>
      <c r="AC251" s="789">
        <f>SUM('Bgn&gt;&gt;:&lt;&lt;End'!AC251)</f>
        <v>0</v>
      </c>
      <c r="AD251" s="1"/>
    </row>
    <row r="252" spans="9:31" ht="15.75" outlineLevel="1" x14ac:dyDescent="0.25">
      <c r="I252" s="316"/>
      <c r="J252" s="322" t="s">
        <v>203</v>
      </c>
      <c r="K252" s="318"/>
      <c r="L252" s="848">
        <f>SUM(N252:AC252)</f>
        <v>0</v>
      </c>
      <c r="M252" s="750"/>
      <c r="N252" s="789">
        <f>SUM('Bgn&gt;&gt;:&lt;&lt;End'!N252)</f>
        <v>0</v>
      </c>
      <c r="O252" s="789">
        <f>SUM('Bgn&gt;&gt;:&lt;&lt;End'!O252)</f>
        <v>0</v>
      </c>
      <c r="P252" s="789">
        <f>SUM('Bgn&gt;&gt;:&lt;&lt;End'!P252)</f>
        <v>0</v>
      </c>
      <c r="Q252" s="789">
        <f>SUM('Bgn&gt;&gt;:&lt;&lt;End'!Q252)</f>
        <v>0</v>
      </c>
      <c r="R252" s="789">
        <f>SUM('Bgn&gt;&gt;:&lt;&lt;End'!R252)</f>
        <v>0</v>
      </c>
      <c r="S252" s="789">
        <f>SUM('Bgn&gt;&gt;:&lt;&lt;End'!S252)</f>
        <v>0</v>
      </c>
      <c r="T252" s="789">
        <f>SUM('Bgn&gt;&gt;:&lt;&lt;End'!T252)</f>
        <v>0</v>
      </c>
      <c r="U252" s="789">
        <f>SUM('Bgn&gt;&gt;:&lt;&lt;End'!U252)</f>
        <v>0</v>
      </c>
      <c r="V252" s="789">
        <f>SUM('Bgn&gt;&gt;:&lt;&lt;End'!V252)</f>
        <v>0</v>
      </c>
      <c r="W252" s="789">
        <f>SUM('Bgn&gt;&gt;:&lt;&lt;End'!W252)</f>
        <v>0</v>
      </c>
      <c r="X252" s="789">
        <f>SUM('Bgn&gt;&gt;:&lt;&lt;End'!X252)</f>
        <v>0</v>
      </c>
      <c r="Y252" s="789">
        <f>SUM('Bgn&gt;&gt;:&lt;&lt;End'!Y252)</f>
        <v>0</v>
      </c>
      <c r="Z252" s="789">
        <f>SUM('Bgn&gt;&gt;:&lt;&lt;End'!Z252)</f>
        <v>0</v>
      </c>
      <c r="AA252" s="789">
        <f>SUM('Bgn&gt;&gt;:&lt;&lt;End'!AA252)</f>
        <v>0</v>
      </c>
      <c r="AB252" s="789">
        <f>SUM('Bgn&gt;&gt;:&lt;&lt;End'!AB252)</f>
        <v>0</v>
      </c>
      <c r="AC252" s="789">
        <f>SUM('Bgn&gt;&gt;:&lt;&lt;End'!AC252)</f>
        <v>0</v>
      </c>
      <c r="AD252" s="1"/>
    </row>
    <row r="253" spans="9:31" ht="15.75" outlineLevel="1" x14ac:dyDescent="0.25">
      <c r="I253" s="316"/>
      <c r="J253" s="324" t="s">
        <v>204</v>
      </c>
      <c r="K253" s="318"/>
      <c r="L253" s="839">
        <f t="shared" ref="L253:AC253" si="141">SUM(L251:L252)</f>
        <v>0</v>
      </c>
      <c r="M253" s="750"/>
      <c r="N253" s="839">
        <f t="shared" si="141"/>
        <v>0</v>
      </c>
      <c r="O253" s="839">
        <f t="shared" si="141"/>
        <v>0</v>
      </c>
      <c r="P253" s="839">
        <f t="shared" si="141"/>
        <v>0</v>
      </c>
      <c r="Q253" s="839">
        <f t="shared" si="141"/>
        <v>0</v>
      </c>
      <c r="R253" s="839">
        <f t="shared" si="141"/>
        <v>0</v>
      </c>
      <c r="S253" s="839">
        <f t="shared" si="141"/>
        <v>0</v>
      </c>
      <c r="T253" s="839">
        <f t="shared" si="141"/>
        <v>0</v>
      </c>
      <c r="U253" s="839">
        <f t="shared" si="141"/>
        <v>0</v>
      </c>
      <c r="V253" s="839">
        <f t="shared" si="141"/>
        <v>0</v>
      </c>
      <c r="W253" s="839">
        <f t="shared" si="141"/>
        <v>0</v>
      </c>
      <c r="X253" s="839">
        <f t="shared" si="141"/>
        <v>0</v>
      </c>
      <c r="Y253" s="839">
        <f t="shared" si="141"/>
        <v>0</v>
      </c>
      <c r="Z253" s="839">
        <f t="shared" si="141"/>
        <v>0</v>
      </c>
      <c r="AA253" s="839">
        <f t="shared" si="141"/>
        <v>0</v>
      </c>
      <c r="AB253" s="839">
        <f t="shared" si="141"/>
        <v>0</v>
      </c>
      <c r="AC253" s="849">
        <f t="shared" si="141"/>
        <v>0</v>
      </c>
      <c r="AD253" s="1"/>
    </row>
    <row r="254" spans="9:31" outlineLevel="1" thickBot="1" x14ac:dyDescent="0.3">
      <c r="I254" s="316"/>
      <c r="J254" s="317" t="s">
        <v>182</v>
      </c>
      <c r="K254" s="318"/>
      <c r="L254" s="837">
        <f>L249+L253</f>
        <v>0</v>
      </c>
      <c r="M254" s="750"/>
      <c r="N254" s="837">
        <f>N249+N253</f>
        <v>0</v>
      </c>
      <c r="O254" s="837">
        <f t="shared" ref="O254:AC254" si="142">O249+O253</f>
        <v>0</v>
      </c>
      <c r="P254" s="837">
        <f t="shared" si="142"/>
        <v>0</v>
      </c>
      <c r="Q254" s="837">
        <f t="shared" si="142"/>
        <v>0</v>
      </c>
      <c r="R254" s="837">
        <f t="shared" si="142"/>
        <v>0</v>
      </c>
      <c r="S254" s="837">
        <f t="shared" si="142"/>
        <v>0</v>
      </c>
      <c r="T254" s="837">
        <f t="shared" si="142"/>
        <v>0</v>
      </c>
      <c r="U254" s="837">
        <f t="shared" si="142"/>
        <v>0</v>
      </c>
      <c r="V254" s="837">
        <f t="shared" si="142"/>
        <v>0</v>
      </c>
      <c r="W254" s="837">
        <f t="shared" si="142"/>
        <v>0</v>
      </c>
      <c r="X254" s="837">
        <f t="shared" si="142"/>
        <v>0</v>
      </c>
      <c r="Y254" s="837">
        <f t="shared" si="142"/>
        <v>0</v>
      </c>
      <c r="Z254" s="837">
        <f t="shared" si="142"/>
        <v>0</v>
      </c>
      <c r="AA254" s="837">
        <f t="shared" si="142"/>
        <v>0</v>
      </c>
      <c r="AB254" s="837">
        <f t="shared" si="142"/>
        <v>0</v>
      </c>
      <c r="AC254" s="852">
        <f t="shared" si="142"/>
        <v>0</v>
      </c>
      <c r="AD254" s="1"/>
    </row>
    <row r="255" spans="9:31" s="308" customFormat="1" ht="18" customHeight="1" outlineLevel="1" thickTop="1" x14ac:dyDescent="0.25">
      <c r="I255" s="316"/>
      <c r="J255" s="326"/>
      <c r="K255" s="305"/>
      <c r="L255" s="327" t="s">
        <v>205</v>
      </c>
      <c r="M255" s="328"/>
      <c r="N255" s="329" t="str">
        <f>IF(N256&lt;1,"OK","Wrong")</f>
        <v>OK</v>
      </c>
      <c r="O255" s="329" t="str">
        <f t="shared" ref="O255:AC255" si="143">IF(O256&lt;1,"OK","Wrong")</f>
        <v>OK</v>
      </c>
      <c r="P255" s="329" t="str">
        <f t="shared" si="143"/>
        <v>OK</v>
      </c>
      <c r="Q255" s="329" t="str">
        <f t="shared" si="143"/>
        <v>OK</v>
      </c>
      <c r="R255" s="329" t="str">
        <f t="shared" si="143"/>
        <v>OK</v>
      </c>
      <c r="S255" s="329" t="str">
        <f t="shared" si="143"/>
        <v>OK</v>
      </c>
      <c r="T255" s="329" t="str">
        <f t="shared" si="143"/>
        <v>OK</v>
      </c>
      <c r="U255" s="329" t="str">
        <f t="shared" si="143"/>
        <v>OK</v>
      </c>
      <c r="V255" s="329" t="str">
        <f t="shared" si="143"/>
        <v>OK</v>
      </c>
      <c r="W255" s="329" t="str">
        <f t="shared" si="143"/>
        <v>OK</v>
      </c>
      <c r="X255" s="329" t="str">
        <f t="shared" si="143"/>
        <v>OK</v>
      </c>
      <c r="Y255" s="329" t="str">
        <f t="shared" si="143"/>
        <v>OK</v>
      </c>
      <c r="Z255" s="329" t="str">
        <f t="shared" si="143"/>
        <v>OK</v>
      </c>
      <c r="AA255" s="329" t="str">
        <f t="shared" si="143"/>
        <v>OK</v>
      </c>
      <c r="AB255" s="329" t="str">
        <f t="shared" si="143"/>
        <v>OK</v>
      </c>
      <c r="AC255" s="330" t="str">
        <f t="shared" si="143"/>
        <v>OK</v>
      </c>
    </row>
    <row r="256" spans="9:31" s="338" customFormat="1" ht="13.5" outlineLevel="1" thickBot="1" x14ac:dyDescent="0.25">
      <c r="I256" s="331"/>
      <c r="J256" s="332"/>
      <c r="K256" s="333"/>
      <c r="L256" s="334" t="s">
        <v>206</v>
      </c>
      <c r="M256" s="335"/>
      <c r="N256" s="336">
        <f>IF(ABS(N254-N228)&lt;0.5,0,N254-N228)</f>
        <v>0</v>
      </c>
      <c r="O256" s="336">
        <f t="shared" ref="O256:AC256" si="144">IF(ABS(O254-O228)&lt;0.5,0,O254-O228)</f>
        <v>0</v>
      </c>
      <c r="P256" s="336">
        <f t="shared" si="144"/>
        <v>0</v>
      </c>
      <c r="Q256" s="336">
        <f t="shared" si="144"/>
        <v>0</v>
      </c>
      <c r="R256" s="336">
        <f t="shared" si="144"/>
        <v>0</v>
      </c>
      <c r="S256" s="336">
        <f t="shared" si="144"/>
        <v>0</v>
      </c>
      <c r="T256" s="336">
        <f t="shared" si="144"/>
        <v>0</v>
      </c>
      <c r="U256" s="336">
        <f t="shared" si="144"/>
        <v>0</v>
      </c>
      <c r="V256" s="336">
        <f t="shared" si="144"/>
        <v>0</v>
      </c>
      <c r="W256" s="336">
        <f t="shared" si="144"/>
        <v>0</v>
      </c>
      <c r="X256" s="336">
        <f t="shared" si="144"/>
        <v>0</v>
      </c>
      <c r="Y256" s="336">
        <f t="shared" si="144"/>
        <v>0</v>
      </c>
      <c r="Z256" s="336">
        <f t="shared" si="144"/>
        <v>0</v>
      </c>
      <c r="AA256" s="336">
        <f t="shared" si="144"/>
        <v>0</v>
      </c>
      <c r="AB256" s="336">
        <f t="shared" si="144"/>
        <v>0</v>
      </c>
      <c r="AC256" s="337">
        <f t="shared" si="144"/>
        <v>0</v>
      </c>
      <c r="AE256" s="339"/>
    </row>
    <row r="257" spans="9:31" s="344" customFormat="1" outlineLevel="1" thickBot="1" x14ac:dyDescent="0.3">
      <c r="I257" s="340"/>
      <c r="J257" s="341"/>
      <c r="K257" s="342"/>
      <c r="L257" s="343"/>
      <c r="M257" s="7"/>
      <c r="N257" s="325"/>
      <c r="O257" s="325"/>
      <c r="P257" s="325"/>
      <c r="Q257" s="325"/>
      <c r="R257" s="325"/>
      <c r="S257" s="325"/>
      <c r="T257" s="325"/>
      <c r="U257" s="325"/>
      <c r="V257" s="325"/>
      <c r="W257" s="325"/>
      <c r="X257" s="325"/>
      <c r="Y257" s="325"/>
      <c r="Z257" s="325"/>
      <c r="AA257" s="325"/>
      <c r="AB257" s="325"/>
      <c r="AC257" s="325"/>
      <c r="AE257" s="345"/>
    </row>
    <row r="258" spans="9:31" s="344" customFormat="1" ht="18" outlineLevel="1" x14ac:dyDescent="0.4">
      <c r="I258" s="346"/>
      <c r="J258" s="310" t="s">
        <v>207</v>
      </c>
      <c r="K258" s="347"/>
      <c r="L258" s="348"/>
      <c r="M258" s="349"/>
      <c r="N258" s="107">
        <f>N$11</f>
        <v>2024</v>
      </c>
      <c r="O258" s="107">
        <f t="shared" ref="O258:AC258" si="145">O$11</f>
        <v>2025</v>
      </c>
      <c r="P258" s="107">
        <f t="shared" si="145"/>
        <v>2026</v>
      </c>
      <c r="Q258" s="107">
        <f t="shared" si="145"/>
        <v>2027</v>
      </c>
      <c r="R258" s="107">
        <f t="shared" si="145"/>
        <v>2028</v>
      </c>
      <c r="S258" s="107">
        <f t="shared" si="145"/>
        <v>2029</v>
      </c>
      <c r="T258" s="107">
        <f t="shared" si="145"/>
        <v>2030</v>
      </c>
      <c r="U258" s="107">
        <f t="shared" si="145"/>
        <v>2031</v>
      </c>
      <c r="V258" s="107">
        <f t="shared" si="145"/>
        <v>2032</v>
      </c>
      <c r="W258" s="107">
        <f t="shared" si="145"/>
        <v>2033</v>
      </c>
      <c r="X258" s="107">
        <f t="shared" si="145"/>
        <v>2034</v>
      </c>
      <c r="Y258" s="107">
        <f t="shared" si="145"/>
        <v>2035</v>
      </c>
      <c r="Z258" s="107">
        <f t="shared" si="145"/>
        <v>2036</v>
      </c>
      <c r="AA258" s="107">
        <f t="shared" si="145"/>
        <v>2037</v>
      </c>
      <c r="AB258" s="107">
        <f t="shared" si="145"/>
        <v>2038</v>
      </c>
      <c r="AC258" s="107">
        <f t="shared" si="145"/>
        <v>2039</v>
      </c>
      <c r="AE258" s="345"/>
    </row>
    <row r="259" spans="9:31" s="344" customFormat="1" ht="15.75" outlineLevel="1" x14ac:dyDescent="0.25">
      <c r="I259" s="350"/>
      <c r="J259" s="341"/>
      <c r="K259" s="342"/>
      <c r="L259" s="343"/>
      <c r="M259" s="7"/>
      <c r="N259" s="1"/>
      <c r="O259" s="1"/>
      <c r="P259" s="1"/>
      <c r="Q259" s="1"/>
      <c r="R259" s="1"/>
      <c r="S259" s="1"/>
      <c r="T259" s="1"/>
      <c r="U259" s="1"/>
      <c r="V259" s="1"/>
      <c r="W259" s="1"/>
      <c r="X259" s="1"/>
      <c r="Y259" s="1"/>
      <c r="Z259" s="1"/>
      <c r="AA259" s="1"/>
      <c r="AB259" s="1"/>
      <c r="AC259" s="351"/>
      <c r="AE259" s="345"/>
    </row>
    <row r="260" spans="9:31" s="344" customFormat="1" ht="15.75" outlineLevel="1" x14ac:dyDescent="0.25">
      <c r="I260" s="350"/>
      <c r="J260" s="110" t="s">
        <v>208</v>
      </c>
      <c r="K260" s="110"/>
      <c r="L260" s="343"/>
      <c r="M260" s="7"/>
      <c r="N260" s="352"/>
      <c r="O260" s="352"/>
      <c r="P260" s="352"/>
      <c r="Q260" s="352"/>
      <c r="R260" s="352"/>
      <c r="S260" s="352"/>
      <c r="T260" s="352"/>
      <c r="U260" s="352"/>
      <c r="V260" s="352"/>
      <c r="W260" s="352"/>
      <c r="X260" s="352"/>
      <c r="Y260" s="352"/>
      <c r="Z260" s="352"/>
      <c r="AA260" s="352"/>
      <c r="AB260" s="352"/>
      <c r="AC260" s="353"/>
      <c r="AE260" s="345"/>
    </row>
    <row r="261" spans="9:31" s="344" customFormat="1" ht="15.75" outlineLevel="1" x14ac:dyDescent="0.25">
      <c r="I261" s="350"/>
      <c r="J261" s="110" t="s">
        <v>209</v>
      </c>
      <c r="K261" s="110"/>
      <c r="L261" s="352"/>
      <c r="M261" s="7"/>
      <c r="N261" s="789">
        <f>SUM('Bgn&gt;&gt;:&lt;&lt;End'!N261)</f>
        <v>0</v>
      </c>
      <c r="O261" s="789">
        <f>SUM('Bgn&gt;&gt;:&lt;&lt;End'!O261)</f>
        <v>0</v>
      </c>
      <c r="P261" s="789">
        <f>SUM('Bgn&gt;&gt;:&lt;&lt;End'!P261)</f>
        <v>0</v>
      </c>
      <c r="Q261" s="789">
        <f>SUM('Bgn&gt;&gt;:&lt;&lt;End'!Q261)</f>
        <v>0</v>
      </c>
      <c r="R261" s="789">
        <f>SUM('Bgn&gt;&gt;:&lt;&lt;End'!R261)</f>
        <v>0</v>
      </c>
      <c r="S261" s="789">
        <f>SUM('Bgn&gt;&gt;:&lt;&lt;End'!S261)</f>
        <v>0</v>
      </c>
      <c r="T261" s="789">
        <f>SUM('Bgn&gt;&gt;:&lt;&lt;End'!T261)</f>
        <v>0</v>
      </c>
      <c r="U261" s="789">
        <f>SUM('Bgn&gt;&gt;:&lt;&lt;End'!U261)</f>
        <v>0</v>
      </c>
      <c r="V261" s="789">
        <f>SUM('Bgn&gt;&gt;:&lt;&lt;End'!V261)</f>
        <v>0</v>
      </c>
      <c r="W261" s="789">
        <f>SUM('Bgn&gt;&gt;:&lt;&lt;End'!W261)</f>
        <v>0</v>
      </c>
      <c r="X261" s="789">
        <f>SUM('Bgn&gt;&gt;:&lt;&lt;End'!X261)</f>
        <v>0</v>
      </c>
      <c r="Y261" s="789">
        <f>SUM('Bgn&gt;&gt;:&lt;&lt;End'!Y261)</f>
        <v>0</v>
      </c>
      <c r="Z261" s="789">
        <f>SUM('Bgn&gt;&gt;:&lt;&lt;End'!Z261)</f>
        <v>0</v>
      </c>
      <c r="AA261" s="789">
        <f>SUM('Bgn&gt;&gt;:&lt;&lt;End'!AA261)</f>
        <v>0</v>
      </c>
      <c r="AB261" s="789">
        <f>SUM('Bgn&gt;&gt;:&lt;&lt;End'!AB261)</f>
        <v>0</v>
      </c>
      <c r="AC261" s="853">
        <f>SUM('Bgn&gt;&gt;:&lt;&lt;End'!AC261)</f>
        <v>0</v>
      </c>
      <c r="AE261" s="345"/>
    </row>
    <row r="262" spans="9:31" s="344" customFormat="1" outlineLevel="1" x14ac:dyDescent="0.3">
      <c r="I262" s="350"/>
      <c r="J262" s="515" t="s">
        <v>348</v>
      </c>
      <c r="K262" s="110"/>
      <c r="L262" s="352"/>
      <c r="M262" s="7"/>
      <c r="N262" s="789">
        <f>SUM('Bgn&gt;&gt;:&lt;&lt;End'!N262)</f>
        <v>0</v>
      </c>
      <c r="O262" s="789">
        <f>SUM('Bgn&gt;&gt;:&lt;&lt;End'!O262)</f>
        <v>0</v>
      </c>
      <c r="P262" s="789">
        <f>SUM('Bgn&gt;&gt;:&lt;&lt;End'!P262)</f>
        <v>0</v>
      </c>
      <c r="Q262" s="789">
        <f>SUM('Bgn&gt;&gt;:&lt;&lt;End'!Q262)</f>
        <v>0</v>
      </c>
      <c r="R262" s="789">
        <f>SUM('Bgn&gt;&gt;:&lt;&lt;End'!R262)</f>
        <v>0</v>
      </c>
      <c r="S262" s="789">
        <f>SUM('Bgn&gt;&gt;:&lt;&lt;End'!S262)</f>
        <v>0</v>
      </c>
      <c r="T262" s="789">
        <f>SUM('Bgn&gt;&gt;:&lt;&lt;End'!T262)</f>
        <v>0</v>
      </c>
      <c r="U262" s="789">
        <f>SUM('Bgn&gt;&gt;:&lt;&lt;End'!U262)</f>
        <v>0</v>
      </c>
      <c r="V262" s="789">
        <f>SUM('Bgn&gt;&gt;:&lt;&lt;End'!V262)</f>
        <v>0</v>
      </c>
      <c r="W262" s="789">
        <f>SUM('Bgn&gt;&gt;:&lt;&lt;End'!W262)</f>
        <v>0</v>
      </c>
      <c r="X262" s="789">
        <f>SUM('Bgn&gt;&gt;:&lt;&lt;End'!X262)</f>
        <v>0</v>
      </c>
      <c r="Y262" s="789">
        <f>SUM('Bgn&gt;&gt;:&lt;&lt;End'!Y262)</f>
        <v>0</v>
      </c>
      <c r="Z262" s="789">
        <f>SUM('Bgn&gt;&gt;:&lt;&lt;End'!Z262)</f>
        <v>0</v>
      </c>
      <c r="AA262" s="789">
        <f>SUM('Bgn&gt;&gt;:&lt;&lt;End'!AA262)</f>
        <v>0</v>
      </c>
      <c r="AB262" s="789">
        <f>SUM('Bgn&gt;&gt;:&lt;&lt;End'!AB262)</f>
        <v>0</v>
      </c>
      <c r="AC262" s="853">
        <f>SUM('Bgn&gt;&gt;:&lt;&lt;End'!AC262)</f>
        <v>0</v>
      </c>
      <c r="AE262" s="345"/>
    </row>
    <row r="263" spans="9:31" s="344" customFormat="1" ht="15.75" outlineLevel="1" x14ac:dyDescent="0.25">
      <c r="I263" s="350"/>
      <c r="J263" s="110" t="s">
        <v>210</v>
      </c>
      <c r="K263" s="110"/>
      <c r="L263" s="352"/>
      <c r="M263" s="7"/>
      <c r="N263" s="789">
        <f>SUM('Bgn&gt;&gt;:&lt;&lt;End'!N263)</f>
        <v>0</v>
      </c>
      <c r="O263" s="789">
        <f>SUM('Bgn&gt;&gt;:&lt;&lt;End'!O263)</f>
        <v>0</v>
      </c>
      <c r="P263" s="789">
        <f>SUM('Bgn&gt;&gt;:&lt;&lt;End'!P263)</f>
        <v>0</v>
      </c>
      <c r="Q263" s="789">
        <f>SUM('Bgn&gt;&gt;:&lt;&lt;End'!Q263)</f>
        <v>0</v>
      </c>
      <c r="R263" s="789">
        <f>SUM('Bgn&gt;&gt;:&lt;&lt;End'!R263)</f>
        <v>0</v>
      </c>
      <c r="S263" s="789">
        <f>SUM('Bgn&gt;&gt;:&lt;&lt;End'!S263)</f>
        <v>0</v>
      </c>
      <c r="T263" s="789">
        <f>SUM('Bgn&gt;&gt;:&lt;&lt;End'!T263)</f>
        <v>0</v>
      </c>
      <c r="U263" s="789">
        <f>SUM('Bgn&gt;&gt;:&lt;&lt;End'!U263)</f>
        <v>0</v>
      </c>
      <c r="V263" s="789">
        <f>SUM('Bgn&gt;&gt;:&lt;&lt;End'!V263)</f>
        <v>0</v>
      </c>
      <c r="W263" s="789">
        <f>SUM('Bgn&gt;&gt;:&lt;&lt;End'!W263)</f>
        <v>0</v>
      </c>
      <c r="X263" s="789">
        <f>SUM('Bgn&gt;&gt;:&lt;&lt;End'!X263)</f>
        <v>0</v>
      </c>
      <c r="Y263" s="789">
        <f>SUM('Bgn&gt;&gt;:&lt;&lt;End'!Y263)</f>
        <v>0</v>
      </c>
      <c r="Z263" s="789">
        <f>SUM('Bgn&gt;&gt;:&lt;&lt;End'!Z263)</f>
        <v>0</v>
      </c>
      <c r="AA263" s="789">
        <f>SUM('Bgn&gt;&gt;:&lt;&lt;End'!AA263)</f>
        <v>0</v>
      </c>
      <c r="AB263" s="789">
        <f>SUM('Bgn&gt;&gt;:&lt;&lt;End'!AB263)</f>
        <v>0</v>
      </c>
      <c r="AC263" s="853">
        <f>SUM('Bgn&gt;&gt;:&lt;&lt;End'!AC263)</f>
        <v>0</v>
      </c>
      <c r="AE263" s="345"/>
    </row>
    <row r="264" spans="9:31" s="344" customFormat="1" ht="15.75" outlineLevel="1" x14ac:dyDescent="0.25">
      <c r="I264" s="350"/>
      <c r="J264" s="210" t="s">
        <v>211</v>
      </c>
      <c r="K264" s="210"/>
      <c r="L264" s="354"/>
      <c r="M264" s="7"/>
      <c r="N264" s="839">
        <f>SUM(N261:N263)</f>
        <v>0</v>
      </c>
      <c r="O264" s="839">
        <f t="shared" ref="O264:AC264" si="146">SUM(O261:O263)</f>
        <v>0</v>
      </c>
      <c r="P264" s="839">
        <f t="shared" si="146"/>
        <v>0</v>
      </c>
      <c r="Q264" s="839">
        <f t="shared" si="146"/>
        <v>0</v>
      </c>
      <c r="R264" s="839">
        <f t="shared" si="146"/>
        <v>0</v>
      </c>
      <c r="S264" s="839">
        <f t="shared" si="146"/>
        <v>0</v>
      </c>
      <c r="T264" s="839">
        <f t="shared" si="146"/>
        <v>0</v>
      </c>
      <c r="U264" s="839">
        <f t="shared" si="146"/>
        <v>0</v>
      </c>
      <c r="V264" s="839">
        <f t="shared" si="146"/>
        <v>0</v>
      </c>
      <c r="W264" s="839">
        <f t="shared" si="146"/>
        <v>0</v>
      </c>
      <c r="X264" s="839">
        <f t="shared" si="146"/>
        <v>0</v>
      </c>
      <c r="Y264" s="839">
        <f t="shared" si="146"/>
        <v>0</v>
      </c>
      <c r="Z264" s="839">
        <f t="shared" si="146"/>
        <v>0</v>
      </c>
      <c r="AA264" s="839">
        <f t="shared" si="146"/>
        <v>0</v>
      </c>
      <c r="AB264" s="839">
        <f t="shared" si="146"/>
        <v>0</v>
      </c>
      <c r="AC264" s="849">
        <f t="shared" si="146"/>
        <v>0</v>
      </c>
      <c r="AE264" s="345"/>
    </row>
    <row r="265" spans="9:31" s="344" customFormat="1" ht="15.75" outlineLevel="1" x14ac:dyDescent="0.25">
      <c r="I265" s="350"/>
      <c r="J265" s="355"/>
      <c r="K265" s="355"/>
      <c r="L265" s="1"/>
      <c r="M265" s="7"/>
      <c r="N265" s="750"/>
      <c r="O265" s="750"/>
      <c r="P265" s="750"/>
      <c r="Q265" s="750"/>
      <c r="R265" s="750"/>
      <c r="S265" s="750"/>
      <c r="T265" s="750"/>
      <c r="U265" s="750"/>
      <c r="V265" s="750"/>
      <c r="W265" s="750"/>
      <c r="X265" s="750"/>
      <c r="Y265" s="750"/>
      <c r="Z265" s="750"/>
      <c r="AA265" s="750"/>
      <c r="AB265" s="750"/>
      <c r="AC265" s="854"/>
      <c r="AE265" s="345"/>
    </row>
    <row r="266" spans="9:31" s="344" customFormat="1" ht="15.75" outlineLevel="1" x14ac:dyDescent="0.25">
      <c r="I266" s="350"/>
      <c r="J266" s="110" t="s">
        <v>212</v>
      </c>
      <c r="K266" s="110"/>
      <c r="L266" s="352"/>
      <c r="M266" s="7"/>
      <c r="N266" s="789">
        <f>SUM('Bgn&gt;&gt;:&lt;&lt;End'!N266)</f>
        <v>0</v>
      </c>
      <c r="O266" s="789">
        <f>SUM('Bgn&gt;&gt;:&lt;&lt;End'!O266)</f>
        <v>0</v>
      </c>
      <c r="P266" s="789">
        <f>SUM('Bgn&gt;&gt;:&lt;&lt;End'!P266)</f>
        <v>0</v>
      </c>
      <c r="Q266" s="789">
        <f>SUM('Bgn&gt;&gt;:&lt;&lt;End'!Q266)</f>
        <v>0</v>
      </c>
      <c r="R266" s="789">
        <f>SUM('Bgn&gt;&gt;:&lt;&lt;End'!R266)</f>
        <v>0</v>
      </c>
      <c r="S266" s="789">
        <f>SUM('Bgn&gt;&gt;:&lt;&lt;End'!S266)</f>
        <v>0</v>
      </c>
      <c r="T266" s="789">
        <f>SUM('Bgn&gt;&gt;:&lt;&lt;End'!T266)</f>
        <v>0</v>
      </c>
      <c r="U266" s="789">
        <f>SUM('Bgn&gt;&gt;:&lt;&lt;End'!U266)</f>
        <v>0</v>
      </c>
      <c r="V266" s="789">
        <f>SUM('Bgn&gt;&gt;:&lt;&lt;End'!V266)</f>
        <v>0</v>
      </c>
      <c r="W266" s="789">
        <f>SUM('Bgn&gt;&gt;:&lt;&lt;End'!W266)</f>
        <v>0</v>
      </c>
      <c r="X266" s="789">
        <f>SUM('Bgn&gt;&gt;:&lt;&lt;End'!X266)</f>
        <v>0</v>
      </c>
      <c r="Y266" s="789">
        <f>SUM('Bgn&gt;&gt;:&lt;&lt;End'!Y266)</f>
        <v>0</v>
      </c>
      <c r="Z266" s="789">
        <f>SUM('Bgn&gt;&gt;:&lt;&lt;End'!Z266)</f>
        <v>0</v>
      </c>
      <c r="AA266" s="789">
        <f>SUM('Bgn&gt;&gt;:&lt;&lt;End'!AA266)</f>
        <v>0</v>
      </c>
      <c r="AB266" s="789">
        <f>SUM('Bgn&gt;&gt;:&lt;&lt;End'!AB266)</f>
        <v>0</v>
      </c>
      <c r="AC266" s="853">
        <f>SUM('Bgn&gt;&gt;:&lt;&lt;End'!AC266)</f>
        <v>0</v>
      </c>
      <c r="AE266" s="345"/>
    </row>
    <row r="267" spans="9:31" s="344" customFormat="1" ht="15.75" outlineLevel="1" x14ac:dyDescent="0.25">
      <c r="I267" s="350"/>
      <c r="J267" s="110" t="s">
        <v>213</v>
      </c>
      <c r="K267" s="110"/>
      <c r="L267" s="352"/>
      <c r="M267" s="7"/>
      <c r="N267" s="789">
        <f>SUM('Bgn&gt;&gt;:&lt;&lt;End'!N267)</f>
        <v>0</v>
      </c>
      <c r="O267" s="789">
        <f>SUM('Bgn&gt;&gt;:&lt;&lt;End'!O267)</f>
        <v>0</v>
      </c>
      <c r="P267" s="789">
        <f>SUM('Bgn&gt;&gt;:&lt;&lt;End'!P267)</f>
        <v>0</v>
      </c>
      <c r="Q267" s="789">
        <f>SUM('Bgn&gt;&gt;:&lt;&lt;End'!Q267)</f>
        <v>0</v>
      </c>
      <c r="R267" s="789">
        <f>SUM('Bgn&gt;&gt;:&lt;&lt;End'!R267)</f>
        <v>0</v>
      </c>
      <c r="S267" s="789">
        <f>SUM('Bgn&gt;&gt;:&lt;&lt;End'!S267)</f>
        <v>0</v>
      </c>
      <c r="T267" s="789">
        <f>SUM('Bgn&gt;&gt;:&lt;&lt;End'!T267)</f>
        <v>0</v>
      </c>
      <c r="U267" s="789">
        <f>SUM('Bgn&gt;&gt;:&lt;&lt;End'!U267)</f>
        <v>0</v>
      </c>
      <c r="V267" s="789">
        <f>SUM('Bgn&gt;&gt;:&lt;&lt;End'!V267)</f>
        <v>0</v>
      </c>
      <c r="W267" s="789">
        <f>SUM('Bgn&gt;&gt;:&lt;&lt;End'!W267)</f>
        <v>0</v>
      </c>
      <c r="X267" s="789">
        <f>SUM('Bgn&gt;&gt;:&lt;&lt;End'!X267)</f>
        <v>0</v>
      </c>
      <c r="Y267" s="789">
        <f>SUM('Bgn&gt;&gt;:&lt;&lt;End'!Y267)</f>
        <v>0</v>
      </c>
      <c r="Z267" s="789">
        <f>SUM('Bgn&gt;&gt;:&lt;&lt;End'!Z267)</f>
        <v>0</v>
      </c>
      <c r="AA267" s="789">
        <f>SUM('Bgn&gt;&gt;:&lt;&lt;End'!AA267)</f>
        <v>0</v>
      </c>
      <c r="AB267" s="789">
        <f>SUM('Bgn&gt;&gt;:&lt;&lt;End'!AB267)</f>
        <v>0</v>
      </c>
      <c r="AC267" s="853">
        <f>SUM('Bgn&gt;&gt;:&lt;&lt;End'!AC267)</f>
        <v>0</v>
      </c>
      <c r="AE267" s="345"/>
    </row>
    <row r="268" spans="9:31" s="344" customFormat="1" ht="15.75" outlineLevel="1" x14ac:dyDescent="0.25">
      <c r="I268" s="350"/>
      <c r="J268" s="210" t="s">
        <v>214</v>
      </c>
      <c r="K268" s="210"/>
      <c r="L268" s="354"/>
      <c r="M268" s="7"/>
      <c r="N268" s="839">
        <f>SUM(N266:N267)</f>
        <v>0</v>
      </c>
      <c r="O268" s="839">
        <f t="shared" ref="O268:AC268" si="147">SUM(O266:O267)</f>
        <v>0</v>
      </c>
      <c r="P268" s="839">
        <f t="shared" si="147"/>
        <v>0</v>
      </c>
      <c r="Q268" s="839">
        <f t="shared" si="147"/>
        <v>0</v>
      </c>
      <c r="R268" s="839">
        <f t="shared" si="147"/>
        <v>0</v>
      </c>
      <c r="S268" s="839">
        <f t="shared" si="147"/>
        <v>0</v>
      </c>
      <c r="T268" s="839">
        <f t="shared" si="147"/>
        <v>0</v>
      </c>
      <c r="U268" s="839">
        <f t="shared" si="147"/>
        <v>0</v>
      </c>
      <c r="V268" s="839">
        <f t="shared" si="147"/>
        <v>0</v>
      </c>
      <c r="W268" s="839">
        <f t="shared" si="147"/>
        <v>0</v>
      </c>
      <c r="X268" s="839">
        <f t="shared" si="147"/>
        <v>0</v>
      </c>
      <c r="Y268" s="839">
        <f t="shared" si="147"/>
        <v>0</v>
      </c>
      <c r="Z268" s="839">
        <f t="shared" si="147"/>
        <v>0</v>
      </c>
      <c r="AA268" s="839">
        <f t="shared" si="147"/>
        <v>0</v>
      </c>
      <c r="AB268" s="839">
        <f t="shared" si="147"/>
        <v>0</v>
      </c>
      <c r="AC268" s="849">
        <f t="shared" si="147"/>
        <v>0</v>
      </c>
      <c r="AE268" s="345"/>
    </row>
    <row r="269" spans="9:31" s="344" customFormat="1" ht="14.25" outlineLevel="1" x14ac:dyDescent="0.2">
      <c r="I269" s="350"/>
      <c r="J269" s="1"/>
      <c r="K269" s="1"/>
      <c r="L269" s="1"/>
      <c r="M269" s="7"/>
      <c r="N269" s="750"/>
      <c r="O269" s="750"/>
      <c r="P269" s="750"/>
      <c r="Q269" s="750"/>
      <c r="R269" s="750"/>
      <c r="S269" s="750"/>
      <c r="T269" s="750"/>
      <c r="U269" s="750"/>
      <c r="V269" s="750"/>
      <c r="W269" s="750"/>
      <c r="X269" s="750"/>
      <c r="Y269" s="750"/>
      <c r="Z269" s="750"/>
      <c r="AA269" s="750"/>
      <c r="AB269" s="750"/>
      <c r="AC269" s="854"/>
      <c r="AE269" s="345"/>
    </row>
    <row r="270" spans="9:31" s="344" customFormat="1" ht="15.75" outlineLevel="1" x14ac:dyDescent="0.25">
      <c r="I270" s="350"/>
      <c r="J270" s="1" t="s">
        <v>215</v>
      </c>
      <c r="K270" s="1"/>
      <c r="L270" s="1"/>
      <c r="M270" s="7"/>
      <c r="N270" s="855">
        <f>N264+N268</f>
        <v>0</v>
      </c>
      <c r="O270" s="855">
        <f t="shared" ref="O270:AC270" si="148">O264+O268</f>
        <v>0</v>
      </c>
      <c r="P270" s="855">
        <f t="shared" si="148"/>
        <v>0</v>
      </c>
      <c r="Q270" s="855">
        <f t="shared" si="148"/>
        <v>0</v>
      </c>
      <c r="R270" s="855">
        <f t="shared" si="148"/>
        <v>0</v>
      </c>
      <c r="S270" s="855">
        <f t="shared" si="148"/>
        <v>0</v>
      </c>
      <c r="T270" s="855">
        <f t="shared" si="148"/>
        <v>0</v>
      </c>
      <c r="U270" s="855">
        <f t="shared" si="148"/>
        <v>0</v>
      </c>
      <c r="V270" s="855">
        <f t="shared" si="148"/>
        <v>0</v>
      </c>
      <c r="W270" s="855">
        <f t="shared" si="148"/>
        <v>0</v>
      </c>
      <c r="X270" s="855">
        <f t="shared" si="148"/>
        <v>0</v>
      </c>
      <c r="Y270" s="855">
        <f t="shared" si="148"/>
        <v>0</v>
      </c>
      <c r="Z270" s="855">
        <f t="shared" si="148"/>
        <v>0</v>
      </c>
      <c r="AA270" s="855">
        <f t="shared" si="148"/>
        <v>0</v>
      </c>
      <c r="AB270" s="855">
        <f t="shared" si="148"/>
        <v>0</v>
      </c>
      <c r="AC270" s="856">
        <f t="shared" si="148"/>
        <v>0</v>
      </c>
      <c r="AE270" s="345"/>
    </row>
    <row r="271" spans="9:31" s="344" customFormat="1" ht="14.25" outlineLevel="1" x14ac:dyDescent="0.2">
      <c r="I271" s="350"/>
      <c r="J271" s="1"/>
      <c r="K271" s="1"/>
      <c r="L271" s="1"/>
      <c r="M271" s="7"/>
      <c r="N271" s="750"/>
      <c r="O271" s="750"/>
      <c r="P271" s="750"/>
      <c r="Q271" s="750"/>
      <c r="R271" s="750"/>
      <c r="S271" s="750"/>
      <c r="T271" s="750"/>
      <c r="U271" s="750"/>
      <c r="V271" s="750"/>
      <c r="W271" s="750"/>
      <c r="X271" s="750"/>
      <c r="Y271" s="750"/>
      <c r="Z271" s="750"/>
      <c r="AA271" s="750"/>
      <c r="AB271" s="750"/>
      <c r="AC271" s="854"/>
      <c r="AE271" s="345"/>
    </row>
    <row r="272" spans="9:31" s="344" customFormat="1" ht="15.75" outlineLevel="1" x14ac:dyDescent="0.25">
      <c r="I272" s="350"/>
      <c r="J272" s="1" t="s">
        <v>216</v>
      </c>
      <c r="K272" s="1"/>
      <c r="L272" s="1"/>
      <c r="M272" s="7"/>
      <c r="N272" s="855">
        <f>-N237</f>
        <v>0</v>
      </c>
      <c r="O272" s="855">
        <f t="shared" ref="O272:AC272" si="149">-O237</f>
        <v>0</v>
      </c>
      <c r="P272" s="855">
        <f t="shared" si="149"/>
        <v>0</v>
      </c>
      <c r="Q272" s="855">
        <f t="shared" si="149"/>
        <v>0</v>
      </c>
      <c r="R272" s="855">
        <f t="shared" si="149"/>
        <v>0</v>
      </c>
      <c r="S272" s="855">
        <f t="shared" si="149"/>
        <v>0</v>
      </c>
      <c r="T272" s="855">
        <f t="shared" si="149"/>
        <v>0</v>
      </c>
      <c r="U272" s="855">
        <f t="shared" si="149"/>
        <v>0</v>
      </c>
      <c r="V272" s="855">
        <f t="shared" si="149"/>
        <v>0</v>
      </c>
      <c r="W272" s="855">
        <f t="shared" si="149"/>
        <v>0</v>
      </c>
      <c r="X272" s="855">
        <f t="shared" si="149"/>
        <v>0</v>
      </c>
      <c r="Y272" s="855">
        <f t="shared" si="149"/>
        <v>0</v>
      </c>
      <c r="Z272" s="855">
        <f t="shared" si="149"/>
        <v>0</v>
      </c>
      <c r="AA272" s="855">
        <f t="shared" si="149"/>
        <v>0</v>
      </c>
      <c r="AB272" s="855">
        <f t="shared" si="149"/>
        <v>0</v>
      </c>
      <c r="AC272" s="856">
        <f t="shared" si="149"/>
        <v>0</v>
      </c>
      <c r="AE272" s="345"/>
    </row>
    <row r="273" spans="8:58" s="344" customFormat="1" ht="14.25" outlineLevel="1" x14ac:dyDescent="0.2">
      <c r="I273" s="350"/>
      <c r="J273" s="1"/>
      <c r="K273" s="1"/>
      <c r="L273" s="1"/>
      <c r="M273" s="7"/>
      <c r="N273" s="750"/>
      <c r="O273" s="750"/>
      <c r="P273" s="750"/>
      <c r="Q273" s="750"/>
      <c r="R273" s="750"/>
      <c r="S273" s="750"/>
      <c r="T273" s="750"/>
      <c r="U273" s="750"/>
      <c r="V273" s="750"/>
      <c r="W273" s="750"/>
      <c r="X273" s="750"/>
      <c r="Y273" s="750"/>
      <c r="Z273" s="750"/>
      <c r="AA273" s="750"/>
      <c r="AB273" s="750"/>
      <c r="AC273" s="854"/>
      <c r="AE273" s="345"/>
    </row>
    <row r="274" spans="8:58" s="344" customFormat="1" outlineLevel="1" thickBot="1" x14ac:dyDescent="0.3">
      <c r="I274" s="350"/>
      <c r="J274" s="356" t="s">
        <v>217</v>
      </c>
      <c r="K274" s="1"/>
      <c r="L274" s="1"/>
      <c r="M274" s="7"/>
      <c r="N274" s="847">
        <f>MIN(N270,N272)</f>
        <v>0</v>
      </c>
      <c r="O274" s="847">
        <f t="shared" ref="O274:AC274" si="150">MIN(O270,O272)</f>
        <v>0</v>
      </c>
      <c r="P274" s="847">
        <f t="shared" si="150"/>
        <v>0</v>
      </c>
      <c r="Q274" s="847">
        <f t="shared" si="150"/>
        <v>0</v>
      </c>
      <c r="R274" s="847">
        <f t="shared" si="150"/>
        <v>0</v>
      </c>
      <c r="S274" s="847">
        <f t="shared" si="150"/>
        <v>0</v>
      </c>
      <c r="T274" s="847">
        <f t="shared" si="150"/>
        <v>0</v>
      </c>
      <c r="U274" s="847">
        <f t="shared" si="150"/>
        <v>0</v>
      </c>
      <c r="V274" s="847">
        <f t="shared" si="150"/>
        <v>0</v>
      </c>
      <c r="W274" s="847">
        <f t="shared" si="150"/>
        <v>0</v>
      </c>
      <c r="X274" s="847">
        <f t="shared" si="150"/>
        <v>0</v>
      </c>
      <c r="Y274" s="847">
        <f t="shared" si="150"/>
        <v>0</v>
      </c>
      <c r="Z274" s="847">
        <f t="shared" si="150"/>
        <v>0</v>
      </c>
      <c r="AA274" s="847">
        <f t="shared" si="150"/>
        <v>0</v>
      </c>
      <c r="AB274" s="847">
        <f t="shared" si="150"/>
        <v>0</v>
      </c>
      <c r="AC274" s="857">
        <f t="shared" si="150"/>
        <v>0</v>
      </c>
      <c r="AE274" s="345"/>
    </row>
    <row r="275" spans="8:58" s="344" customFormat="1" ht="15.75" outlineLevel="1" thickTop="1" thickBot="1" x14ac:dyDescent="0.25">
      <c r="I275" s="357"/>
      <c r="J275" s="358"/>
      <c r="K275" s="358"/>
      <c r="L275" s="359"/>
      <c r="M275" s="360"/>
      <c r="N275" s="858"/>
      <c r="O275" s="858"/>
      <c r="P275" s="858"/>
      <c r="Q275" s="858"/>
      <c r="R275" s="858"/>
      <c r="S275" s="858"/>
      <c r="T275" s="858"/>
      <c r="U275" s="858"/>
      <c r="V275" s="858"/>
      <c r="W275" s="858"/>
      <c r="X275" s="858"/>
      <c r="Y275" s="858"/>
      <c r="Z275" s="858"/>
      <c r="AA275" s="858"/>
      <c r="AB275" s="858"/>
      <c r="AC275" s="859"/>
      <c r="AE275" s="345"/>
    </row>
    <row r="276" spans="8:58" s="308" customFormat="1" ht="12" customHeight="1" outlineLevel="1" x14ac:dyDescent="0.2">
      <c r="I276" s="303"/>
      <c r="J276" s="304"/>
      <c r="K276" s="305"/>
      <c r="L276" s="362"/>
      <c r="M276" s="1"/>
      <c r="N276" s="363"/>
      <c r="O276" s="363"/>
      <c r="P276" s="363"/>
      <c r="Q276" s="363"/>
      <c r="R276" s="363"/>
      <c r="S276" s="363"/>
      <c r="T276" s="363"/>
      <c r="U276" s="363"/>
      <c r="V276" s="363"/>
      <c r="W276" s="363"/>
      <c r="X276" s="363"/>
      <c r="Y276" s="363"/>
      <c r="Z276" s="363"/>
      <c r="AA276" s="363"/>
      <c r="AB276" s="363"/>
      <c r="AC276" s="363"/>
    </row>
    <row r="277" spans="8:58" s="4" customFormat="1" ht="18" x14ac:dyDescent="0.2">
      <c r="H277" s="1"/>
      <c r="I277" s="132" t="s">
        <v>218</v>
      </c>
      <c r="J277" s="33" t="s">
        <v>219</v>
      </c>
      <c r="K277" s="33"/>
      <c r="L277" s="364"/>
      <c r="M277" s="364"/>
      <c r="N277" s="133">
        <f>N$11</f>
        <v>2024</v>
      </c>
      <c r="O277" s="133">
        <f t="shared" ref="O277:AC277" si="151">O$11</f>
        <v>2025</v>
      </c>
      <c r="P277" s="133">
        <f t="shared" si="151"/>
        <v>2026</v>
      </c>
      <c r="Q277" s="133">
        <f t="shared" si="151"/>
        <v>2027</v>
      </c>
      <c r="R277" s="133">
        <f t="shared" si="151"/>
        <v>2028</v>
      </c>
      <c r="S277" s="133">
        <f t="shared" si="151"/>
        <v>2029</v>
      </c>
      <c r="T277" s="133">
        <f t="shared" si="151"/>
        <v>2030</v>
      </c>
      <c r="U277" s="133">
        <f t="shared" si="151"/>
        <v>2031</v>
      </c>
      <c r="V277" s="133">
        <f t="shared" si="151"/>
        <v>2032</v>
      </c>
      <c r="W277" s="133">
        <f t="shared" si="151"/>
        <v>2033</v>
      </c>
      <c r="X277" s="133">
        <f t="shared" si="151"/>
        <v>2034</v>
      </c>
      <c r="Y277" s="133">
        <f t="shared" si="151"/>
        <v>2035</v>
      </c>
      <c r="Z277" s="133">
        <f t="shared" si="151"/>
        <v>2036</v>
      </c>
      <c r="AA277" s="133">
        <f t="shared" si="151"/>
        <v>2037</v>
      </c>
      <c r="AB277" s="133">
        <f t="shared" si="151"/>
        <v>2038</v>
      </c>
      <c r="AC277" s="133">
        <f t="shared" si="151"/>
        <v>2039</v>
      </c>
      <c r="AD277" s="1"/>
      <c r="AE277" s="1"/>
      <c r="AV277" s="1"/>
      <c r="AW277" s="1"/>
      <c r="AX277" s="1"/>
      <c r="AY277" s="1"/>
      <c r="AZ277" s="1"/>
      <c r="BA277" s="1"/>
      <c r="BB277" s="1"/>
      <c r="BC277" s="1"/>
      <c r="BD277" s="1"/>
      <c r="BE277" s="1"/>
      <c r="BF277" s="1"/>
    </row>
    <row r="278" spans="8:58" s="4" customFormat="1" ht="15.75" outlineLevel="1" x14ac:dyDescent="0.25">
      <c r="H278" s="1"/>
      <c r="I278" s="99">
        <v>1</v>
      </c>
      <c r="J278" s="67" t="s">
        <v>220</v>
      </c>
      <c r="K278" s="31"/>
      <c r="L278" s="169"/>
      <c r="M278" s="1"/>
      <c r="N278" s="31"/>
      <c r="O278" s="31"/>
      <c r="P278" s="31"/>
      <c r="Q278" s="31"/>
      <c r="R278" s="31"/>
      <c r="S278" s="31"/>
      <c r="T278" s="31"/>
      <c r="U278" s="31"/>
      <c r="V278" s="31"/>
      <c r="W278" s="31"/>
      <c r="X278" s="31"/>
      <c r="Y278" s="31"/>
      <c r="Z278" s="31"/>
      <c r="AA278" s="31"/>
      <c r="AB278" s="31"/>
      <c r="AC278" s="3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row>
    <row r="279" spans="8:58" s="4" customFormat="1" ht="15.75" outlineLevel="1" x14ac:dyDescent="0.25">
      <c r="H279" s="1"/>
      <c r="I279" s="99"/>
      <c r="J279" s="31" t="s">
        <v>30</v>
      </c>
      <c r="K279" s="31"/>
      <c r="L279" s="289"/>
      <c r="M279" s="1"/>
      <c r="N279" s="789">
        <f>SUM('Bgn&gt;&gt;:&lt;&lt;End'!N279)</f>
        <v>0</v>
      </c>
      <c r="O279" s="789">
        <f>SUM('Bgn&gt;&gt;:&lt;&lt;End'!O279)</f>
        <v>0</v>
      </c>
      <c r="P279" s="789">
        <f>SUM('Bgn&gt;&gt;:&lt;&lt;End'!P279)</f>
        <v>0</v>
      </c>
      <c r="Q279" s="789">
        <f>SUM('Bgn&gt;&gt;:&lt;&lt;End'!Q279)</f>
        <v>0</v>
      </c>
      <c r="R279" s="789">
        <f>SUM('Bgn&gt;&gt;:&lt;&lt;End'!R279)</f>
        <v>0</v>
      </c>
      <c r="S279" s="789">
        <f>SUM('Bgn&gt;&gt;:&lt;&lt;End'!S279)</f>
        <v>0</v>
      </c>
      <c r="T279" s="789">
        <f>SUM('Bgn&gt;&gt;:&lt;&lt;End'!T279)</f>
        <v>0</v>
      </c>
      <c r="U279" s="789">
        <f>SUM('Bgn&gt;&gt;:&lt;&lt;End'!U279)</f>
        <v>0</v>
      </c>
      <c r="V279" s="789">
        <f>SUM('Bgn&gt;&gt;:&lt;&lt;End'!V279)</f>
        <v>0</v>
      </c>
      <c r="W279" s="789">
        <f>SUM('Bgn&gt;&gt;:&lt;&lt;End'!W279)</f>
        <v>0</v>
      </c>
      <c r="X279" s="789">
        <f>SUM('Bgn&gt;&gt;:&lt;&lt;End'!X279)</f>
        <v>0</v>
      </c>
      <c r="Y279" s="789">
        <f>SUM('Bgn&gt;&gt;:&lt;&lt;End'!Y279)</f>
        <v>0</v>
      </c>
      <c r="Z279" s="789">
        <f>SUM('Bgn&gt;&gt;:&lt;&lt;End'!Z279)</f>
        <v>0</v>
      </c>
      <c r="AA279" s="789">
        <f>SUM('Bgn&gt;&gt;:&lt;&lt;End'!AA279)</f>
        <v>0</v>
      </c>
      <c r="AB279" s="789">
        <f>SUM('Bgn&gt;&gt;:&lt;&lt;End'!AB279)</f>
        <v>0</v>
      </c>
      <c r="AC279" s="853">
        <f>SUM('Bgn&gt;&gt;:&lt;&lt;End'!AC279)</f>
        <v>0</v>
      </c>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row>
    <row r="280" spans="8:58" s="4" customFormat="1" ht="15.75" outlineLevel="1" x14ac:dyDescent="0.25">
      <c r="H280" s="1"/>
      <c r="I280" s="99"/>
      <c r="J280" s="31" t="s">
        <v>295</v>
      </c>
      <c r="K280" s="31"/>
      <c r="L280" s="289"/>
      <c r="M280" s="1"/>
      <c r="N280" s="789">
        <f>SUM('Bgn&gt;&gt;:&lt;&lt;End'!N280)</f>
        <v>0</v>
      </c>
      <c r="O280" s="789">
        <f>SUM('Bgn&gt;&gt;:&lt;&lt;End'!O280)</f>
        <v>0</v>
      </c>
      <c r="P280" s="789">
        <f>SUM('Bgn&gt;&gt;:&lt;&lt;End'!P280)</f>
        <v>0</v>
      </c>
      <c r="Q280" s="789">
        <f>SUM('Bgn&gt;&gt;:&lt;&lt;End'!Q280)</f>
        <v>0</v>
      </c>
      <c r="R280" s="789">
        <f>SUM('Bgn&gt;&gt;:&lt;&lt;End'!R280)</f>
        <v>0</v>
      </c>
      <c r="S280" s="789">
        <f>SUM('Bgn&gt;&gt;:&lt;&lt;End'!S280)</f>
        <v>0</v>
      </c>
      <c r="T280" s="789">
        <f>SUM('Bgn&gt;&gt;:&lt;&lt;End'!T280)</f>
        <v>0</v>
      </c>
      <c r="U280" s="789">
        <f>SUM('Bgn&gt;&gt;:&lt;&lt;End'!U280)</f>
        <v>0</v>
      </c>
      <c r="V280" s="789">
        <f>SUM('Bgn&gt;&gt;:&lt;&lt;End'!V280)</f>
        <v>0</v>
      </c>
      <c r="W280" s="789">
        <f>SUM('Bgn&gt;&gt;:&lt;&lt;End'!W280)</f>
        <v>0</v>
      </c>
      <c r="X280" s="789">
        <f>SUM('Bgn&gt;&gt;:&lt;&lt;End'!X280)</f>
        <v>0</v>
      </c>
      <c r="Y280" s="789">
        <f>SUM('Bgn&gt;&gt;:&lt;&lt;End'!Y280)</f>
        <v>0</v>
      </c>
      <c r="Z280" s="789">
        <f>SUM('Bgn&gt;&gt;:&lt;&lt;End'!Z280)</f>
        <v>0</v>
      </c>
      <c r="AA280" s="789">
        <f>SUM('Bgn&gt;&gt;:&lt;&lt;End'!AA280)</f>
        <v>0</v>
      </c>
      <c r="AB280" s="789">
        <f>SUM('Bgn&gt;&gt;:&lt;&lt;End'!AB280)</f>
        <v>0</v>
      </c>
      <c r="AC280" s="853">
        <f>SUM('Bgn&gt;&gt;:&lt;&lt;End'!AC280)</f>
        <v>0</v>
      </c>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row>
    <row r="281" spans="8:58" s="4" customFormat="1" ht="15.75" outlineLevel="1" x14ac:dyDescent="0.25">
      <c r="H281" s="1"/>
      <c r="I281" s="99"/>
      <c r="J281" s="31" t="s">
        <v>296</v>
      </c>
      <c r="K281" s="31"/>
      <c r="L281" s="289"/>
      <c r="M281" s="1"/>
      <c r="N281" s="789">
        <f>SUM('Bgn&gt;&gt;:&lt;&lt;End'!N281)</f>
        <v>0</v>
      </c>
      <c r="O281" s="789">
        <f>SUM('Bgn&gt;&gt;:&lt;&lt;End'!O281)</f>
        <v>0</v>
      </c>
      <c r="P281" s="789">
        <f>SUM('Bgn&gt;&gt;:&lt;&lt;End'!P281)</f>
        <v>0</v>
      </c>
      <c r="Q281" s="789">
        <f>SUM('Bgn&gt;&gt;:&lt;&lt;End'!Q281)</f>
        <v>0</v>
      </c>
      <c r="R281" s="789">
        <f>SUM('Bgn&gt;&gt;:&lt;&lt;End'!R281)</f>
        <v>0</v>
      </c>
      <c r="S281" s="789">
        <f>SUM('Bgn&gt;&gt;:&lt;&lt;End'!S281)</f>
        <v>0</v>
      </c>
      <c r="T281" s="789">
        <f>SUM('Bgn&gt;&gt;:&lt;&lt;End'!T281)</f>
        <v>0</v>
      </c>
      <c r="U281" s="789">
        <f>SUM('Bgn&gt;&gt;:&lt;&lt;End'!U281)</f>
        <v>0</v>
      </c>
      <c r="V281" s="789">
        <f>SUM('Bgn&gt;&gt;:&lt;&lt;End'!V281)</f>
        <v>0</v>
      </c>
      <c r="W281" s="789">
        <f>SUM('Bgn&gt;&gt;:&lt;&lt;End'!W281)</f>
        <v>0</v>
      </c>
      <c r="X281" s="789">
        <f>SUM('Bgn&gt;&gt;:&lt;&lt;End'!X281)</f>
        <v>0</v>
      </c>
      <c r="Y281" s="789">
        <f>SUM('Bgn&gt;&gt;:&lt;&lt;End'!Y281)</f>
        <v>0</v>
      </c>
      <c r="Z281" s="789">
        <f>SUM('Bgn&gt;&gt;:&lt;&lt;End'!Z281)</f>
        <v>0</v>
      </c>
      <c r="AA281" s="789">
        <f>SUM('Bgn&gt;&gt;:&lt;&lt;End'!AA281)</f>
        <v>0</v>
      </c>
      <c r="AB281" s="789">
        <f>SUM('Bgn&gt;&gt;:&lt;&lt;End'!AB281)</f>
        <v>0</v>
      </c>
      <c r="AC281" s="853">
        <f>SUM('Bgn&gt;&gt;:&lt;&lt;End'!AC281)</f>
        <v>0</v>
      </c>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row>
    <row r="282" spans="8:58" s="4" customFormat="1" ht="15.75" outlineLevel="1" x14ac:dyDescent="0.25">
      <c r="H282" s="1"/>
      <c r="I282" s="99"/>
      <c r="J282" s="31" t="s">
        <v>458</v>
      </c>
      <c r="K282" s="31"/>
      <c r="L282" s="289"/>
      <c r="M282" s="1"/>
      <c r="N282" s="789">
        <f>SUM('Bgn&gt;&gt;:&lt;&lt;End'!N282)</f>
        <v>0</v>
      </c>
      <c r="O282" s="789">
        <f>SUM('Bgn&gt;&gt;:&lt;&lt;End'!O282)</f>
        <v>0</v>
      </c>
      <c r="P282" s="789">
        <f>SUM('Bgn&gt;&gt;:&lt;&lt;End'!P282)</f>
        <v>0</v>
      </c>
      <c r="Q282" s="789">
        <f>SUM('Bgn&gt;&gt;:&lt;&lt;End'!Q282)</f>
        <v>0</v>
      </c>
      <c r="R282" s="789">
        <f>SUM('Bgn&gt;&gt;:&lt;&lt;End'!R282)</f>
        <v>0</v>
      </c>
      <c r="S282" s="789">
        <f>SUM('Bgn&gt;&gt;:&lt;&lt;End'!S282)</f>
        <v>0</v>
      </c>
      <c r="T282" s="789">
        <f>SUM('Bgn&gt;&gt;:&lt;&lt;End'!T282)</f>
        <v>0</v>
      </c>
      <c r="U282" s="789">
        <f>SUM('Bgn&gt;&gt;:&lt;&lt;End'!U282)</f>
        <v>0</v>
      </c>
      <c r="V282" s="789">
        <f>SUM('Bgn&gt;&gt;:&lt;&lt;End'!V282)</f>
        <v>0</v>
      </c>
      <c r="W282" s="789">
        <f>SUM('Bgn&gt;&gt;:&lt;&lt;End'!W282)</f>
        <v>0</v>
      </c>
      <c r="X282" s="789">
        <f>SUM('Bgn&gt;&gt;:&lt;&lt;End'!X282)</f>
        <v>0</v>
      </c>
      <c r="Y282" s="789">
        <f>SUM('Bgn&gt;&gt;:&lt;&lt;End'!Y282)</f>
        <v>0</v>
      </c>
      <c r="Z282" s="789">
        <f>SUM('Bgn&gt;&gt;:&lt;&lt;End'!Z282)</f>
        <v>0</v>
      </c>
      <c r="AA282" s="789">
        <f>SUM('Bgn&gt;&gt;:&lt;&lt;End'!AA282)</f>
        <v>0</v>
      </c>
      <c r="AB282" s="789">
        <f>SUM('Bgn&gt;&gt;:&lt;&lt;End'!AB282)</f>
        <v>0</v>
      </c>
      <c r="AC282" s="853">
        <f>SUM('Bgn&gt;&gt;:&lt;&lt;End'!AC282)</f>
        <v>0</v>
      </c>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row>
    <row r="283" spans="8:58" s="4" customFormat="1" ht="15.75" outlineLevel="1" x14ac:dyDescent="0.25">
      <c r="H283" s="1"/>
      <c r="I283" s="99"/>
      <c r="J283" s="31" t="s">
        <v>298</v>
      </c>
      <c r="K283" s="31"/>
      <c r="L283" s="289"/>
      <c r="M283" s="1"/>
      <c r="N283" s="789">
        <f>SUM('Bgn&gt;&gt;:&lt;&lt;End'!N283)</f>
        <v>0</v>
      </c>
      <c r="O283" s="789">
        <f>SUM('Bgn&gt;&gt;:&lt;&lt;End'!O283)</f>
        <v>0</v>
      </c>
      <c r="P283" s="789">
        <f>SUM('Bgn&gt;&gt;:&lt;&lt;End'!P283)</f>
        <v>0</v>
      </c>
      <c r="Q283" s="789">
        <f>SUM('Bgn&gt;&gt;:&lt;&lt;End'!Q283)</f>
        <v>0</v>
      </c>
      <c r="R283" s="789">
        <f>SUM('Bgn&gt;&gt;:&lt;&lt;End'!R283)</f>
        <v>0</v>
      </c>
      <c r="S283" s="789">
        <f>SUM('Bgn&gt;&gt;:&lt;&lt;End'!S283)</f>
        <v>0</v>
      </c>
      <c r="T283" s="789">
        <f>SUM('Bgn&gt;&gt;:&lt;&lt;End'!T283)</f>
        <v>0</v>
      </c>
      <c r="U283" s="789">
        <f>SUM('Bgn&gt;&gt;:&lt;&lt;End'!U283)</f>
        <v>0</v>
      </c>
      <c r="V283" s="789">
        <f>SUM('Bgn&gt;&gt;:&lt;&lt;End'!V283)</f>
        <v>0</v>
      </c>
      <c r="W283" s="789">
        <f>SUM('Bgn&gt;&gt;:&lt;&lt;End'!W283)</f>
        <v>0</v>
      </c>
      <c r="X283" s="789">
        <f>SUM('Bgn&gt;&gt;:&lt;&lt;End'!X283)</f>
        <v>0</v>
      </c>
      <c r="Y283" s="789">
        <f>SUM('Bgn&gt;&gt;:&lt;&lt;End'!Y283)</f>
        <v>0</v>
      </c>
      <c r="Z283" s="789">
        <f>SUM('Bgn&gt;&gt;:&lt;&lt;End'!Z283)</f>
        <v>0</v>
      </c>
      <c r="AA283" s="789">
        <f>SUM('Bgn&gt;&gt;:&lt;&lt;End'!AA283)</f>
        <v>0</v>
      </c>
      <c r="AB283" s="789">
        <f>SUM('Bgn&gt;&gt;:&lt;&lt;End'!AB283)</f>
        <v>0</v>
      </c>
      <c r="AC283" s="853">
        <f>SUM('Bgn&gt;&gt;:&lt;&lt;End'!AC283)</f>
        <v>0</v>
      </c>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row>
    <row r="284" spans="8:58" s="4" customFormat="1" ht="15.75" outlineLevel="1" x14ac:dyDescent="0.25">
      <c r="H284" s="1"/>
      <c r="I284" s="99"/>
      <c r="J284" s="31" t="s">
        <v>162</v>
      </c>
      <c r="K284" s="31"/>
      <c r="L284" s="289"/>
      <c r="M284" s="1"/>
      <c r="N284" s="789">
        <f>SUM('Bgn&gt;&gt;:&lt;&lt;End'!N284)</f>
        <v>0</v>
      </c>
      <c r="O284" s="789">
        <f>SUM('Bgn&gt;&gt;:&lt;&lt;End'!O284)</f>
        <v>0</v>
      </c>
      <c r="P284" s="789">
        <f>SUM('Bgn&gt;&gt;:&lt;&lt;End'!P284)</f>
        <v>0</v>
      </c>
      <c r="Q284" s="789">
        <f>SUM('Bgn&gt;&gt;:&lt;&lt;End'!Q284)</f>
        <v>0</v>
      </c>
      <c r="R284" s="789">
        <f>SUM('Bgn&gt;&gt;:&lt;&lt;End'!R284)</f>
        <v>0</v>
      </c>
      <c r="S284" s="789">
        <f>SUM('Bgn&gt;&gt;:&lt;&lt;End'!S284)</f>
        <v>0</v>
      </c>
      <c r="T284" s="789">
        <f>SUM('Bgn&gt;&gt;:&lt;&lt;End'!T284)</f>
        <v>0</v>
      </c>
      <c r="U284" s="789">
        <f>SUM('Bgn&gt;&gt;:&lt;&lt;End'!U284)</f>
        <v>0</v>
      </c>
      <c r="V284" s="789">
        <f>SUM('Bgn&gt;&gt;:&lt;&lt;End'!V284)</f>
        <v>0</v>
      </c>
      <c r="W284" s="789">
        <f>SUM('Bgn&gt;&gt;:&lt;&lt;End'!W284)</f>
        <v>0</v>
      </c>
      <c r="X284" s="789">
        <f>SUM('Bgn&gt;&gt;:&lt;&lt;End'!X284)</f>
        <v>0</v>
      </c>
      <c r="Y284" s="789">
        <f>SUM('Bgn&gt;&gt;:&lt;&lt;End'!Y284)</f>
        <v>0</v>
      </c>
      <c r="Z284" s="789">
        <f>SUM('Bgn&gt;&gt;:&lt;&lt;End'!Z284)</f>
        <v>0</v>
      </c>
      <c r="AA284" s="789">
        <f>SUM('Bgn&gt;&gt;:&lt;&lt;End'!AA284)</f>
        <v>0</v>
      </c>
      <c r="AB284" s="789">
        <f>SUM('Bgn&gt;&gt;:&lt;&lt;End'!AB284)</f>
        <v>0</v>
      </c>
      <c r="AC284" s="853">
        <f>SUM('Bgn&gt;&gt;:&lt;&lt;End'!AC284)</f>
        <v>0</v>
      </c>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row>
    <row r="285" spans="8:58" s="4" customFormat="1" ht="15.75" outlineLevel="1" x14ac:dyDescent="0.25">
      <c r="H285" s="1"/>
      <c r="I285" s="99"/>
      <c r="J285" s="31" t="s">
        <v>221</v>
      </c>
      <c r="K285" s="31"/>
      <c r="L285" s="289"/>
      <c r="M285" s="1"/>
      <c r="N285" s="789">
        <f>SUM('Bgn&gt;&gt;:&lt;&lt;End'!N285)</f>
        <v>0</v>
      </c>
      <c r="O285" s="789">
        <f>SUM('Bgn&gt;&gt;:&lt;&lt;End'!O285)</f>
        <v>0</v>
      </c>
      <c r="P285" s="789">
        <f>SUM('Bgn&gt;&gt;:&lt;&lt;End'!P285)</f>
        <v>0</v>
      </c>
      <c r="Q285" s="789">
        <f>SUM('Bgn&gt;&gt;:&lt;&lt;End'!Q285)</f>
        <v>0</v>
      </c>
      <c r="R285" s="789">
        <f>SUM('Bgn&gt;&gt;:&lt;&lt;End'!R285)</f>
        <v>0</v>
      </c>
      <c r="S285" s="789">
        <f>SUM('Bgn&gt;&gt;:&lt;&lt;End'!S285)</f>
        <v>0</v>
      </c>
      <c r="T285" s="789">
        <f>SUM('Bgn&gt;&gt;:&lt;&lt;End'!T285)</f>
        <v>0</v>
      </c>
      <c r="U285" s="789">
        <f>SUM('Bgn&gt;&gt;:&lt;&lt;End'!U285)</f>
        <v>0</v>
      </c>
      <c r="V285" s="789">
        <f>SUM('Bgn&gt;&gt;:&lt;&lt;End'!V285)</f>
        <v>0</v>
      </c>
      <c r="W285" s="789">
        <f>SUM('Bgn&gt;&gt;:&lt;&lt;End'!W285)</f>
        <v>0</v>
      </c>
      <c r="X285" s="789">
        <f>SUM('Bgn&gt;&gt;:&lt;&lt;End'!X285)</f>
        <v>0</v>
      </c>
      <c r="Y285" s="789">
        <f>SUM('Bgn&gt;&gt;:&lt;&lt;End'!Y285)</f>
        <v>0</v>
      </c>
      <c r="Z285" s="789">
        <f>SUM('Bgn&gt;&gt;:&lt;&lt;End'!Z285)</f>
        <v>0</v>
      </c>
      <c r="AA285" s="789">
        <f>SUM('Bgn&gt;&gt;:&lt;&lt;End'!AA285)</f>
        <v>0</v>
      </c>
      <c r="AB285" s="789">
        <f>SUM('Bgn&gt;&gt;:&lt;&lt;End'!AB285)</f>
        <v>0</v>
      </c>
      <c r="AC285" s="853">
        <f>SUM('Bgn&gt;&gt;:&lt;&lt;End'!AC285)</f>
        <v>0</v>
      </c>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row>
    <row r="286" spans="8:58" s="4" customFormat="1" ht="15.75" outlineLevel="1" x14ac:dyDescent="0.25">
      <c r="H286" s="1"/>
      <c r="I286" s="99"/>
      <c r="J286" s="31" t="s">
        <v>168</v>
      </c>
      <c r="K286" s="31"/>
      <c r="L286" s="289"/>
      <c r="M286" s="1"/>
      <c r="N286" s="789">
        <f>SUM('Bgn&gt;&gt;:&lt;&lt;End'!N286)</f>
        <v>0</v>
      </c>
      <c r="O286" s="789">
        <f>SUM('Bgn&gt;&gt;:&lt;&lt;End'!O286)</f>
        <v>0</v>
      </c>
      <c r="P286" s="789">
        <f>SUM('Bgn&gt;&gt;:&lt;&lt;End'!P286)</f>
        <v>0</v>
      </c>
      <c r="Q286" s="789">
        <f>SUM('Bgn&gt;&gt;:&lt;&lt;End'!Q286)</f>
        <v>0</v>
      </c>
      <c r="R286" s="789">
        <f>SUM('Bgn&gt;&gt;:&lt;&lt;End'!R286)</f>
        <v>0</v>
      </c>
      <c r="S286" s="789">
        <f>SUM('Bgn&gt;&gt;:&lt;&lt;End'!S286)</f>
        <v>0</v>
      </c>
      <c r="T286" s="789">
        <f>SUM('Bgn&gt;&gt;:&lt;&lt;End'!T286)</f>
        <v>0</v>
      </c>
      <c r="U286" s="789">
        <f>SUM('Bgn&gt;&gt;:&lt;&lt;End'!U286)</f>
        <v>0</v>
      </c>
      <c r="V286" s="789">
        <f>SUM('Bgn&gt;&gt;:&lt;&lt;End'!V286)</f>
        <v>0</v>
      </c>
      <c r="W286" s="789">
        <f>SUM('Bgn&gt;&gt;:&lt;&lt;End'!W286)</f>
        <v>0</v>
      </c>
      <c r="X286" s="789">
        <f>SUM('Bgn&gt;&gt;:&lt;&lt;End'!X286)</f>
        <v>0</v>
      </c>
      <c r="Y286" s="789">
        <f>SUM('Bgn&gt;&gt;:&lt;&lt;End'!Y286)</f>
        <v>0</v>
      </c>
      <c r="Z286" s="789">
        <f>SUM('Bgn&gt;&gt;:&lt;&lt;End'!Z286)</f>
        <v>0</v>
      </c>
      <c r="AA286" s="789">
        <f>SUM('Bgn&gt;&gt;:&lt;&lt;End'!AA286)</f>
        <v>0</v>
      </c>
      <c r="AB286" s="789">
        <f>SUM('Bgn&gt;&gt;:&lt;&lt;End'!AB286)</f>
        <v>0</v>
      </c>
      <c r="AC286" s="853">
        <f>SUM('Bgn&gt;&gt;:&lt;&lt;End'!AC286)</f>
        <v>0</v>
      </c>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row>
    <row r="287" spans="8:58" s="4" customFormat="1" ht="15.75" outlineLevel="1" x14ac:dyDescent="0.25">
      <c r="H287" s="1"/>
      <c r="I287" s="99"/>
      <c r="J287" s="31" t="s">
        <v>222</v>
      </c>
      <c r="K287" s="31"/>
      <c r="L287" s="289"/>
      <c r="M287" s="1"/>
      <c r="N287" s="789">
        <f>SUM('Bgn&gt;&gt;:&lt;&lt;End'!N287)</f>
        <v>0</v>
      </c>
      <c r="O287" s="789">
        <f>SUM('Bgn&gt;&gt;:&lt;&lt;End'!O287)</f>
        <v>0</v>
      </c>
      <c r="P287" s="789">
        <f>SUM('Bgn&gt;&gt;:&lt;&lt;End'!P287)</f>
        <v>0</v>
      </c>
      <c r="Q287" s="789">
        <f>SUM('Bgn&gt;&gt;:&lt;&lt;End'!Q287)</f>
        <v>0</v>
      </c>
      <c r="R287" s="789">
        <f>SUM('Bgn&gt;&gt;:&lt;&lt;End'!R287)</f>
        <v>0</v>
      </c>
      <c r="S287" s="789">
        <f>SUM('Bgn&gt;&gt;:&lt;&lt;End'!S287)</f>
        <v>0</v>
      </c>
      <c r="T287" s="789">
        <f>SUM('Bgn&gt;&gt;:&lt;&lt;End'!T287)</f>
        <v>0</v>
      </c>
      <c r="U287" s="789">
        <f>SUM('Bgn&gt;&gt;:&lt;&lt;End'!U287)</f>
        <v>0</v>
      </c>
      <c r="V287" s="789">
        <f>SUM('Bgn&gt;&gt;:&lt;&lt;End'!V287)</f>
        <v>0</v>
      </c>
      <c r="W287" s="789">
        <f>SUM('Bgn&gt;&gt;:&lt;&lt;End'!W287)</f>
        <v>0</v>
      </c>
      <c r="X287" s="789">
        <f>SUM('Bgn&gt;&gt;:&lt;&lt;End'!X287)</f>
        <v>0</v>
      </c>
      <c r="Y287" s="789">
        <f>SUM('Bgn&gt;&gt;:&lt;&lt;End'!Y287)</f>
        <v>0</v>
      </c>
      <c r="Z287" s="789">
        <f>SUM('Bgn&gt;&gt;:&lt;&lt;End'!Z287)</f>
        <v>0</v>
      </c>
      <c r="AA287" s="789">
        <f>SUM('Bgn&gt;&gt;:&lt;&lt;End'!AA287)</f>
        <v>0</v>
      </c>
      <c r="AB287" s="789">
        <f>SUM('Bgn&gt;&gt;:&lt;&lt;End'!AB287)</f>
        <v>0</v>
      </c>
      <c r="AC287" s="853">
        <f>SUM('Bgn&gt;&gt;:&lt;&lt;End'!AC287)</f>
        <v>0</v>
      </c>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row>
    <row r="288" spans="8:58" s="4" customFormat="1" ht="15.75" outlineLevel="1" x14ac:dyDescent="0.25">
      <c r="H288" s="1"/>
      <c r="I288" s="99"/>
      <c r="J288" s="102" t="s">
        <v>223</v>
      </c>
      <c r="K288" s="102"/>
      <c r="L288" s="365"/>
      <c r="M288" s="1"/>
      <c r="N288" s="860">
        <f t="shared" ref="N288:AC288" si="152">SUM(N279:N287)</f>
        <v>0</v>
      </c>
      <c r="O288" s="860">
        <f t="shared" si="152"/>
        <v>0</v>
      </c>
      <c r="P288" s="860">
        <f t="shared" si="152"/>
        <v>0</v>
      </c>
      <c r="Q288" s="860">
        <f t="shared" si="152"/>
        <v>0</v>
      </c>
      <c r="R288" s="860">
        <f t="shared" si="152"/>
        <v>0</v>
      </c>
      <c r="S288" s="860">
        <f t="shared" si="152"/>
        <v>0</v>
      </c>
      <c r="T288" s="860">
        <f t="shared" si="152"/>
        <v>0</v>
      </c>
      <c r="U288" s="860">
        <f t="shared" si="152"/>
        <v>0</v>
      </c>
      <c r="V288" s="860">
        <f t="shared" si="152"/>
        <v>0</v>
      </c>
      <c r="W288" s="860">
        <f t="shared" si="152"/>
        <v>0</v>
      </c>
      <c r="X288" s="860">
        <f t="shared" si="152"/>
        <v>0</v>
      </c>
      <c r="Y288" s="860">
        <f t="shared" si="152"/>
        <v>0</v>
      </c>
      <c r="Z288" s="860">
        <f t="shared" si="152"/>
        <v>0</v>
      </c>
      <c r="AA288" s="860">
        <f t="shared" si="152"/>
        <v>0</v>
      </c>
      <c r="AB288" s="860">
        <f t="shared" si="152"/>
        <v>0</v>
      </c>
      <c r="AC288" s="860">
        <f t="shared" si="152"/>
        <v>0</v>
      </c>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row>
    <row r="289" spans="8:58" s="4" customFormat="1" ht="15.75" outlineLevel="1" x14ac:dyDescent="0.25">
      <c r="H289" s="1"/>
      <c r="I289" s="99"/>
      <c r="J289" s="31" t="s">
        <v>224</v>
      </c>
      <c r="K289" s="31"/>
      <c r="L289" s="289"/>
      <c r="M289" s="1"/>
      <c r="N289" s="861">
        <f>N288</f>
        <v>0</v>
      </c>
      <c r="O289" s="844">
        <f t="shared" ref="O289:AC289" si="153">O288-N288</f>
        <v>0</v>
      </c>
      <c r="P289" s="844">
        <f t="shared" si="153"/>
        <v>0</v>
      </c>
      <c r="Q289" s="844">
        <f t="shared" si="153"/>
        <v>0</v>
      </c>
      <c r="R289" s="844">
        <f t="shared" si="153"/>
        <v>0</v>
      </c>
      <c r="S289" s="844">
        <f t="shared" si="153"/>
        <v>0</v>
      </c>
      <c r="T289" s="844">
        <f t="shared" si="153"/>
        <v>0</v>
      </c>
      <c r="U289" s="844">
        <f t="shared" si="153"/>
        <v>0</v>
      </c>
      <c r="V289" s="844">
        <f t="shared" si="153"/>
        <v>0</v>
      </c>
      <c r="W289" s="844">
        <f t="shared" si="153"/>
        <v>0</v>
      </c>
      <c r="X289" s="844">
        <f t="shared" si="153"/>
        <v>0</v>
      </c>
      <c r="Y289" s="844">
        <f t="shared" si="153"/>
        <v>0</v>
      </c>
      <c r="Z289" s="844">
        <f t="shared" si="153"/>
        <v>0</v>
      </c>
      <c r="AA289" s="844">
        <f t="shared" si="153"/>
        <v>0</v>
      </c>
      <c r="AB289" s="844">
        <f t="shared" si="153"/>
        <v>0</v>
      </c>
      <c r="AC289" s="844">
        <f t="shared" si="153"/>
        <v>0</v>
      </c>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row>
    <row r="290" spans="8:58" s="4" customFormat="1" ht="15.75" outlineLevel="1" x14ac:dyDescent="0.25">
      <c r="H290" s="1"/>
      <c r="I290" s="99">
        <v>2</v>
      </c>
      <c r="J290" s="67" t="s">
        <v>225</v>
      </c>
      <c r="K290" s="31"/>
      <c r="L290" s="169"/>
      <c r="M290" s="1"/>
      <c r="N290" s="838"/>
      <c r="O290" s="838"/>
      <c r="P290" s="838"/>
      <c r="Q290" s="838"/>
      <c r="R290" s="838"/>
      <c r="S290" s="838"/>
      <c r="T290" s="838"/>
      <c r="U290" s="838"/>
      <c r="V290" s="838"/>
      <c r="W290" s="838"/>
      <c r="X290" s="838"/>
      <c r="Y290" s="838"/>
      <c r="Z290" s="838"/>
      <c r="AA290" s="838"/>
      <c r="AB290" s="838"/>
      <c r="AC290" s="838"/>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row>
    <row r="291" spans="8:58" s="4" customFormat="1" ht="15.75" outlineLevel="1" x14ac:dyDescent="0.25">
      <c r="H291" s="1"/>
      <c r="I291" s="99"/>
      <c r="J291" s="31" t="s">
        <v>226</v>
      </c>
      <c r="K291" s="31"/>
      <c r="L291" s="289"/>
      <c r="M291" s="1"/>
      <c r="N291" s="862">
        <f>SUM('Bgn&gt;&gt;:&lt;&lt;End'!N291)</f>
        <v>0</v>
      </c>
      <c r="O291" s="844">
        <f t="shared" ref="O291:AC291" si="154">N293</f>
        <v>0</v>
      </c>
      <c r="P291" s="844">
        <f t="shared" si="154"/>
        <v>0</v>
      </c>
      <c r="Q291" s="844">
        <f t="shared" si="154"/>
        <v>0</v>
      </c>
      <c r="R291" s="844">
        <f t="shared" si="154"/>
        <v>0</v>
      </c>
      <c r="S291" s="844">
        <f t="shared" si="154"/>
        <v>0</v>
      </c>
      <c r="T291" s="844">
        <f t="shared" si="154"/>
        <v>0</v>
      </c>
      <c r="U291" s="844">
        <f t="shared" si="154"/>
        <v>0</v>
      </c>
      <c r="V291" s="844">
        <f t="shared" si="154"/>
        <v>0</v>
      </c>
      <c r="W291" s="844">
        <f t="shared" si="154"/>
        <v>0</v>
      </c>
      <c r="X291" s="844">
        <f t="shared" si="154"/>
        <v>0</v>
      </c>
      <c r="Y291" s="844">
        <f t="shared" si="154"/>
        <v>0</v>
      </c>
      <c r="Z291" s="844">
        <f t="shared" si="154"/>
        <v>0</v>
      </c>
      <c r="AA291" s="844">
        <f t="shared" si="154"/>
        <v>0</v>
      </c>
      <c r="AB291" s="844">
        <f t="shared" si="154"/>
        <v>0</v>
      </c>
      <c r="AC291" s="844">
        <f t="shared" si="154"/>
        <v>0</v>
      </c>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row>
    <row r="292" spans="8:58" s="4" customFormat="1" ht="15.75" outlineLevel="1" x14ac:dyDescent="0.25">
      <c r="H292" s="1"/>
      <c r="I292" s="99"/>
      <c r="J292" s="31" t="s">
        <v>227</v>
      </c>
      <c r="K292" s="31"/>
      <c r="L292" s="289"/>
      <c r="M292" s="1"/>
      <c r="N292" s="844">
        <f t="shared" ref="N292:AC292" si="155">+N70+N75</f>
        <v>0</v>
      </c>
      <c r="O292" s="844">
        <f t="shared" si="155"/>
        <v>0</v>
      </c>
      <c r="P292" s="844">
        <f t="shared" si="155"/>
        <v>0</v>
      </c>
      <c r="Q292" s="844">
        <f t="shared" si="155"/>
        <v>0</v>
      </c>
      <c r="R292" s="844">
        <f t="shared" si="155"/>
        <v>0</v>
      </c>
      <c r="S292" s="844">
        <f t="shared" si="155"/>
        <v>0</v>
      </c>
      <c r="T292" s="844">
        <f t="shared" si="155"/>
        <v>0</v>
      </c>
      <c r="U292" s="844">
        <f t="shared" si="155"/>
        <v>0</v>
      </c>
      <c r="V292" s="844">
        <f t="shared" si="155"/>
        <v>0</v>
      </c>
      <c r="W292" s="844">
        <f t="shared" si="155"/>
        <v>0</v>
      </c>
      <c r="X292" s="844">
        <f t="shared" si="155"/>
        <v>0</v>
      </c>
      <c r="Y292" s="844">
        <f t="shared" si="155"/>
        <v>0</v>
      </c>
      <c r="Z292" s="844">
        <f t="shared" si="155"/>
        <v>0</v>
      </c>
      <c r="AA292" s="844">
        <f t="shared" si="155"/>
        <v>0</v>
      </c>
      <c r="AB292" s="844">
        <f t="shared" si="155"/>
        <v>0</v>
      </c>
      <c r="AC292" s="844">
        <f t="shared" si="155"/>
        <v>0</v>
      </c>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row>
    <row r="293" spans="8:58" s="4" customFormat="1" ht="15.75" outlineLevel="1" x14ac:dyDescent="0.25">
      <c r="H293" s="1"/>
      <c r="I293" s="99"/>
      <c r="J293" s="102" t="s">
        <v>228</v>
      </c>
      <c r="K293" s="102"/>
      <c r="L293" s="365"/>
      <c r="M293" s="1"/>
      <c r="N293" s="860">
        <f t="shared" ref="N293:AC293" si="156">SUM(N291:N292)</f>
        <v>0</v>
      </c>
      <c r="O293" s="860">
        <f t="shared" si="156"/>
        <v>0</v>
      </c>
      <c r="P293" s="860">
        <f t="shared" si="156"/>
        <v>0</v>
      </c>
      <c r="Q293" s="860">
        <f t="shared" si="156"/>
        <v>0</v>
      </c>
      <c r="R293" s="860">
        <f t="shared" si="156"/>
        <v>0</v>
      </c>
      <c r="S293" s="860">
        <f t="shared" si="156"/>
        <v>0</v>
      </c>
      <c r="T293" s="860">
        <f t="shared" si="156"/>
        <v>0</v>
      </c>
      <c r="U293" s="860">
        <f t="shared" si="156"/>
        <v>0</v>
      </c>
      <c r="V293" s="860">
        <f t="shared" si="156"/>
        <v>0</v>
      </c>
      <c r="W293" s="860">
        <f t="shared" si="156"/>
        <v>0</v>
      </c>
      <c r="X293" s="860">
        <f t="shared" si="156"/>
        <v>0</v>
      </c>
      <c r="Y293" s="860">
        <f t="shared" si="156"/>
        <v>0</v>
      </c>
      <c r="Z293" s="860">
        <f t="shared" si="156"/>
        <v>0</v>
      </c>
      <c r="AA293" s="860">
        <f t="shared" si="156"/>
        <v>0</v>
      </c>
      <c r="AB293" s="860">
        <f t="shared" si="156"/>
        <v>0</v>
      </c>
      <c r="AC293" s="860">
        <f t="shared" si="156"/>
        <v>0</v>
      </c>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row>
    <row r="294" spans="8:58" s="4" customFormat="1" ht="15.75" outlineLevel="1" x14ac:dyDescent="0.25">
      <c r="H294" s="1"/>
      <c r="I294" s="99"/>
      <c r="J294" s="31" t="s">
        <v>229</v>
      </c>
      <c r="K294" s="31"/>
      <c r="L294" s="287"/>
      <c r="M294" s="1"/>
      <c r="N294" s="789">
        <f>SUM('Bgn&gt;&gt;:&lt;&lt;End'!N294)</f>
        <v>0</v>
      </c>
      <c r="O294" s="789">
        <f>SUM('Bgn&gt;&gt;:&lt;&lt;End'!O294)</f>
        <v>0</v>
      </c>
      <c r="P294" s="789">
        <f>SUM('Bgn&gt;&gt;:&lt;&lt;End'!P294)</f>
        <v>0</v>
      </c>
      <c r="Q294" s="789">
        <f>SUM('Bgn&gt;&gt;:&lt;&lt;End'!Q294)</f>
        <v>0</v>
      </c>
      <c r="R294" s="789">
        <f>SUM('Bgn&gt;&gt;:&lt;&lt;End'!R294)</f>
        <v>0</v>
      </c>
      <c r="S294" s="789">
        <f>SUM('Bgn&gt;&gt;:&lt;&lt;End'!S294)</f>
        <v>0</v>
      </c>
      <c r="T294" s="789">
        <f>SUM('Bgn&gt;&gt;:&lt;&lt;End'!T294)</f>
        <v>0</v>
      </c>
      <c r="U294" s="789">
        <f>SUM('Bgn&gt;&gt;:&lt;&lt;End'!U294)</f>
        <v>0</v>
      </c>
      <c r="V294" s="789">
        <f>SUM('Bgn&gt;&gt;:&lt;&lt;End'!V294)</f>
        <v>0</v>
      </c>
      <c r="W294" s="789">
        <f>SUM('Bgn&gt;&gt;:&lt;&lt;End'!W294)</f>
        <v>0</v>
      </c>
      <c r="X294" s="789">
        <f>SUM('Bgn&gt;&gt;:&lt;&lt;End'!X294)</f>
        <v>0</v>
      </c>
      <c r="Y294" s="789">
        <f>SUM('Bgn&gt;&gt;:&lt;&lt;End'!Y294)</f>
        <v>0</v>
      </c>
      <c r="Z294" s="789">
        <f>SUM('Bgn&gt;&gt;:&lt;&lt;End'!Z294)</f>
        <v>0</v>
      </c>
      <c r="AA294" s="789">
        <f>SUM('Bgn&gt;&gt;:&lt;&lt;End'!AA294)</f>
        <v>0</v>
      </c>
      <c r="AB294" s="789">
        <f>SUM('Bgn&gt;&gt;:&lt;&lt;End'!AB294)</f>
        <v>0</v>
      </c>
      <c r="AC294" s="853">
        <f>SUM('Bgn&gt;&gt;:&lt;&lt;End'!AC294)</f>
        <v>0</v>
      </c>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row>
    <row r="295" spans="8:58" s="4" customFormat="1" ht="15.75" outlineLevel="1" x14ac:dyDescent="0.25">
      <c r="H295" s="1"/>
      <c r="I295" s="99"/>
      <c r="J295" s="102" t="s">
        <v>230</v>
      </c>
      <c r="K295" s="102"/>
      <c r="L295" s="365"/>
      <c r="M295" s="1"/>
      <c r="N295" s="860">
        <f>N293+SUM($N294:N294)</f>
        <v>0</v>
      </c>
      <c r="O295" s="860">
        <f>O293+SUM($N294:O294)</f>
        <v>0</v>
      </c>
      <c r="P295" s="860">
        <f>P293+SUM($N294:P294)</f>
        <v>0</v>
      </c>
      <c r="Q295" s="860">
        <f>Q293+SUM($N294:Q294)</f>
        <v>0</v>
      </c>
      <c r="R295" s="860">
        <f>R293+SUM($N294:R294)</f>
        <v>0</v>
      </c>
      <c r="S295" s="860">
        <f>S293+SUM($N294:S294)</f>
        <v>0</v>
      </c>
      <c r="T295" s="860">
        <f>T293+SUM($N294:T294)</f>
        <v>0</v>
      </c>
      <c r="U295" s="860">
        <f>U293+SUM($N294:U294)</f>
        <v>0</v>
      </c>
      <c r="V295" s="860">
        <f>V293+SUM($N294:V294)</f>
        <v>0</v>
      </c>
      <c r="W295" s="860">
        <f>W293+SUM($N294:W294)</f>
        <v>0</v>
      </c>
      <c r="X295" s="860">
        <f>X293+SUM($N294:X294)</f>
        <v>0</v>
      </c>
      <c r="Y295" s="860">
        <f>Y293+SUM($N294:Y294)</f>
        <v>0</v>
      </c>
      <c r="Z295" s="860">
        <f>Z293+SUM($N294:Z294)</f>
        <v>0</v>
      </c>
      <c r="AA295" s="860">
        <f>AA293+SUM($N294:AA294)</f>
        <v>0</v>
      </c>
      <c r="AB295" s="860">
        <f>AB293+SUM($N294:AB294)</f>
        <v>0</v>
      </c>
      <c r="AC295" s="860">
        <f>AC293+SUM($N294:AC294)</f>
        <v>0</v>
      </c>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row>
    <row r="296" spans="8:58" s="4" customFormat="1" ht="15.75" outlineLevel="1" x14ac:dyDescent="0.25">
      <c r="H296" s="1"/>
      <c r="I296" s="99">
        <v>3</v>
      </c>
      <c r="J296" s="67" t="s">
        <v>461</v>
      </c>
      <c r="K296" s="110"/>
      <c r="L296" s="366"/>
      <c r="M296" s="366"/>
      <c r="N296" s="863"/>
      <c r="O296" s="863"/>
      <c r="P296" s="863"/>
      <c r="Q296" s="863"/>
      <c r="R296" s="863"/>
      <c r="S296" s="863"/>
      <c r="T296" s="863"/>
      <c r="U296" s="863"/>
      <c r="V296" s="863"/>
      <c r="W296" s="863"/>
      <c r="X296" s="863"/>
      <c r="Y296" s="863"/>
      <c r="Z296" s="863"/>
      <c r="AA296" s="863"/>
      <c r="AB296" s="863"/>
      <c r="AC296" s="863"/>
      <c r="AD296" s="366"/>
      <c r="AE296" s="366"/>
      <c r="AF296" s="366"/>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row>
    <row r="297" spans="8:58" s="4" customFormat="1" ht="15.75" outlineLevel="1" x14ac:dyDescent="0.25">
      <c r="H297" s="1"/>
      <c r="I297" s="99"/>
      <c r="J297" s="110" t="s">
        <v>462</v>
      </c>
      <c r="K297" s="367" t="str">
        <f>IF(ABS(K298)&lt;1,"OK,Fully Amortized","Error, Not full amortized")</f>
        <v>OK,Fully Amortized</v>
      </c>
      <c r="L297" s="323">
        <f>MAX(N297:AC297)</f>
        <v>0</v>
      </c>
      <c r="M297" s="1"/>
      <c r="N297" s="848">
        <f>+SUM($N74:N74)</f>
        <v>0</v>
      </c>
      <c r="O297" s="848">
        <f>+SUM($N74:O74)</f>
        <v>0</v>
      </c>
      <c r="P297" s="848">
        <f>+SUM($N74:P74)</f>
        <v>0</v>
      </c>
      <c r="Q297" s="848">
        <f>+SUM($N74:Q74)</f>
        <v>0</v>
      </c>
      <c r="R297" s="848">
        <f>+SUM($N74:R74)</f>
        <v>0</v>
      </c>
      <c r="S297" s="848">
        <f>+SUM($N74:S74)</f>
        <v>0</v>
      </c>
      <c r="T297" s="848">
        <f>+SUM($N74:T74)</f>
        <v>0</v>
      </c>
      <c r="U297" s="848">
        <f>+SUM($N74:U74)</f>
        <v>0</v>
      </c>
      <c r="V297" s="848">
        <f>+SUM($N74:V74)</f>
        <v>0</v>
      </c>
      <c r="W297" s="848">
        <f>+SUM($N74:W74)</f>
        <v>0</v>
      </c>
      <c r="X297" s="848">
        <f>+SUM($N74:X74)</f>
        <v>0</v>
      </c>
      <c r="Y297" s="848">
        <f>+SUM($N74:Y74)</f>
        <v>0</v>
      </c>
      <c r="Z297" s="848">
        <f>+SUM($N74:Z74)</f>
        <v>0</v>
      </c>
      <c r="AA297" s="848">
        <f>+SUM($N74:AA74)</f>
        <v>0</v>
      </c>
      <c r="AB297" s="848">
        <f>+SUM($N74:AB74)</f>
        <v>0</v>
      </c>
      <c r="AC297" s="848">
        <f>+SUM($N74:AC74)</f>
        <v>0</v>
      </c>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row>
    <row r="298" spans="8:58" s="4" customFormat="1" ht="15.75" outlineLevel="1" x14ac:dyDescent="0.25">
      <c r="H298" s="1"/>
      <c r="I298" s="99"/>
      <c r="J298" s="110" t="s">
        <v>231</v>
      </c>
      <c r="K298" s="323">
        <f>SUM(L297:L298)</f>
        <v>0</v>
      </c>
      <c r="L298" s="323">
        <f>SUM(N298:AC298)</f>
        <v>0</v>
      </c>
      <c r="M298" s="1"/>
      <c r="N298" s="848">
        <f t="shared" ref="N298:AC298" si="157">N131+N151</f>
        <v>0</v>
      </c>
      <c r="O298" s="848">
        <f t="shared" si="157"/>
        <v>0</v>
      </c>
      <c r="P298" s="848">
        <f t="shared" si="157"/>
        <v>0</v>
      </c>
      <c r="Q298" s="848">
        <f t="shared" si="157"/>
        <v>0</v>
      </c>
      <c r="R298" s="848">
        <f t="shared" si="157"/>
        <v>0</v>
      </c>
      <c r="S298" s="848">
        <f t="shared" si="157"/>
        <v>0</v>
      </c>
      <c r="T298" s="848">
        <f t="shared" si="157"/>
        <v>0</v>
      </c>
      <c r="U298" s="848">
        <f t="shared" si="157"/>
        <v>0</v>
      </c>
      <c r="V298" s="848">
        <f t="shared" si="157"/>
        <v>0</v>
      </c>
      <c r="W298" s="848">
        <f t="shared" si="157"/>
        <v>0</v>
      </c>
      <c r="X298" s="848">
        <f t="shared" si="157"/>
        <v>0</v>
      </c>
      <c r="Y298" s="848">
        <f t="shared" si="157"/>
        <v>0</v>
      </c>
      <c r="Z298" s="848">
        <f t="shared" si="157"/>
        <v>0</v>
      </c>
      <c r="AA298" s="848">
        <f t="shared" si="157"/>
        <v>0</v>
      </c>
      <c r="AB298" s="848">
        <f t="shared" si="157"/>
        <v>0</v>
      </c>
      <c r="AC298" s="848">
        <f t="shared" si="157"/>
        <v>0</v>
      </c>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row>
    <row r="299" spans="8:58" s="4" customFormat="1" ht="15.75" outlineLevel="1" x14ac:dyDescent="0.25">
      <c r="H299" s="1"/>
      <c r="I299" s="99"/>
      <c r="J299" s="210" t="s">
        <v>232</v>
      </c>
      <c r="K299" s="210"/>
      <c r="L299" s="292"/>
      <c r="M299" s="1"/>
      <c r="N299" s="860">
        <f>N297+SUM($N298:N298)</f>
        <v>0</v>
      </c>
      <c r="O299" s="860">
        <f>O297+SUM($N298:O298)</f>
        <v>0</v>
      </c>
      <c r="P299" s="860">
        <f>P297+SUM($N298:P298)</f>
        <v>0</v>
      </c>
      <c r="Q299" s="860">
        <f>Q297+SUM($N298:Q298)</f>
        <v>0</v>
      </c>
      <c r="R299" s="860">
        <f>R297+SUM($N298:R298)</f>
        <v>0</v>
      </c>
      <c r="S299" s="860">
        <f>S297+SUM($N298:S298)</f>
        <v>0</v>
      </c>
      <c r="T299" s="860">
        <f>T297+SUM($N298:T298)</f>
        <v>0</v>
      </c>
      <c r="U299" s="860">
        <f>U297+SUM($N298:U298)</f>
        <v>0</v>
      </c>
      <c r="V299" s="860">
        <f>V297+SUM($N298:V298)</f>
        <v>0</v>
      </c>
      <c r="W299" s="860">
        <f>W297+SUM($N298:W298)</f>
        <v>0</v>
      </c>
      <c r="X299" s="860">
        <f>X297+SUM($N298:X298)</f>
        <v>0</v>
      </c>
      <c r="Y299" s="860">
        <f>Y297+SUM($N298:Y298)</f>
        <v>0</v>
      </c>
      <c r="Z299" s="860">
        <f>Z297+SUM($N298:Z298)</f>
        <v>0</v>
      </c>
      <c r="AA299" s="860">
        <f>AA297+SUM($N298:AA298)</f>
        <v>0</v>
      </c>
      <c r="AB299" s="860">
        <f>AB297+SUM($N298:AB298)</f>
        <v>0</v>
      </c>
      <c r="AC299" s="860">
        <f>AC297+SUM($N298:AC298)</f>
        <v>0</v>
      </c>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row>
    <row r="300" spans="8:58" ht="15.75" outlineLevel="1" x14ac:dyDescent="0.25">
      <c r="I300" s="99">
        <v>4</v>
      </c>
      <c r="J300" s="67" t="s">
        <v>233</v>
      </c>
      <c r="K300" s="31"/>
      <c r="L300" s="289"/>
      <c r="N300" s="838"/>
      <c r="O300" s="838"/>
      <c r="P300" s="838"/>
      <c r="Q300" s="838"/>
      <c r="R300" s="838"/>
      <c r="S300" s="838"/>
      <c r="T300" s="838"/>
      <c r="U300" s="838"/>
      <c r="V300" s="838"/>
      <c r="W300" s="838"/>
      <c r="X300" s="838"/>
      <c r="Y300" s="838"/>
      <c r="Z300" s="838"/>
      <c r="AA300" s="838"/>
      <c r="AB300" s="838"/>
      <c r="AC300" s="838"/>
      <c r="AD300" s="1"/>
      <c r="AE300" s="1"/>
    </row>
    <row r="301" spans="8:58" ht="15.75" outlineLevel="1" x14ac:dyDescent="0.25">
      <c r="I301" s="99"/>
      <c r="J301" s="31" t="s">
        <v>234</v>
      </c>
      <c r="K301" s="31"/>
      <c r="L301" s="289"/>
      <c r="N301" s="864">
        <v>0</v>
      </c>
      <c r="O301" s="844">
        <f t="shared" ref="O301:AC301" si="158">N303</f>
        <v>0</v>
      </c>
      <c r="P301" s="844">
        <f t="shared" si="158"/>
        <v>0</v>
      </c>
      <c r="Q301" s="844">
        <f t="shared" si="158"/>
        <v>0</v>
      </c>
      <c r="R301" s="844">
        <f t="shared" si="158"/>
        <v>0</v>
      </c>
      <c r="S301" s="844">
        <f t="shared" si="158"/>
        <v>0</v>
      </c>
      <c r="T301" s="844">
        <f t="shared" si="158"/>
        <v>0</v>
      </c>
      <c r="U301" s="844">
        <f t="shared" si="158"/>
        <v>0</v>
      </c>
      <c r="V301" s="844">
        <f t="shared" si="158"/>
        <v>0</v>
      </c>
      <c r="W301" s="844">
        <f t="shared" si="158"/>
        <v>0</v>
      </c>
      <c r="X301" s="844">
        <f t="shared" si="158"/>
        <v>0</v>
      </c>
      <c r="Y301" s="844">
        <f t="shared" si="158"/>
        <v>0</v>
      </c>
      <c r="Z301" s="844">
        <f t="shared" si="158"/>
        <v>0</v>
      </c>
      <c r="AA301" s="844">
        <f t="shared" si="158"/>
        <v>0</v>
      </c>
      <c r="AB301" s="844">
        <f t="shared" si="158"/>
        <v>0</v>
      </c>
      <c r="AC301" s="844">
        <f t="shared" si="158"/>
        <v>0</v>
      </c>
      <c r="AD301" s="1"/>
      <c r="AE301" s="1"/>
    </row>
    <row r="302" spans="8:58" ht="15.75" outlineLevel="1" x14ac:dyDescent="0.25">
      <c r="I302" s="99"/>
      <c r="J302" s="31" t="s">
        <v>235</v>
      </c>
      <c r="K302" s="31"/>
      <c r="L302" s="289"/>
      <c r="N302" s="844">
        <f t="shared" ref="N302:AC302" si="159">+N101</f>
        <v>0</v>
      </c>
      <c r="O302" s="844">
        <f t="shared" si="159"/>
        <v>0</v>
      </c>
      <c r="P302" s="844">
        <f t="shared" si="159"/>
        <v>0</v>
      </c>
      <c r="Q302" s="844">
        <f t="shared" si="159"/>
        <v>0</v>
      </c>
      <c r="R302" s="844">
        <f t="shared" si="159"/>
        <v>0</v>
      </c>
      <c r="S302" s="844">
        <f t="shared" si="159"/>
        <v>0</v>
      </c>
      <c r="T302" s="844">
        <f t="shared" si="159"/>
        <v>0</v>
      </c>
      <c r="U302" s="844">
        <f t="shared" si="159"/>
        <v>0</v>
      </c>
      <c r="V302" s="844">
        <f t="shared" si="159"/>
        <v>0</v>
      </c>
      <c r="W302" s="844">
        <f t="shared" si="159"/>
        <v>0</v>
      </c>
      <c r="X302" s="844">
        <f t="shared" si="159"/>
        <v>0</v>
      </c>
      <c r="Y302" s="844">
        <f t="shared" si="159"/>
        <v>0</v>
      </c>
      <c r="Z302" s="844">
        <f t="shared" si="159"/>
        <v>0</v>
      </c>
      <c r="AA302" s="844">
        <f t="shared" si="159"/>
        <v>0</v>
      </c>
      <c r="AB302" s="844">
        <f t="shared" si="159"/>
        <v>0</v>
      </c>
      <c r="AC302" s="844">
        <f t="shared" si="159"/>
        <v>0</v>
      </c>
      <c r="AD302" s="1"/>
      <c r="AE302" s="1"/>
    </row>
    <row r="303" spans="8:58" ht="15.75" outlineLevel="1" x14ac:dyDescent="0.25">
      <c r="I303" s="99"/>
      <c r="J303" s="102" t="s">
        <v>236</v>
      </c>
      <c r="K303" s="102"/>
      <c r="L303" s="365"/>
      <c r="N303" s="860">
        <f t="shared" ref="N303:V303" si="160">SUM(N301:N302)</f>
        <v>0</v>
      </c>
      <c r="O303" s="860">
        <f t="shared" si="160"/>
        <v>0</v>
      </c>
      <c r="P303" s="860">
        <f t="shared" si="160"/>
        <v>0</v>
      </c>
      <c r="Q303" s="860">
        <f t="shared" si="160"/>
        <v>0</v>
      </c>
      <c r="R303" s="860">
        <f t="shared" si="160"/>
        <v>0</v>
      </c>
      <c r="S303" s="860">
        <f t="shared" si="160"/>
        <v>0</v>
      </c>
      <c r="T303" s="860">
        <f t="shared" si="160"/>
        <v>0</v>
      </c>
      <c r="U303" s="860">
        <f t="shared" si="160"/>
        <v>0</v>
      </c>
      <c r="V303" s="860">
        <f t="shared" si="160"/>
        <v>0</v>
      </c>
      <c r="W303" s="860">
        <f t="shared" ref="W303:AC303" si="161">SUM(W301:W302)</f>
        <v>0</v>
      </c>
      <c r="X303" s="860">
        <f t="shared" si="161"/>
        <v>0</v>
      </c>
      <c r="Y303" s="860">
        <f t="shared" si="161"/>
        <v>0</v>
      </c>
      <c r="Z303" s="860">
        <f t="shared" si="161"/>
        <v>0</v>
      </c>
      <c r="AA303" s="860">
        <f t="shared" si="161"/>
        <v>0</v>
      </c>
      <c r="AB303" s="860">
        <f t="shared" si="161"/>
        <v>0</v>
      </c>
      <c r="AC303" s="860">
        <f t="shared" si="161"/>
        <v>0</v>
      </c>
      <c r="AD303" s="1"/>
      <c r="AE303" s="1"/>
    </row>
    <row r="304" spans="8:58" ht="15.75" outlineLevel="1" x14ac:dyDescent="0.25">
      <c r="I304" s="99"/>
      <c r="J304" s="31" t="s">
        <v>237</v>
      </c>
      <c r="K304" s="31"/>
      <c r="L304" s="287"/>
      <c r="N304" s="789">
        <f>SUM('Bgn&gt;&gt;:&lt;&lt;End'!N304)</f>
        <v>0</v>
      </c>
      <c r="O304" s="789">
        <f>SUM('Bgn&gt;&gt;:&lt;&lt;End'!O304)</f>
        <v>0</v>
      </c>
      <c r="P304" s="789">
        <f>SUM('Bgn&gt;&gt;:&lt;&lt;End'!P304)</f>
        <v>0</v>
      </c>
      <c r="Q304" s="789">
        <f>SUM('Bgn&gt;&gt;:&lt;&lt;End'!Q304)</f>
        <v>0</v>
      </c>
      <c r="R304" s="789">
        <f>SUM('Bgn&gt;&gt;:&lt;&lt;End'!R304)</f>
        <v>0</v>
      </c>
      <c r="S304" s="789">
        <f>SUM('Bgn&gt;&gt;:&lt;&lt;End'!S304)</f>
        <v>0</v>
      </c>
      <c r="T304" s="789">
        <f>SUM('Bgn&gt;&gt;:&lt;&lt;End'!T304)</f>
        <v>0</v>
      </c>
      <c r="U304" s="789">
        <f>SUM('Bgn&gt;&gt;:&lt;&lt;End'!U304)</f>
        <v>0</v>
      </c>
      <c r="V304" s="789">
        <f>SUM('Bgn&gt;&gt;:&lt;&lt;End'!V304)</f>
        <v>0</v>
      </c>
      <c r="W304" s="789">
        <f>SUM('Bgn&gt;&gt;:&lt;&lt;End'!W304)</f>
        <v>0</v>
      </c>
      <c r="X304" s="789">
        <f>SUM('Bgn&gt;&gt;:&lt;&lt;End'!X304)</f>
        <v>0</v>
      </c>
      <c r="Y304" s="789">
        <f>SUM('Bgn&gt;&gt;:&lt;&lt;End'!Y304)</f>
        <v>0</v>
      </c>
      <c r="Z304" s="789">
        <f>SUM('Bgn&gt;&gt;:&lt;&lt;End'!Z304)</f>
        <v>0</v>
      </c>
      <c r="AA304" s="789">
        <f>SUM('Bgn&gt;&gt;:&lt;&lt;End'!AA304)</f>
        <v>0</v>
      </c>
      <c r="AB304" s="789">
        <f>SUM('Bgn&gt;&gt;:&lt;&lt;End'!AB304)</f>
        <v>0</v>
      </c>
      <c r="AC304" s="853">
        <f>SUM('Bgn&gt;&gt;:&lt;&lt;End'!AC304)</f>
        <v>0</v>
      </c>
      <c r="AD304" s="1"/>
      <c r="AE304" s="1"/>
    </row>
    <row r="305" spans="8:58" ht="15.75" outlineLevel="1" x14ac:dyDescent="0.25">
      <c r="I305" s="99"/>
      <c r="J305" s="31" t="s">
        <v>238</v>
      </c>
      <c r="K305" s="31"/>
      <c r="L305" s="169"/>
      <c r="N305" s="368" t="str">
        <f t="shared" ref="N305:AC305" si="162">IF(ABS(SUM((N304+N168),(N303-N213),(N295-N208),(N294-N164),N288-SUM(N200:N206)+SUM(N211:N212)))&lt;=1,"OK","Wrong")</f>
        <v>OK</v>
      </c>
      <c r="O305" s="368" t="str">
        <f t="shared" si="162"/>
        <v>OK</v>
      </c>
      <c r="P305" s="368" t="str">
        <f t="shared" si="162"/>
        <v>OK</v>
      </c>
      <c r="Q305" s="368" t="str">
        <f t="shared" si="162"/>
        <v>OK</v>
      </c>
      <c r="R305" s="368" t="str">
        <f t="shared" si="162"/>
        <v>OK</v>
      </c>
      <c r="S305" s="368" t="str">
        <f t="shared" si="162"/>
        <v>OK</v>
      </c>
      <c r="T305" s="368" t="str">
        <f t="shared" si="162"/>
        <v>OK</v>
      </c>
      <c r="U305" s="368" t="str">
        <f t="shared" si="162"/>
        <v>OK</v>
      </c>
      <c r="V305" s="368" t="str">
        <f t="shared" si="162"/>
        <v>OK</v>
      </c>
      <c r="W305" s="368" t="str">
        <f t="shared" si="162"/>
        <v>OK</v>
      </c>
      <c r="X305" s="368" t="str">
        <f t="shared" si="162"/>
        <v>OK</v>
      </c>
      <c r="Y305" s="368" t="str">
        <f t="shared" si="162"/>
        <v>OK</v>
      </c>
      <c r="Z305" s="368" t="str">
        <f t="shared" si="162"/>
        <v>OK</v>
      </c>
      <c r="AA305" s="368" t="str">
        <f t="shared" si="162"/>
        <v>OK</v>
      </c>
      <c r="AB305" s="368" t="str">
        <f t="shared" si="162"/>
        <v>OK</v>
      </c>
      <c r="AC305" s="368" t="str">
        <f t="shared" si="162"/>
        <v>OK</v>
      </c>
      <c r="AD305" s="1"/>
      <c r="AE305" s="1"/>
    </row>
    <row r="306" spans="8:58" ht="15.75" outlineLevel="1" x14ac:dyDescent="0.25">
      <c r="I306" s="99"/>
      <c r="J306" s="31"/>
      <c r="K306" s="31"/>
      <c r="L306" s="169"/>
      <c r="N306" s="31"/>
      <c r="O306" s="31"/>
      <c r="P306" s="31"/>
      <c r="Q306" s="31"/>
      <c r="R306" s="31"/>
      <c r="S306" s="31"/>
      <c r="T306" s="31"/>
      <c r="U306" s="31"/>
      <c r="V306" s="31"/>
      <c r="W306" s="31"/>
      <c r="X306" s="31"/>
      <c r="Y306" s="31"/>
      <c r="Z306" s="31"/>
      <c r="AA306" s="31"/>
      <c r="AB306" s="31"/>
      <c r="AC306" s="31"/>
      <c r="AD306" s="1"/>
    </row>
    <row r="307" spans="8:58" s="4" customFormat="1" ht="18" x14ac:dyDescent="0.2">
      <c r="H307" s="1"/>
      <c r="I307" s="132" t="s">
        <v>239</v>
      </c>
      <c r="J307" s="33" t="s">
        <v>240</v>
      </c>
      <c r="K307" s="33"/>
      <c r="L307" s="364"/>
      <c r="M307" s="364"/>
      <c r="N307" s="133">
        <f>O$11</f>
        <v>2025</v>
      </c>
      <c r="O307" s="133">
        <f t="shared" ref="O307:AC307" si="163">P$11</f>
        <v>2026</v>
      </c>
      <c r="P307" s="133">
        <f t="shared" si="163"/>
        <v>2027</v>
      </c>
      <c r="Q307" s="133">
        <f t="shared" si="163"/>
        <v>2028</v>
      </c>
      <c r="R307" s="133">
        <f t="shared" si="163"/>
        <v>2029</v>
      </c>
      <c r="S307" s="133">
        <f t="shared" si="163"/>
        <v>2030</v>
      </c>
      <c r="T307" s="133">
        <f t="shared" si="163"/>
        <v>2031</v>
      </c>
      <c r="U307" s="133">
        <f t="shared" si="163"/>
        <v>2032</v>
      </c>
      <c r="V307" s="133">
        <f t="shared" si="163"/>
        <v>2033</v>
      </c>
      <c r="W307" s="133">
        <f t="shared" si="163"/>
        <v>2034</v>
      </c>
      <c r="X307" s="133">
        <f t="shared" si="163"/>
        <v>2035</v>
      </c>
      <c r="Y307" s="133">
        <f t="shared" si="163"/>
        <v>2036</v>
      </c>
      <c r="Z307" s="133">
        <f t="shared" si="163"/>
        <v>2037</v>
      </c>
      <c r="AA307" s="133">
        <f t="shared" si="163"/>
        <v>2038</v>
      </c>
      <c r="AB307" s="133">
        <f t="shared" si="163"/>
        <v>2039</v>
      </c>
      <c r="AC307" s="133">
        <f t="shared" si="163"/>
        <v>0</v>
      </c>
      <c r="AD307" s="1"/>
      <c r="AE307" s="1"/>
      <c r="AV307" s="1"/>
      <c r="AW307" s="1"/>
      <c r="AX307" s="1"/>
      <c r="AY307" s="1"/>
      <c r="AZ307" s="1"/>
      <c r="BA307" s="1"/>
      <c r="BB307" s="1"/>
      <c r="BC307" s="1"/>
      <c r="BD307" s="1"/>
      <c r="BE307" s="1"/>
      <c r="BF307" s="1"/>
    </row>
    <row r="308" spans="8:58" x14ac:dyDescent="0.3">
      <c r="I308" s="99"/>
      <c r="J308" s="369" t="s">
        <v>241</v>
      </c>
      <c r="K308" s="370"/>
      <c r="L308" s="371"/>
      <c r="N308" s="371"/>
      <c r="O308" s="371"/>
      <c r="P308" s="371"/>
      <c r="Q308" s="371"/>
      <c r="R308" s="371"/>
      <c r="S308" s="371"/>
      <c r="T308" s="371"/>
      <c r="U308" s="371"/>
      <c r="V308" s="371"/>
      <c r="W308" s="371"/>
      <c r="X308" s="371"/>
      <c r="Y308" s="371"/>
      <c r="Z308" s="371"/>
      <c r="AA308" s="371"/>
      <c r="AB308" s="371"/>
      <c r="AC308" s="371"/>
      <c r="AD308" s="1"/>
    </row>
    <row r="309" spans="8:58" x14ac:dyDescent="0.3">
      <c r="I309" s="99"/>
      <c r="J309" s="372" t="s">
        <v>242</v>
      </c>
      <c r="K309" s="46"/>
      <c r="L309" s="373"/>
      <c r="N309" s="374">
        <f t="shared" ref="N309:AC309" si="164">SUM(N213)</f>
        <v>0</v>
      </c>
      <c r="O309" s="374">
        <f t="shared" si="164"/>
        <v>0</v>
      </c>
      <c r="P309" s="374">
        <f t="shared" si="164"/>
        <v>0</v>
      </c>
      <c r="Q309" s="374">
        <f t="shared" si="164"/>
        <v>0</v>
      </c>
      <c r="R309" s="374">
        <f t="shared" si="164"/>
        <v>0</v>
      </c>
      <c r="S309" s="374">
        <f t="shared" si="164"/>
        <v>0</v>
      </c>
      <c r="T309" s="374">
        <f t="shared" si="164"/>
        <v>0</v>
      </c>
      <c r="U309" s="374">
        <f t="shared" si="164"/>
        <v>0</v>
      </c>
      <c r="V309" s="374">
        <f t="shared" si="164"/>
        <v>0</v>
      </c>
      <c r="W309" s="374">
        <f t="shared" si="164"/>
        <v>0</v>
      </c>
      <c r="X309" s="374">
        <f t="shared" si="164"/>
        <v>0</v>
      </c>
      <c r="Y309" s="374">
        <f t="shared" si="164"/>
        <v>0</v>
      </c>
      <c r="Z309" s="374">
        <f t="shared" si="164"/>
        <v>0</v>
      </c>
      <c r="AA309" s="374">
        <f t="shared" si="164"/>
        <v>0</v>
      </c>
      <c r="AB309" s="374">
        <f t="shared" si="164"/>
        <v>0</v>
      </c>
      <c r="AC309" s="374">
        <f t="shared" si="164"/>
        <v>0</v>
      </c>
      <c r="AD309" s="1"/>
    </row>
    <row r="310" spans="8:58" x14ac:dyDescent="0.3">
      <c r="I310" s="99"/>
      <c r="J310" s="372" t="s">
        <v>243</v>
      </c>
      <c r="K310" s="46"/>
      <c r="L310" s="373"/>
      <c r="N310" s="374">
        <f t="shared" ref="N310:AC310" si="165">N209-N214</f>
        <v>0</v>
      </c>
      <c r="O310" s="374">
        <f t="shared" si="165"/>
        <v>0</v>
      </c>
      <c r="P310" s="374">
        <f t="shared" si="165"/>
        <v>0</v>
      </c>
      <c r="Q310" s="374">
        <f t="shared" si="165"/>
        <v>0</v>
      </c>
      <c r="R310" s="374">
        <f t="shared" si="165"/>
        <v>0</v>
      </c>
      <c r="S310" s="374">
        <f t="shared" si="165"/>
        <v>0</v>
      </c>
      <c r="T310" s="374">
        <f t="shared" si="165"/>
        <v>0</v>
      </c>
      <c r="U310" s="374">
        <f t="shared" si="165"/>
        <v>0</v>
      </c>
      <c r="V310" s="374">
        <f t="shared" si="165"/>
        <v>0</v>
      </c>
      <c r="W310" s="374">
        <f t="shared" si="165"/>
        <v>0</v>
      </c>
      <c r="X310" s="374">
        <f t="shared" si="165"/>
        <v>0</v>
      </c>
      <c r="Y310" s="374">
        <f t="shared" si="165"/>
        <v>0</v>
      </c>
      <c r="Z310" s="374">
        <f t="shared" si="165"/>
        <v>0</v>
      </c>
      <c r="AA310" s="374">
        <f t="shared" si="165"/>
        <v>0</v>
      </c>
      <c r="AB310" s="374">
        <f t="shared" si="165"/>
        <v>0</v>
      </c>
      <c r="AC310" s="374">
        <f t="shared" si="165"/>
        <v>0</v>
      </c>
      <c r="AD310" s="1"/>
    </row>
    <row r="311" spans="8:58" s="66" customFormat="1" x14ac:dyDescent="0.3">
      <c r="I311" s="99"/>
      <c r="J311" s="372" t="s">
        <v>244</v>
      </c>
      <c r="K311" s="46"/>
      <c r="L311" s="373"/>
      <c r="N311" s="375"/>
      <c r="O311" s="375"/>
      <c r="P311" s="375"/>
      <c r="Q311" s="375"/>
      <c r="R311" s="375"/>
      <c r="S311" s="375"/>
      <c r="T311" s="375"/>
      <c r="U311" s="375"/>
      <c r="V311" s="375"/>
      <c r="W311" s="375"/>
      <c r="X311" s="375"/>
      <c r="Y311" s="375"/>
      <c r="Z311" s="375"/>
      <c r="AA311" s="375"/>
      <c r="AB311" s="375"/>
      <c r="AC311" s="375"/>
      <c r="AE311" s="376"/>
    </row>
    <row r="312" spans="8:58" x14ac:dyDescent="0.3">
      <c r="I312" s="99"/>
      <c r="J312" s="372" t="s">
        <v>245</v>
      </c>
      <c r="K312" s="46"/>
      <c r="L312" s="377"/>
      <c r="N312" s="378"/>
      <c r="O312" s="378"/>
      <c r="P312" s="378"/>
      <c r="Q312" s="378"/>
      <c r="R312" s="378"/>
      <c r="S312" s="378"/>
      <c r="T312" s="378"/>
      <c r="U312" s="378"/>
      <c r="V312" s="378"/>
      <c r="W312" s="378"/>
      <c r="X312" s="378"/>
      <c r="Y312" s="378"/>
      <c r="Z312" s="378"/>
      <c r="AA312" s="378"/>
      <c r="AB312" s="378"/>
      <c r="AC312" s="378"/>
      <c r="AD312" s="17"/>
    </row>
    <row r="313" spans="8:58" x14ac:dyDescent="0.3">
      <c r="I313" s="99"/>
      <c r="J313" s="372" t="s">
        <v>246</v>
      </c>
      <c r="K313" s="46"/>
      <c r="L313" s="377"/>
      <c r="N313" s="374">
        <f t="shared" ref="N313:AC313" si="166">N199</f>
        <v>0</v>
      </c>
      <c r="O313" s="374">
        <f t="shared" si="166"/>
        <v>0</v>
      </c>
      <c r="P313" s="374">
        <f t="shared" si="166"/>
        <v>0</v>
      </c>
      <c r="Q313" s="374">
        <f t="shared" si="166"/>
        <v>0</v>
      </c>
      <c r="R313" s="374">
        <f t="shared" si="166"/>
        <v>0</v>
      </c>
      <c r="S313" s="374">
        <f t="shared" si="166"/>
        <v>0</v>
      </c>
      <c r="T313" s="374">
        <f t="shared" si="166"/>
        <v>0</v>
      </c>
      <c r="U313" s="374">
        <f t="shared" si="166"/>
        <v>0</v>
      </c>
      <c r="V313" s="374">
        <f t="shared" si="166"/>
        <v>0</v>
      </c>
      <c r="W313" s="374">
        <f t="shared" si="166"/>
        <v>0</v>
      </c>
      <c r="X313" s="374">
        <f t="shared" si="166"/>
        <v>0</v>
      </c>
      <c r="Y313" s="374">
        <f t="shared" si="166"/>
        <v>0</v>
      </c>
      <c r="Z313" s="374">
        <f t="shared" si="166"/>
        <v>0</v>
      </c>
      <c r="AA313" s="374">
        <f t="shared" si="166"/>
        <v>0</v>
      </c>
      <c r="AB313" s="374">
        <f t="shared" si="166"/>
        <v>0</v>
      </c>
      <c r="AC313" s="374">
        <f t="shared" si="166"/>
        <v>0</v>
      </c>
      <c r="AD313" s="1"/>
    </row>
    <row r="314" spans="8:58" s="66" customFormat="1" x14ac:dyDescent="0.3">
      <c r="I314" s="99"/>
      <c r="J314" s="379" t="s">
        <v>247</v>
      </c>
      <c r="K314" s="47" t="s">
        <v>248</v>
      </c>
      <c r="L314" s="374">
        <f>IFERROR(AVERAGEIF(N314:AC314,"&gt;0"),)</f>
        <v>0</v>
      </c>
      <c r="N314" s="374">
        <f>N309+N310+N311-N312-N313</f>
        <v>0</v>
      </c>
      <c r="O314" s="374">
        <f t="shared" ref="O314:AC314" si="167">O309+O310+O311-O312-O313</f>
        <v>0</v>
      </c>
      <c r="P314" s="374">
        <f t="shared" si="167"/>
        <v>0</v>
      </c>
      <c r="Q314" s="374">
        <f t="shared" si="167"/>
        <v>0</v>
      </c>
      <c r="R314" s="374">
        <f t="shared" si="167"/>
        <v>0</v>
      </c>
      <c r="S314" s="374">
        <f t="shared" si="167"/>
        <v>0</v>
      </c>
      <c r="T314" s="374">
        <f t="shared" si="167"/>
        <v>0</v>
      </c>
      <c r="U314" s="374">
        <f t="shared" si="167"/>
        <v>0</v>
      </c>
      <c r="V314" s="374">
        <f t="shared" si="167"/>
        <v>0</v>
      </c>
      <c r="W314" s="374">
        <f t="shared" si="167"/>
        <v>0</v>
      </c>
      <c r="X314" s="374">
        <f t="shared" si="167"/>
        <v>0</v>
      </c>
      <c r="Y314" s="374">
        <f t="shared" si="167"/>
        <v>0</v>
      </c>
      <c r="Z314" s="374">
        <f t="shared" si="167"/>
        <v>0</v>
      </c>
      <c r="AA314" s="374">
        <f t="shared" si="167"/>
        <v>0</v>
      </c>
      <c r="AB314" s="374">
        <f t="shared" si="167"/>
        <v>0</v>
      </c>
      <c r="AC314" s="374">
        <f t="shared" si="167"/>
        <v>0</v>
      </c>
      <c r="AE314" s="376"/>
    </row>
    <row r="315" spans="8:58" x14ac:dyDescent="0.3">
      <c r="I315" s="99"/>
      <c r="J315" s="379"/>
      <c r="K315" s="47" t="s">
        <v>249</v>
      </c>
      <c r="L315" s="380">
        <f>COUNTIF(N16:AC16,"&gt;0")</f>
        <v>0</v>
      </c>
      <c r="N315" s="381"/>
      <c r="O315" s="381"/>
      <c r="P315" s="381"/>
      <c r="Q315" s="381"/>
      <c r="R315" s="381"/>
      <c r="S315" s="381"/>
      <c r="T315" s="381"/>
      <c r="U315" s="381"/>
      <c r="V315" s="381"/>
      <c r="W315" s="381"/>
      <c r="X315" s="381"/>
      <c r="Y315" s="381"/>
      <c r="Z315" s="381"/>
      <c r="AA315" s="381"/>
      <c r="AB315" s="381"/>
      <c r="AC315" s="381"/>
      <c r="AD315" s="1"/>
    </row>
    <row r="316" spans="8:58" x14ac:dyDescent="0.3">
      <c r="I316" s="99"/>
      <c r="J316" s="379" t="s">
        <v>250</v>
      </c>
      <c r="K316" s="46"/>
      <c r="L316" s="377"/>
      <c r="N316" s="374">
        <f t="shared" ref="N316:AC316" si="168">IFERROR((N143+N164)*(1+N170/N169),0)</f>
        <v>0</v>
      </c>
      <c r="O316" s="374">
        <f t="shared" si="168"/>
        <v>0</v>
      </c>
      <c r="P316" s="374">
        <f t="shared" si="168"/>
        <v>0</v>
      </c>
      <c r="Q316" s="374">
        <f t="shared" si="168"/>
        <v>0</v>
      </c>
      <c r="R316" s="374">
        <f t="shared" si="168"/>
        <v>0</v>
      </c>
      <c r="S316" s="374">
        <f t="shared" si="168"/>
        <v>0</v>
      </c>
      <c r="T316" s="374">
        <f t="shared" si="168"/>
        <v>0</v>
      </c>
      <c r="U316" s="374">
        <f t="shared" si="168"/>
        <v>0</v>
      </c>
      <c r="V316" s="374">
        <f t="shared" si="168"/>
        <v>0</v>
      </c>
      <c r="W316" s="374">
        <f t="shared" si="168"/>
        <v>0</v>
      </c>
      <c r="X316" s="374">
        <f t="shared" si="168"/>
        <v>0</v>
      </c>
      <c r="Y316" s="374">
        <f t="shared" si="168"/>
        <v>0</v>
      </c>
      <c r="Z316" s="374">
        <f t="shared" si="168"/>
        <v>0</v>
      </c>
      <c r="AA316" s="374">
        <f t="shared" si="168"/>
        <v>0</v>
      </c>
      <c r="AB316" s="374">
        <f t="shared" si="168"/>
        <v>0</v>
      </c>
      <c r="AC316" s="374">
        <f t="shared" si="168"/>
        <v>0</v>
      </c>
      <c r="AD316" s="1"/>
    </row>
    <row r="317" spans="8:58" x14ac:dyDescent="0.3">
      <c r="I317" s="99"/>
      <c r="J317" s="382"/>
      <c r="K317" s="383"/>
      <c r="L317" s="384"/>
      <c r="N317" s="31"/>
      <c r="O317" s="31"/>
      <c r="P317" s="31"/>
      <c r="Q317" s="31"/>
      <c r="R317" s="31"/>
      <c r="S317" s="31"/>
      <c r="T317" s="31"/>
      <c r="U317" s="31"/>
      <c r="V317" s="31"/>
      <c r="W317" s="31"/>
      <c r="X317" s="31"/>
      <c r="Y317" s="31"/>
      <c r="Z317" s="31"/>
      <c r="AA317" s="31"/>
      <c r="AB317" s="31"/>
      <c r="AC317" s="31"/>
      <c r="AD317" s="1"/>
    </row>
    <row r="318" spans="8:58" ht="18" outlineLevel="1" x14ac:dyDescent="0.2">
      <c r="I318" s="104" t="s">
        <v>251</v>
      </c>
      <c r="J318" s="105" t="s">
        <v>252</v>
      </c>
      <c r="K318" s="105"/>
      <c r="L318" s="105"/>
      <c r="M318" s="106"/>
      <c r="N318" s="107"/>
      <c r="O318" s="107"/>
      <c r="P318" s="107"/>
      <c r="Q318" s="107"/>
      <c r="R318" s="107"/>
      <c r="S318" s="107"/>
      <c r="T318" s="107"/>
      <c r="U318" s="107"/>
      <c r="V318" s="107"/>
      <c r="W318" s="107"/>
      <c r="X318" s="107"/>
      <c r="Y318" s="107"/>
      <c r="Z318" s="107"/>
      <c r="AA318" s="107"/>
      <c r="AB318" s="107"/>
      <c r="AC318" s="107"/>
      <c r="AD318" s="1"/>
      <c r="AE318" s="1"/>
    </row>
    <row r="319" spans="8:58" outlineLevel="1" x14ac:dyDescent="0.3">
      <c r="I319" s="99"/>
      <c r="J319" s="385"/>
      <c r="K319" s="31"/>
      <c r="L319" s="169"/>
      <c r="N319" s="31"/>
      <c r="O319" s="31"/>
      <c r="P319" s="31"/>
      <c r="Q319" s="31"/>
      <c r="R319" s="31"/>
      <c r="S319" s="31"/>
      <c r="T319" s="31"/>
      <c r="U319" s="31"/>
      <c r="V319" s="31"/>
      <c r="W319" s="31"/>
      <c r="X319" s="31"/>
      <c r="Y319" s="31"/>
      <c r="Z319" s="31"/>
      <c r="AA319" s="31"/>
      <c r="AB319" s="31"/>
      <c r="AC319" s="31"/>
      <c r="AD319" s="1"/>
    </row>
    <row r="320" spans="8:58" ht="18.75" outlineLevel="1" x14ac:dyDescent="0.3">
      <c r="I320" s="99"/>
      <c r="J320" s="386" t="s">
        <v>253</v>
      </c>
      <c r="K320" s="387"/>
      <c r="L320" s="388" t="s">
        <v>11</v>
      </c>
      <c r="N320" s="386">
        <v>0</v>
      </c>
      <c r="O320" s="386">
        <f t="shared" ref="O320:AC320" si="169">N320+1</f>
        <v>1</v>
      </c>
      <c r="P320" s="386">
        <f t="shared" si="169"/>
        <v>2</v>
      </c>
      <c r="Q320" s="386">
        <f t="shared" si="169"/>
        <v>3</v>
      </c>
      <c r="R320" s="386">
        <f t="shared" si="169"/>
        <v>4</v>
      </c>
      <c r="S320" s="386">
        <f t="shared" si="169"/>
        <v>5</v>
      </c>
      <c r="T320" s="386">
        <f t="shared" si="169"/>
        <v>6</v>
      </c>
      <c r="U320" s="386">
        <f t="shared" si="169"/>
        <v>7</v>
      </c>
      <c r="V320" s="386">
        <f t="shared" si="169"/>
        <v>8</v>
      </c>
      <c r="W320" s="386">
        <f t="shared" si="169"/>
        <v>9</v>
      </c>
      <c r="X320" s="386">
        <f t="shared" si="169"/>
        <v>10</v>
      </c>
      <c r="Y320" s="386">
        <f t="shared" si="169"/>
        <v>11</v>
      </c>
      <c r="Z320" s="386">
        <f t="shared" si="169"/>
        <v>12</v>
      </c>
      <c r="AA320" s="386">
        <f t="shared" si="169"/>
        <v>13</v>
      </c>
      <c r="AB320" s="386">
        <f t="shared" si="169"/>
        <v>14</v>
      </c>
      <c r="AC320" s="386">
        <f t="shared" si="169"/>
        <v>15</v>
      </c>
      <c r="AD320" s="1"/>
    </row>
    <row r="321" spans="9:54" outlineLevel="1" x14ac:dyDescent="0.3">
      <c r="I321" s="99"/>
      <c r="J321" s="385" t="s">
        <v>254</v>
      </c>
      <c r="K321" s="31"/>
      <c r="L321" s="289"/>
      <c r="N321" s="389">
        <f t="shared" ref="N321:AC321" si="170">1/(1+$L$98)^N320</f>
        <v>1</v>
      </c>
      <c r="O321" s="389">
        <f t="shared" si="170"/>
        <v>0.86956521739130443</v>
      </c>
      <c r="P321" s="389">
        <f t="shared" si="170"/>
        <v>0.7561436672967865</v>
      </c>
      <c r="Q321" s="389">
        <f t="shared" si="170"/>
        <v>0.65751623243198831</v>
      </c>
      <c r="R321" s="389">
        <f t="shared" si="170"/>
        <v>0.57175324559303342</v>
      </c>
      <c r="S321" s="389">
        <f t="shared" si="170"/>
        <v>0.49717673529828987</v>
      </c>
      <c r="T321" s="389">
        <f t="shared" si="170"/>
        <v>0.43232759591155645</v>
      </c>
      <c r="U321" s="389">
        <f t="shared" si="170"/>
        <v>0.37593703992309269</v>
      </c>
      <c r="V321" s="389">
        <f t="shared" si="170"/>
        <v>0.32690177384616753</v>
      </c>
      <c r="W321" s="389">
        <f t="shared" si="170"/>
        <v>0.28426241204014574</v>
      </c>
      <c r="X321" s="389">
        <f t="shared" si="170"/>
        <v>0.24718470612186585</v>
      </c>
      <c r="Y321" s="389">
        <f t="shared" si="170"/>
        <v>0.21494322271466598</v>
      </c>
      <c r="Z321" s="389">
        <f t="shared" si="170"/>
        <v>0.18690715018666609</v>
      </c>
      <c r="AA321" s="389">
        <f t="shared" si="170"/>
        <v>0.16252795668405748</v>
      </c>
      <c r="AB321" s="389">
        <f t="shared" si="170"/>
        <v>0.14132865798613695</v>
      </c>
      <c r="AC321" s="389">
        <f t="shared" si="170"/>
        <v>0.1228944852053365</v>
      </c>
      <c r="AD321" s="1"/>
    </row>
    <row r="322" spans="9:54" outlineLevel="1" x14ac:dyDescent="0.3">
      <c r="I322" s="99"/>
      <c r="J322" s="385" t="s">
        <v>255</v>
      </c>
      <c r="K322" s="31"/>
      <c r="L322" s="390">
        <f>SUM(N322:AC322)</f>
        <v>0</v>
      </c>
      <c r="N322" s="427">
        <f>SUM('Bgn&gt;&gt;:&lt;&lt;End'!N322)</f>
        <v>0</v>
      </c>
      <c r="O322" s="427">
        <f>SUM('Bgn&gt;&gt;:&lt;&lt;End'!O322)</f>
        <v>0</v>
      </c>
      <c r="P322" s="427">
        <f>SUM('Bgn&gt;&gt;:&lt;&lt;End'!P322)</f>
        <v>0</v>
      </c>
      <c r="Q322" s="427">
        <f>SUM('Bgn&gt;&gt;:&lt;&lt;End'!Q322)</f>
        <v>0</v>
      </c>
      <c r="R322" s="427">
        <f>SUM('Bgn&gt;&gt;:&lt;&lt;End'!R322)</f>
        <v>0</v>
      </c>
      <c r="S322" s="427">
        <f>SUM('Bgn&gt;&gt;:&lt;&lt;End'!S322)</f>
        <v>0</v>
      </c>
      <c r="T322" s="427">
        <f>SUM('Bgn&gt;&gt;:&lt;&lt;End'!T322)</f>
        <v>0</v>
      </c>
      <c r="U322" s="427">
        <f>SUM('Bgn&gt;&gt;:&lt;&lt;End'!U322)</f>
        <v>0</v>
      </c>
      <c r="V322" s="427">
        <f>SUM('Bgn&gt;&gt;:&lt;&lt;End'!V322)</f>
        <v>0</v>
      </c>
      <c r="W322" s="427">
        <f>SUM('Bgn&gt;&gt;:&lt;&lt;End'!W322)</f>
        <v>0</v>
      </c>
      <c r="X322" s="427">
        <f>SUM('Bgn&gt;&gt;:&lt;&lt;End'!X322)</f>
        <v>0</v>
      </c>
      <c r="Y322" s="427">
        <f>SUM('Bgn&gt;&gt;:&lt;&lt;End'!Y322)</f>
        <v>0</v>
      </c>
      <c r="Z322" s="427">
        <f>SUM('Bgn&gt;&gt;:&lt;&lt;End'!Z322)</f>
        <v>0</v>
      </c>
      <c r="AA322" s="427">
        <f>SUM('Bgn&gt;&gt;:&lt;&lt;End'!AA322)</f>
        <v>0</v>
      </c>
      <c r="AB322" s="427">
        <f>SUM('Bgn&gt;&gt;:&lt;&lt;End'!AB322)</f>
        <v>0</v>
      </c>
      <c r="AC322" s="430">
        <f>SUM('Bgn&gt;&gt;:&lt;&lt;End'!AC322)</f>
        <v>0</v>
      </c>
      <c r="AD322" s="1"/>
    </row>
    <row r="323" spans="9:54" outlineLevel="1" x14ac:dyDescent="0.3">
      <c r="I323" s="99"/>
      <c r="J323" s="385" t="s">
        <v>256</v>
      </c>
      <c r="K323" s="31"/>
      <c r="L323" s="390">
        <f>SUM(N323:AC323)</f>
        <v>0</v>
      </c>
      <c r="N323" s="427">
        <f>SUM('Bgn&gt;&gt;:&lt;&lt;End'!N323)</f>
        <v>0</v>
      </c>
      <c r="O323" s="427">
        <f>SUM('Bgn&gt;&gt;:&lt;&lt;End'!O323)</f>
        <v>0</v>
      </c>
      <c r="P323" s="427">
        <f>SUM('Bgn&gt;&gt;:&lt;&lt;End'!P323)</f>
        <v>0</v>
      </c>
      <c r="Q323" s="427">
        <f>SUM('Bgn&gt;&gt;:&lt;&lt;End'!Q323)</f>
        <v>0</v>
      </c>
      <c r="R323" s="427">
        <f>SUM('Bgn&gt;&gt;:&lt;&lt;End'!R323)</f>
        <v>0</v>
      </c>
      <c r="S323" s="427">
        <f>SUM('Bgn&gt;&gt;:&lt;&lt;End'!S323)</f>
        <v>0</v>
      </c>
      <c r="T323" s="427">
        <f>SUM('Bgn&gt;&gt;:&lt;&lt;End'!T323)</f>
        <v>0</v>
      </c>
      <c r="U323" s="427">
        <f>SUM('Bgn&gt;&gt;:&lt;&lt;End'!U323)</f>
        <v>0</v>
      </c>
      <c r="V323" s="427">
        <f>SUM('Bgn&gt;&gt;:&lt;&lt;End'!V323)</f>
        <v>0</v>
      </c>
      <c r="W323" s="427">
        <f>SUM('Bgn&gt;&gt;:&lt;&lt;End'!W323)</f>
        <v>0</v>
      </c>
      <c r="X323" s="427">
        <f>SUM('Bgn&gt;&gt;:&lt;&lt;End'!X323)</f>
        <v>0</v>
      </c>
      <c r="Y323" s="427">
        <f>SUM('Bgn&gt;&gt;:&lt;&lt;End'!Y323)</f>
        <v>0</v>
      </c>
      <c r="Z323" s="427">
        <f>SUM('Bgn&gt;&gt;:&lt;&lt;End'!Z323)</f>
        <v>0</v>
      </c>
      <c r="AA323" s="427">
        <f>SUM('Bgn&gt;&gt;:&lt;&lt;End'!AA323)</f>
        <v>0</v>
      </c>
      <c r="AB323" s="427">
        <f>SUM('Bgn&gt;&gt;:&lt;&lt;End'!AB323)</f>
        <v>0</v>
      </c>
      <c r="AC323" s="430">
        <f>SUM('Bgn&gt;&gt;:&lt;&lt;End'!AC323)</f>
        <v>0</v>
      </c>
      <c r="AD323" s="1"/>
      <c r="AO323" s="391"/>
      <c r="AP323" s="391"/>
      <c r="AQ323" s="391"/>
      <c r="AR323" s="391"/>
      <c r="AS323" s="391"/>
      <c r="AT323" s="391"/>
      <c r="AU323" s="391"/>
      <c r="AV323" s="391"/>
      <c r="AW323" s="391"/>
      <c r="AX323" s="391"/>
      <c r="AY323" s="391"/>
      <c r="AZ323" s="391"/>
      <c r="BA323" s="391"/>
      <c r="BB323" s="391"/>
    </row>
    <row r="324" spans="9:54" outlineLevel="1" x14ac:dyDescent="0.3">
      <c r="I324" s="99"/>
      <c r="J324" s="385" t="s">
        <v>257</v>
      </c>
      <c r="K324" s="31"/>
      <c r="L324" s="390">
        <f>SUM(N324:AC324)</f>
        <v>0</v>
      </c>
      <c r="N324" s="288">
        <f>N322+N323</f>
        <v>0</v>
      </c>
      <c r="O324" s="288">
        <f t="shared" ref="O324:AC324" si="171">O322+O323</f>
        <v>0</v>
      </c>
      <c r="P324" s="288">
        <f t="shared" si="171"/>
        <v>0</v>
      </c>
      <c r="Q324" s="288">
        <f t="shared" si="171"/>
        <v>0</v>
      </c>
      <c r="R324" s="288">
        <f t="shared" si="171"/>
        <v>0</v>
      </c>
      <c r="S324" s="288">
        <f t="shared" si="171"/>
        <v>0</v>
      </c>
      <c r="T324" s="288">
        <f t="shared" si="171"/>
        <v>0</v>
      </c>
      <c r="U324" s="288">
        <f t="shared" si="171"/>
        <v>0</v>
      </c>
      <c r="V324" s="288">
        <f t="shared" si="171"/>
        <v>0</v>
      </c>
      <c r="W324" s="288">
        <f t="shared" si="171"/>
        <v>0</v>
      </c>
      <c r="X324" s="288">
        <f t="shared" si="171"/>
        <v>0</v>
      </c>
      <c r="Y324" s="288">
        <f t="shared" si="171"/>
        <v>0</v>
      </c>
      <c r="Z324" s="288">
        <f t="shared" si="171"/>
        <v>0</v>
      </c>
      <c r="AA324" s="288">
        <f t="shared" si="171"/>
        <v>0</v>
      </c>
      <c r="AB324" s="288">
        <f t="shared" si="171"/>
        <v>0</v>
      </c>
      <c r="AC324" s="288">
        <f t="shared" si="171"/>
        <v>0</v>
      </c>
      <c r="AD324" s="1"/>
      <c r="AO324" s="391"/>
      <c r="AP324" s="391"/>
      <c r="AQ324" s="391"/>
      <c r="AR324" s="391"/>
      <c r="AS324" s="391"/>
      <c r="AT324" s="391"/>
      <c r="AU324" s="391"/>
      <c r="AV324" s="391"/>
      <c r="AW324" s="391"/>
      <c r="AX324" s="391"/>
      <c r="AY324" s="391"/>
      <c r="AZ324" s="391"/>
      <c r="BA324" s="391"/>
      <c r="BB324" s="391"/>
    </row>
    <row r="325" spans="9:54" outlineLevel="1" x14ac:dyDescent="0.3">
      <c r="I325" s="99"/>
      <c r="J325" s="385" t="s">
        <v>258</v>
      </c>
      <c r="K325" s="31"/>
      <c r="L325" s="392"/>
      <c r="N325" s="288">
        <f>SUM($N324:N324)</f>
        <v>0</v>
      </c>
      <c r="O325" s="288">
        <f>SUM($N324:O324)</f>
        <v>0</v>
      </c>
      <c r="P325" s="288">
        <f>SUM($N324:P324)</f>
        <v>0</v>
      </c>
      <c r="Q325" s="288">
        <f>SUM($N324:Q324)</f>
        <v>0</v>
      </c>
      <c r="R325" s="288">
        <f>SUM($N324:R324)</f>
        <v>0</v>
      </c>
      <c r="S325" s="288">
        <f>SUM($N324:S324)</f>
        <v>0</v>
      </c>
      <c r="T325" s="288">
        <f>SUM($N324:T324)</f>
        <v>0</v>
      </c>
      <c r="U325" s="288">
        <f>SUM($N324:U324)</f>
        <v>0</v>
      </c>
      <c r="V325" s="288">
        <f>SUM($N324:V324)</f>
        <v>0</v>
      </c>
      <c r="W325" s="288">
        <f>SUM($N324:W324)</f>
        <v>0</v>
      </c>
      <c r="X325" s="288">
        <f>SUM($N324:X324)</f>
        <v>0</v>
      </c>
      <c r="Y325" s="288">
        <f>SUM($N324:Y324)</f>
        <v>0</v>
      </c>
      <c r="Z325" s="288">
        <f>SUM($N324:Z324)</f>
        <v>0</v>
      </c>
      <c r="AA325" s="288">
        <f>SUM($N324:AA324)</f>
        <v>0</v>
      </c>
      <c r="AB325" s="288">
        <f>SUM($N324:AB324)</f>
        <v>0</v>
      </c>
      <c r="AC325" s="288">
        <f>SUM($N324:AC324)</f>
        <v>0</v>
      </c>
      <c r="AD325" s="1"/>
      <c r="AO325" s="391"/>
      <c r="AP325" s="391"/>
      <c r="AQ325" s="391"/>
      <c r="AR325" s="391"/>
      <c r="AS325" s="391"/>
      <c r="AT325" s="391"/>
      <c r="AU325" s="391"/>
      <c r="AV325" s="391"/>
      <c r="AW325" s="391"/>
      <c r="AX325" s="391"/>
      <c r="AY325" s="391"/>
      <c r="AZ325" s="391"/>
      <c r="BA325" s="391"/>
      <c r="BB325" s="391"/>
    </row>
    <row r="326" spans="9:54" outlineLevel="1" x14ac:dyDescent="0.3">
      <c r="I326" s="99"/>
      <c r="J326" s="385" t="s">
        <v>259</v>
      </c>
      <c r="K326" s="31"/>
      <c r="L326" s="393">
        <f>SUM(N326:AC326)</f>
        <v>0</v>
      </c>
      <c r="N326" s="394">
        <f>IFERROR(IF(N325&lt;-L16*0.05%,$P$348,-N323/N322),)</f>
        <v>0</v>
      </c>
      <c r="O326" s="395">
        <f>IFERROR(IF(O325&lt;-$L$16*0.05%,1,IF(N325&gt;0,0,(O324-O325)/O324)),)</f>
        <v>0</v>
      </c>
      <c r="P326" s="395">
        <f>IFERROR(IF(P325&lt;-$L$16*0.05%,1,IF(O325&gt;0,0,(P324-P325)/P324)),)</f>
        <v>0</v>
      </c>
      <c r="Q326" s="395">
        <f t="shared" ref="Q326:AC326" si="172">IFERROR(IF(Q325&lt;-$L$16*0.05%,1,IF(P325&gt;0,0,(Q324-Q325)/Q324)),)</f>
        <v>0</v>
      </c>
      <c r="R326" s="395">
        <f t="shared" si="172"/>
        <v>0</v>
      </c>
      <c r="S326" s="395">
        <f t="shared" si="172"/>
        <v>0</v>
      </c>
      <c r="T326" s="395">
        <f t="shared" si="172"/>
        <v>0</v>
      </c>
      <c r="U326" s="395">
        <f t="shared" si="172"/>
        <v>0</v>
      </c>
      <c r="V326" s="395">
        <f t="shared" si="172"/>
        <v>0</v>
      </c>
      <c r="W326" s="395">
        <f t="shared" si="172"/>
        <v>0</v>
      </c>
      <c r="X326" s="395">
        <f t="shared" si="172"/>
        <v>0</v>
      </c>
      <c r="Y326" s="395">
        <f t="shared" si="172"/>
        <v>0</v>
      </c>
      <c r="Z326" s="395">
        <f t="shared" si="172"/>
        <v>0</v>
      </c>
      <c r="AA326" s="395">
        <f t="shared" si="172"/>
        <v>0</v>
      </c>
      <c r="AB326" s="395">
        <f t="shared" si="172"/>
        <v>0</v>
      </c>
      <c r="AC326" s="395">
        <f t="shared" si="172"/>
        <v>0</v>
      </c>
      <c r="AD326" s="1"/>
      <c r="AO326" s="391"/>
      <c r="AP326" s="391"/>
      <c r="AQ326" s="391"/>
      <c r="AR326" s="391"/>
      <c r="AS326" s="391"/>
      <c r="AT326" s="391"/>
      <c r="AU326" s="391"/>
      <c r="AV326" s="391"/>
      <c r="AW326" s="391"/>
      <c r="AX326" s="391"/>
      <c r="AY326" s="391"/>
      <c r="AZ326" s="391"/>
      <c r="BA326" s="391"/>
      <c r="BB326" s="391"/>
    </row>
    <row r="327" spans="9:54" outlineLevel="1" x14ac:dyDescent="0.3">
      <c r="I327" s="99"/>
      <c r="J327" s="385" t="s">
        <v>260</v>
      </c>
      <c r="K327" s="31"/>
      <c r="L327" s="390">
        <f>SUM(N327:AC327)</f>
        <v>0</v>
      </c>
      <c r="N327" s="288">
        <f t="shared" ref="N327:AC327" si="173">N324*N321</f>
        <v>0</v>
      </c>
      <c r="O327" s="288">
        <f t="shared" si="173"/>
        <v>0</v>
      </c>
      <c r="P327" s="288">
        <f t="shared" si="173"/>
        <v>0</v>
      </c>
      <c r="Q327" s="288">
        <f t="shared" si="173"/>
        <v>0</v>
      </c>
      <c r="R327" s="288">
        <f t="shared" si="173"/>
        <v>0</v>
      </c>
      <c r="S327" s="288">
        <f t="shared" si="173"/>
        <v>0</v>
      </c>
      <c r="T327" s="288">
        <f t="shared" si="173"/>
        <v>0</v>
      </c>
      <c r="U327" s="288">
        <f t="shared" si="173"/>
        <v>0</v>
      </c>
      <c r="V327" s="288">
        <f t="shared" si="173"/>
        <v>0</v>
      </c>
      <c r="W327" s="288">
        <f t="shared" si="173"/>
        <v>0</v>
      </c>
      <c r="X327" s="288">
        <f t="shared" si="173"/>
        <v>0</v>
      </c>
      <c r="Y327" s="288">
        <f t="shared" si="173"/>
        <v>0</v>
      </c>
      <c r="Z327" s="288">
        <f t="shared" si="173"/>
        <v>0</v>
      </c>
      <c r="AA327" s="288">
        <f t="shared" si="173"/>
        <v>0</v>
      </c>
      <c r="AB327" s="288">
        <f t="shared" si="173"/>
        <v>0</v>
      </c>
      <c r="AC327" s="288">
        <f t="shared" si="173"/>
        <v>0</v>
      </c>
      <c r="AD327" s="1"/>
      <c r="AO327" s="391"/>
      <c r="AP327" s="391"/>
      <c r="AQ327" s="391"/>
      <c r="AR327" s="391"/>
      <c r="AS327" s="391"/>
      <c r="AT327" s="391"/>
      <c r="AU327" s="391"/>
      <c r="AV327" s="391"/>
      <c r="AW327" s="391"/>
      <c r="AX327" s="391"/>
      <c r="AY327" s="391"/>
      <c r="AZ327" s="391"/>
      <c r="BA327" s="391"/>
      <c r="BB327" s="391"/>
    </row>
    <row r="328" spans="9:54" ht="13.5" customHeight="1" outlineLevel="1" x14ac:dyDescent="0.3">
      <c r="I328" s="99"/>
      <c r="J328" s="385" t="s">
        <v>261</v>
      </c>
      <c r="K328" s="31"/>
      <c r="L328" s="392"/>
      <c r="N328" s="288">
        <f>SUM($N327:N327)</f>
        <v>0</v>
      </c>
      <c r="O328" s="288">
        <f>SUM($N327:O327)</f>
        <v>0</v>
      </c>
      <c r="P328" s="288">
        <f>SUM($N327:P327)</f>
        <v>0</v>
      </c>
      <c r="Q328" s="288">
        <f>SUM($N327:Q327)</f>
        <v>0</v>
      </c>
      <c r="R328" s="288">
        <f>SUM($N327:R327)</f>
        <v>0</v>
      </c>
      <c r="S328" s="288">
        <f>SUM($N327:S327)</f>
        <v>0</v>
      </c>
      <c r="T328" s="288">
        <f>SUM($N327:T327)</f>
        <v>0</v>
      </c>
      <c r="U328" s="288">
        <f>SUM($N327:U327)</f>
        <v>0</v>
      </c>
      <c r="V328" s="288">
        <f>SUM($N327:V327)</f>
        <v>0</v>
      </c>
      <c r="W328" s="288">
        <f>SUM($N327:W327)</f>
        <v>0</v>
      </c>
      <c r="X328" s="288">
        <f>SUM($N327:X327)</f>
        <v>0</v>
      </c>
      <c r="Y328" s="288">
        <f>SUM($N327:Y327)</f>
        <v>0</v>
      </c>
      <c r="Z328" s="288">
        <f>SUM($N327:Z327)</f>
        <v>0</v>
      </c>
      <c r="AA328" s="288">
        <f>SUM($N327:AA327)</f>
        <v>0</v>
      </c>
      <c r="AB328" s="288">
        <f>SUM($N327:AB327)</f>
        <v>0</v>
      </c>
      <c r="AC328" s="288">
        <f>SUM($N327:AC327)</f>
        <v>0</v>
      </c>
      <c r="AD328" s="1"/>
      <c r="AO328" s="391"/>
      <c r="AP328" s="391"/>
      <c r="AQ328" s="391"/>
      <c r="AR328" s="391"/>
      <c r="AS328" s="391"/>
      <c r="AT328" s="391"/>
      <c r="AU328" s="391"/>
      <c r="AV328" s="391"/>
      <c r="AW328" s="391"/>
      <c r="AX328" s="391"/>
      <c r="AY328" s="391"/>
      <c r="AZ328" s="391"/>
      <c r="BA328" s="391"/>
      <c r="BB328" s="391"/>
    </row>
    <row r="329" spans="9:54" outlineLevel="1" x14ac:dyDescent="0.3">
      <c r="I329" s="99"/>
      <c r="J329" s="385" t="s">
        <v>262</v>
      </c>
      <c r="K329" s="31"/>
      <c r="L329" s="393">
        <f>SUM(N329:AC329)</f>
        <v>0</v>
      </c>
      <c r="N329" s="394">
        <f>IFERROR(IF(N325&lt;-L16*0.05%,$P$348,-N323/N322),)</f>
        <v>0</v>
      </c>
      <c r="O329" s="395">
        <f t="shared" ref="O329:AC329" si="174">IFERROR(IF(O328=N328,0,IF(O328&lt;0,1,IF(N328&gt;0,0,(O327-O328)/O327))),)</f>
        <v>0</v>
      </c>
      <c r="P329" s="395">
        <f t="shared" si="174"/>
        <v>0</v>
      </c>
      <c r="Q329" s="395">
        <f t="shared" si="174"/>
        <v>0</v>
      </c>
      <c r="R329" s="395">
        <f t="shared" si="174"/>
        <v>0</v>
      </c>
      <c r="S329" s="395">
        <f t="shared" si="174"/>
        <v>0</v>
      </c>
      <c r="T329" s="395">
        <f t="shared" si="174"/>
        <v>0</v>
      </c>
      <c r="U329" s="395">
        <f t="shared" si="174"/>
        <v>0</v>
      </c>
      <c r="V329" s="395">
        <f t="shared" si="174"/>
        <v>0</v>
      </c>
      <c r="W329" s="395">
        <f t="shared" si="174"/>
        <v>0</v>
      </c>
      <c r="X329" s="395">
        <f t="shared" si="174"/>
        <v>0</v>
      </c>
      <c r="Y329" s="395">
        <f t="shared" si="174"/>
        <v>0</v>
      </c>
      <c r="Z329" s="395">
        <f t="shared" si="174"/>
        <v>0</v>
      </c>
      <c r="AA329" s="395">
        <f t="shared" si="174"/>
        <v>0</v>
      </c>
      <c r="AB329" s="395">
        <f t="shared" si="174"/>
        <v>0</v>
      </c>
      <c r="AC329" s="395">
        <f t="shared" si="174"/>
        <v>0</v>
      </c>
      <c r="AD329" s="1"/>
      <c r="AO329" s="391"/>
      <c r="AP329" s="391"/>
      <c r="AQ329" s="391"/>
      <c r="AR329" s="391"/>
      <c r="AS329" s="391"/>
      <c r="AT329" s="391"/>
      <c r="AU329" s="391"/>
      <c r="AV329" s="391"/>
      <c r="AW329" s="391"/>
      <c r="AX329" s="391"/>
      <c r="AY329" s="391"/>
      <c r="AZ329" s="391"/>
      <c r="BA329" s="391"/>
      <c r="BB329" s="391"/>
    </row>
    <row r="330" spans="9:54" outlineLevel="1" x14ac:dyDescent="0.3">
      <c r="I330" s="99"/>
      <c r="J330" s="385" t="s">
        <v>263</v>
      </c>
      <c r="K330" s="31"/>
      <c r="L330" s="396">
        <f>L324-L327</f>
        <v>0</v>
      </c>
      <c r="N330" s="397">
        <f t="shared" ref="N330:AC330" si="175">N324-N327</f>
        <v>0</v>
      </c>
      <c r="O330" s="397">
        <f t="shared" si="175"/>
        <v>0</v>
      </c>
      <c r="P330" s="397">
        <f t="shared" si="175"/>
        <v>0</v>
      </c>
      <c r="Q330" s="397">
        <f t="shared" si="175"/>
        <v>0</v>
      </c>
      <c r="R330" s="397">
        <f t="shared" si="175"/>
        <v>0</v>
      </c>
      <c r="S330" s="397">
        <f t="shared" si="175"/>
        <v>0</v>
      </c>
      <c r="T330" s="397">
        <f t="shared" si="175"/>
        <v>0</v>
      </c>
      <c r="U330" s="397">
        <f t="shared" si="175"/>
        <v>0</v>
      </c>
      <c r="V330" s="397">
        <f t="shared" si="175"/>
        <v>0</v>
      </c>
      <c r="W330" s="397">
        <f t="shared" si="175"/>
        <v>0</v>
      </c>
      <c r="X330" s="397">
        <f t="shared" si="175"/>
        <v>0</v>
      </c>
      <c r="Y330" s="397">
        <f t="shared" si="175"/>
        <v>0</v>
      </c>
      <c r="Z330" s="397">
        <f t="shared" si="175"/>
        <v>0</v>
      </c>
      <c r="AA330" s="397">
        <f t="shared" si="175"/>
        <v>0</v>
      </c>
      <c r="AB330" s="397">
        <f t="shared" si="175"/>
        <v>0</v>
      </c>
      <c r="AC330" s="397">
        <f t="shared" si="175"/>
        <v>0</v>
      </c>
      <c r="AD330" s="1"/>
      <c r="AO330" s="391"/>
      <c r="AP330" s="391"/>
      <c r="AQ330" s="391"/>
      <c r="AR330" s="391"/>
      <c r="AS330" s="391"/>
      <c r="AT330" s="391"/>
      <c r="AU330" s="391"/>
      <c r="AV330" s="391"/>
      <c r="AW330" s="391"/>
      <c r="AX330" s="391"/>
      <c r="AY330" s="391"/>
      <c r="AZ330" s="391"/>
      <c r="BA330" s="391"/>
      <c r="BB330" s="391"/>
    </row>
    <row r="331" spans="9:54" outlineLevel="1" x14ac:dyDescent="0.3">
      <c r="I331" s="99"/>
      <c r="J331" s="385"/>
      <c r="K331" s="31"/>
      <c r="L331" s="398"/>
      <c r="N331" s="399"/>
      <c r="O331" s="399"/>
      <c r="P331" s="399"/>
      <c r="Q331" s="399"/>
      <c r="R331" s="399"/>
      <c r="S331" s="399"/>
      <c r="T331" s="399"/>
      <c r="U331" s="399"/>
      <c r="V331" s="399"/>
      <c r="W331" s="399"/>
      <c r="X331" s="399"/>
      <c r="Y331" s="399"/>
      <c r="Z331" s="399"/>
      <c r="AA331" s="399"/>
      <c r="AB331" s="399"/>
      <c r="AC331" s="399"/>
      <c r="AD331" s="399"/>
      <c r="AO331" s="391"/>
      <c r="AP331" s="391"/>
      <c r="AQ331" s="391"/>
      <c r="AR331" s="391"/>
      <c r="AS331" s="391"/>
      <c r="AT331" s="391"/>
      <c r="AU331" s="391"/>
      <c r="AV331" s="391"/>
      <c r="AW331" s="391"/>
      <c r="AX331" s="391"/>
      <c r="AY331" s="391"/>
      <c r="AZ331" s="391"/>
      <c r="BA331" s="391"/>
      <c r="BB331" s="391"/>
    </row>
    <row r="332" spans="9:54" outlineLevel="1" x14ac:dyDescent="0.3">
      <c r="I332" s="99"/>
      <c r="J332" s="385"/>
      <c r="K332" s="31"/>
      <c r="L332" s="169"/>
      <c r="O332" s="400" t="s">
        <v>314</v>
      </c>
      <c r="P332" s="31"/>
      <c r="Q332" s="31"/>
      <c r="R332" s="31"/>
      <c r="S332" s="31"/>
      <c r="T332" s="31"/>
      <c r="U332" s="31"/>
      <c r="V332" s="31"/>
      <c r="W332" s="31"/>
      <c r="X332" s="31"/>
      <c r="Y332" s="31"/>
      <c r="Z332" s="31"/>
      <c r="AA332" s="31"/>
      <c r="AB332" s="31"/>
      <c r="AC332" s="31"/>
      <c r="AD332" s="1"/>
      <c r="AO332" s="391"/>
      <c r="AP332" s="391"/>
      <c r="AQ332" s="391"/>
      <c r="AR332" s="391"/>
      <c r="AS332" s="391"/>
      <c r="AT332" s="391"/>
      <c r="AU332" s="391"/>
      <c r="AV332" s="391"/>
      <c r="AW332" s="391"/>
      <c r="AX332" s="391"/>
      <c r="AY332" s="391"/>
      <c r="AZ332" s="391"/>
      <c r="BA332" s="391"/>
      <c r="BB332" s="391"/>
    </row>
    <row r="333" spans="9:54" outlineLevel="1" x14ac:dyDescent="0.3">
      <c r="I333" s="99"/>
      <c r="J333" s="401" t="s">
        <v>264</v>
      </c>
      <c r="K333" s="402"/>
      <c r="L333" s="403">
        <f>SUM(M327:AC327)</f>
        <v>0</v>
      </c>
      <c r="N333" s="31"/>
      <c r="O333" s="404" t="s">
        <v>265</v>
      </c>
      <c r="P333" s="405" t="s">
        <v>266</v>
      </c>
      <c r="Q333" s="406"/>
      <c r="R333" s="407"/>
      <c r="S333" s="407"/>
      <c r="T333" s="407"/>
      <c r="U333" s="408"/>
      <c r="V333" s="31"/>
      <c r="AD333" s="1"/>
      <c r="AO333" s="391"/>
      <c r="AP333" s="391"/>
      <c r="AQ333" s="391"/>
      <c r="AR333" s="391"/>
      <c r="AS333" s="391"/>
      <c r="AT333" s="391"/>
      <c r="AU333" s="391"/>
      <c r="AV333" s="391"/>
      <c r="AW333" s="391"/>
      <c r="AX333" s="391"/>
      <c r="AY333" s="391"/>
      <c r="AZ333" s="391"/>
      <c r="BA333" s="391"/>
      <c r="BB333" s="391"/>
    </row>
    <row r="334" spans="9:54" outlineLevel="1" x14ac:dyDescent="0.3">
      <c r="I334" s="99"/>
      <c r="J334" s="401" t="s">
        <v>267</v>
      </c>
      <c r="K334" s="402"/>
      <c r="L334" s="409">
        <f>IFERROR(IRR(N324:AC324,12%),0)</f>
        <v>0</v>
      </c>
      <c r="N334" s="31"/>
      <c r="O334" s="410">
        <v>1</v>
      </c>
      <c r="P334" s="467">
        <f>ROUND(10/12,1)</f>
        <v>0.8</v>
      </c>
      <c r="Q334" s="468" t="s">
        <v>268</v>
      </c>
      <c r="R334" s="411"/>
      <c r="S334" s="411"/>
      <c r="T334" s="411"/>
      <c r="U334" s="412"/>
      <c r="V334" s="31"/>
      <c r="AD334" s="1"/>
      <c r="AO334" s="391"/>
      <c r="AP334" s="391"/>
      <c r="AQ334" s="391"/>
      <c r="AR334" s="391"/>
      <c r="AS334" s="391"/>
      <c r="AT334" s="391"/>
      <c r="AU334" s="391"/>
      <c r="AV334" s="391"/>
      <c r="AW334" s="391"/>
      <c r="AX334" s="391"/>
      <c r="AY334" s="391"/>
      <c r="AZ334" s="391"/>
      <c r="BA334" s="391"/>
      <c r="BB334" s="391"/>
    </row>
    <row r="335" spans="9:54" outlineLevel="1" x14ac:dyDescent="0.3">
      <c r="I335" s="99"/>
      <c r="J335" s="401" t="s">
        <v>269</v>
      </c>
      <c r="K335" s="402"/>
      <c r="L335" s="413">
        <f>IF(AC325&lt;0,"No Full Recovery",SUM(N326:AC326))</f>
        <v>0</v>
      </c>
      <c r="N335" s="31"/>
      <c r="O335" s="469">
        <v>2</v>
      </c>
      <c r="P335" s="467">
        <f>ROUND(9/12,1)</f>
        <v>0.8</v>
      </c>
      <c r="Q335" s="468" t="s">
        <v>268</v>
      </c>
      <c r="R335" s="411"/>
      <c r="S335" s="411"/>
      <c r="T335" s="411"/>
      <c r="U335" s="412"/>
      <c r="V335" s="31"/>
      <c r="AD335" s="1"/>
      <c r="AO335" s="391"/>
      <c r="AP335" s="391"/>
      <c r="AQ335" s="391"/>
      <c r="AR335" s="391"/>
      <c r="AS335" s="391"/>
      <c r="AT335" s="391"/>
      <c r="AU335" s="391"/>
      <c r="AV335" s="391"/>
      <c r="AW335" s="391"/>
      <c r="AX335" s="391"/>
      <c r="AY335" s="391"/>
      <c r="AZ335" s="391"/>
      <c r="BA335" s="391"/>
      <c r="BB335" s="391"/>
    </row>
    <row r="336" spans="9:54" ht="15.75" outlineLevel="1" x14ac:dyDescent="0.25">
      <c r="I336" s="99"/>
      <c r="J336" s="31"/>
      <c r="K336" s="31"/>
      <c r="L336" s="31"/>
      <c r="M336" s="31"/>
      <c r="N336" s="31"/>
      <c r="O336" s="410">
        <v>3</v>
      </c>
      <c r="P336" s="467">
        <f>ROUND(8/12,1)</f>
        <v>0.7</v>
      </c>
      <c r="Q336" s="468" t="s">
        <v>268</v>
      </c>
      <c r="R336" s="411"/>
      <c r="S336" s="411"/>
      <c r="T336" s="411"/>
      <c r="U336" s="412"/>
      <c r="V336" s="31"/>
      <c r="AD336" s="1"/>
      <c r="AO336" s="391"/>
      <c r="AP336" s="391"/>
      <c r="AQ336" s="391"/>
      <c r="AR336" s="391"/>
      <c r="AS336" s="391"/>
      <c r="AT336" s="391"/>
      <c r="AU336" s="391"/>
      <c r="AV336" s="391"/>
      <c r="AW336" s="391"/>
      <c r="AX336" s="391"/>
      <c r="AY336" s="391"/>
      <c r="AZ336" s="391"/>
      <c r="BA336" s="391"/>
      <c r="BB336" s="391"/>
    </row>
    <row r="337" spans="9:54" ht="15.75" outlineLevel="1" x14ac:dyDescent="0.25">
      <c r="I337" s="99"/>
      <c r="J337" s="31"/>
      <c r="K337" s="31"/>
      <c r="L337" s="31"/>
      <c r="M337" s="31"/>
      <c r="N337" s="31"/>
      <c r="O337" s="410">
        <v>4</v>
      </c>
      <c r="P337" s="467">
        <f>ROUND(7/12,1)</f>
        <v>0.6</v>
      </c>
      <c r="Q337" s="468" t="s">
        <v>270</v>
      </c>
      <c r="R337" s="414"/>
      <c r="S337" s="411"/>
      <c r="T337" s="411"/>
      <c r="U337" s="412"/>
      <c r="V337" s="31"/>
      <c r="AD337" s="1"/>
      <c r="AO337" s="391"/>
      <c r="AP337" s="391"/>
      <c r="AQ337" s="391"/>
      <c r="AR337" s="391"/>
      <c r="AS337" s="391"/>
      <c r="AT337" s="391"/>
      <c r="AU337" s="391"/>
      <c r="AV337" s="391"/>
      <c r="AW337" s="391"/>
      <c r="AX337" s="391"/>
      <c r="AY337" s="391"/>
      <c r="AZ337" s="391"/>
      <c r="BA337" s="391"/>
      <c r="BB337" s="391"/>
    </row>
    <row r="338" spans="9:54" ht="15.75" outlineLevel="1" x14ac:dyDescent="0.25">
      <c r="I338" s="99"/>
      <c r="J338" s="31"/>
      <c r="K338" s="31"/>
      <c r="L338" s="31"/>
      <c r="M338" s="31"/>
      <c r="N338" s="31"/>
      <c r="O338" s="469">
        <v>5</v>
      </c>
      <c r="P338" s="467">
        <f>ROUND(7/12,1)</f>
        <v>0.6</v>
      </c>
      <c r="Q338" s="468" t="s">
        <v>270</v>
      </c>
      <c r="R338" s="414"/>
      <c r="S338" s="411"/>
      <c r="T338" s="411"/>
      <c r="U338" s="412"/>
      <c r="V338" s="31"/>
      <c r="AD338" s="1"/>
      <c r="AO338" s="391"/>
      <c r="AP338" s="391"/>
      <c r="AQ338" s="391"/>
      <c r="AR338" s="391"/>
      <c r="AS338" s="391"/>
      <c r="AT338" s="391"/>
      <c r="AU338" s="391"/>
      <c r="AV338" s="391"/>
      <c r="AW338" s="391"/>
      <c r="AX338" s="391"/>
      <c r="AY338" s="391"/>
      <c r="AZ338" s="391"/>
      <c r="BA338" s="391"/>
      <c r="BB338" s="391"/>
    </row>
    <row r="339" spans="9:54" ht="15.75" outlineLevel="1" x14ac:dyDescent="0.25">
      <c r="I339" s="99"/>
      <c r="J339" s="31"/>
      <c r="K339" s="31"/>
      <c r="L339" s="31"/>
      <c r="M339" s="31"/>
      <c r="N339" s="31"/>
      <c r="O339" s="410">
        <v>6</v>
      </c>
      <c r="P339" s="467">
        <f>ROUND(6/12,1)</f>
        <v>0.5</v>
      </c>
      <c r="Q339" s="468" t="s">
        <v>270</v>
      </c>
      <c r="R339" s="414"/>
      <c r="S339" s="411"/>
      <c r="T339" s="411"/>
      <c r="U339" s="412"/>
      <c r="V339" s="31"/>
      <c r="AD339" s="1"/>
      <c r="AO339" s="391"/>
      <c r="AP339" s="391"/>
      <c r="AQ339" s="391"/>
      <c r="AR339" s="391"/>
      <c r="AS339" s="391"/>
      <c r="AT339" s="391"/>
      <c r="AU339" s="391"/>
      <c r="AV339" s="391"/>
      <c r="AW339" s="391"/>
      <c r="AX339" s="391"/>
      <c r="AY339" s="391"/>
      <c r="AZ339" s="391"/>
      <c r="BA339" s="391"/>
      <c r="BB339" s="391"/>
    </row>
    <row r="340" spans="9:54" ht="15.75" outlineLevel="1" x14ac:dyDescent="0.25">
      <c r="I340" s="99"/>
      <c r="J340" s="31"/>
      <c r="K340" s="1"/>
      <c r="L340" s="31"/>
      <c r="M340" s="31"/>
      <c r="N340" s="31"/>
      <c r="O340" s="410">
        <v>7</v>
      </c>
      <c r="P340" s="467">
        <f>ROUND(6/12,1)</f>
        <v>0.5</v>
      </c>
      <c r="Q340" s="468" t="s">
        <v>270</v>
      </c>
      <c r="R340" s="414"/>
      <c r="S340" s="411"/>
      <c r="T340" s="411"/>
      <c r="U340" s="412"/>
      <c r="V340" s="31"/>
      <c r="AD340" s="1"/>
      <c r="AO340" s="391"/>
      <c r="AP340" s="391"/>
      <c r="AQ340" s="391"/>
      <c r="AR340" s="391"/>
      <c r="AS340" s="391"/>
      <c r="AT340" s="391"/>
      <c r="AU340" s="391"/>
      <c r="AV340" s="391"/>
      <c r="AW340" s="391"/>
      <c r="AX340" s="391"/>
      <c r="AY340" s="391"/>
      <c r="AZ340" s="391"/>
      <c r="BA340" s="391"/>
      <c r="BB340" s="391"/>
    </row>
    <row r="341" spans="9:54" ht="15.75" outlineLevel="1" x14ac:dyDescent="0.25">
      <c r="I341" s="99"/>
      <c r="K341" s="1"/>
      <c r="N341" s="31"/>
      <c r="O341" s="469">
        <v>8</v>
      </c>
      <c r="P341" s="467">
        <f>ROUND(5/12,1)</f>
        <v>0.4</v>
      </c>
      <c r="Q341" s="468" t="s">
        <v>270</v>
      </c>
      <c r="R341" s="414"/>
      <c r="S341" s="411"/>
      <c r="T341" s="411"/>
      <c r="U341" s="412"/>
      <c r="V341" s="31"/>
      <c r="AD341" s="1"/>
      <c r="AO341" s="391"/>
      <c r="AP341" s="391"/>
      <c r="AQ341" s="391"/>
      <c r="AR341" s="391"/>
      <c r="AS341" s="391"/>
      <c r="AT341" s="391"/>
      <c r="AU341" s="391"/>
      <c r="AV341" s="391"/>
      <c r="AW341" s="391"/>
      <c r="AX341" s="391"/>
      <c r="AY341" s="391"/>
      <c r="AZ341" s="391"/>
      <c r="BA341" s="391"/>
      <c r="BB341" s="391"/>
    </row>
    <row r="342" spans="9:54" ht="15.75" outlineLevel="1" x14ac:dyDescent="0.25">
      <c r="I342" s="99"/>
      <c r="K342" s="1"/>
      <c r="N342" s="31"/>
      <c r="O342" s="410">
        <v>9</v>
      </c>
      <c r="P342" s="467">
        <f>ROUND(4/12,1)</f>
        <v>0.3</v>
      </c>
      <c r="Q342" s="468" t="s">
        <v>270</v>
      </c>
      <c r="R342" s="414"/>
      <c r="S342" s="411"/>
      <c r="T342" s="411"/>
      <c r="U342" s="412"/>
      <c r="V342" s="31"/>
      <c r="AD342" s="1"/>
      <c r="AO342" s="391"/>
      <c r="AP342" s="391"/>
      <c r="AQ342" s="391"/>
      <c r="AR342" s="391"/>
      <c r="AS342" s="391"/>
      <c r="AT342" s="391"/>
      <c r="AU342" s="391"/>
      <c r="AV342" s="391"/>
      <c r="AW342" s="391"/>
      <c r="AX342" s="391"/>
      <c r="AY342" s="391"/>
      <c r="AZ342" s="391"/>
      <c r="BA342" s="391"/>
      <c r="BB342" s="391"/>
    </row>
    <row r="343" spans="9:54" ht="15.75" outlineLevel="1" x14ac:dyDescent="0.25">
      <c r="I343" s="99"/>
      <c r="K343" s="1"/>
      <c r="N343" s="31"/>
      <c r="O343" s="410">
        <v>10</v>
      </c>
      <c r="P343" s="467">
        <f>ROUND(3/12,1)</f>
        <v>0.3</v>
      </c>
      <c r="Q343" s="468" t="s">
        <v>271</v>
      </c>
      <c r="R343" s="414"/>
      <c r="S343" s="411"/>
      <c r="T343" s="411"/>
      <c r="U343" s="412"/>
      <c r="V343" s="31"/>
      <c r="AD343" s="1"/>
      <c r="AO343" s="391"/>
      <c r="AP343" s="391"/>
      <c r="AQ343" s="391"/>
      <c r="AR343" s="391"/>
      <c r="AS343" s="391"/>
      <c r="AT343" s="391"/>
      <c r="AU343" s="391"/>
      <c r="AV343" s="391"/>
      <c r="AW343" s="391"/>
      <c r="AX343" s="391"/>
      <c r="AY343" s="391"/>
      <c r="AZ343" s="391"/>
      <c r="BA343" s="391"/>
      <c r="BB343" s="391"/>
    </row>
    <row r="344" spans="9:54" ht="15.75" outlineLevel="1" x14ac:dyDescent="0.25">
      <c r="I344" s="99"/>
      <c r="K344" s="1"/>
      <c r="N344" s="31"/>
      <c r="O344" s="469">
        <v>11</v>
      </c>
      <c r="P344" s="467">
        <f>ROUND(2/12,1)</f>
        <v>0.2</v>
      </c>
      <c r="Q344" s="468" t="s">
        <v>271</v>
      </c>
      <c r="R344" s="414"/>
      <c r="S344" s="411"/>
      <c r="T344" s="411"/>
      <c r="U344" s="412"/>
      <c r="V344" s="31"/>
      <c r="AD344" s="1"/>
      <c r="AO344" s="391"/>
      <c r="AP344" s="391"/>
      <c r="AQ344" s="391"/>
      <c r="AR344" s="391"/>
      <c r="AS344" s="391"/>
      <c r="AT344" s="391"/>
      <c r="AU344" s="391"/>
      <c r="AV344" s="391"/>
      <c r="AW344" s="391"/>
      <c r="AX344" s="391"/>
      <c r="AY344" s="391"/>
      <c r="AZ344" s="391"/>
      <c r="BA344" s="391"/>
      <c r="BB344" s="391"/>
    </row>
    <row r="345" spans="9:54" ht="15.75" outlineLevel="1" x14ac:dyDescent="0.25">
      <c r="I345" s="99"/>
      <c r="K345" s="1"/>
      <c r="N345" s="31"/>
      <c r="O345" s="415">
        <v>12</v>
      </c>
      <c r="P345" s="467">
        <f>ROUND(1/12,1)</f>
        <v>0.1</v>
      </c>
      <c r="Q345" s="470" t="s">
        <v>271</v>
      </c>
      <c r="R345" s="416"/>
      <c r="S345" s="417"/>
      <c r="T345" s="417"/>
      <c r="U345" s="418"/>
      <c r="V345" s="31"/>
      <c r="AD345" s="1"/>
      <c r="AO345" s="391"/>
      <c r="AP345" s="391"/>
      <c r="AQ345" s="391"/>
      <c r="AR345" s="391"/>
      <c r="AS345" s="391"/>
      <c r="AT345" s="391"/>
      <c r="AU345" s="391"/>
      <c r="AV345" s="391"/>
      <c r="AW345" s="391"/>
      <c r="AX345" s="391"/>
      <c r="AY345" s="391"/>
      <c r="AZ345" s="391"/>
      <c r="BA345" s="391"/>
      <c r="BB345" s="391"/>
    </row>
    <row r="346" spans="9:54" ht="15.75" outlineLevel="1" x14ac:dyDescent="0.25">
      <c r="I346" s="99"/>
      <c r="K346" s="1"/>
      <c r="N346" s="31"/>
      <c r="O346" s="419"/>
      <c r="P346" s="406"/>
      <c r="Q346" s="406"/>
      <c r="R346" s="406"/>
      <c r="S346" s="407"/>
      <c r="T346" s="407"/>
      <c r="U346" s="408"/>
      <c r="V346" s="31"/>
      <c r="AD346" s="1"/>
      <c r="AO346" s="391"/>
      <c r="AP346" s="391"/>
      <c r="AQ346" s="391"/>
      <c r="AR346" s="391"/>
      <c r="AS346" s="391"/>
      <c r="AT346" s="391"/>
      <c r="AU346" s="391"/>
      <c r="AV346" s="391"/>
      <c r="AW346" s="391"/>
      <c r="AX346" s="391"/>
      <c r="AY346" s="391"/>
      <c r="AZ346" s="391"/>
      <c r="BA346" s="391"/>
      <c r="BB346" s="391"/>
    </row>
    <row r="347" spans="9:54" outlineLevel="1" x14ac:dyDescent="0.3">
      <c r="I347" s="99"/>
      <c r="K347" s="1"/>
      <c r="O347" s="420" t="s">
        <v>272</v>
      </c>
      <c r="P347" s="421">
        <f>$L$12</f>
        <v>12</v>
      </c>
      <c r="Q347" s="468" t="str">
        <f>"This is the month project will SOP in the SOP year. SOP on "&amp;L12&amp;"-"&amp;L11</f>
        <v>This is the month project will SOP in the SOP year. SOP on 12-2025</v>
      </c>
      <c r="R347" s="414"/>
      <c r="S347" s="411"/>
      <c r="T347" s="411"/>
      <c r="U347" s="412"/>
      <c r="V347" s="31"/>
      <c r="AD347" s="1"/>
      <c r="AO347" s="391"/>
      <c r="AP347" s="391"/>
      <c r="AQ347" s="391"/>
      <c r="AR347" s="391"/>
      <c r="AS347" s="391"/>
      <c r="AT347" s="391"/>
      <c r="AU347" s="391"/>
      <c r="AV347" s="391"/>
      <c r="AW347" s="391"/>
      <c r="AX347" s="391"/>
      <c r="AY347" s="391"/>
      <c r="AZ347" s="391"/>
      <c r="BA347" s="391"/>
      <c r="BB347" s="391"/>
    </row>
    <row r="348" spans="9:54" outlineLevel="1" x14ac:dyDescent="0.3">
      <c r="I348" s="99"/>
      <c r="K348" s="1"/>
      <c r="N348" s="170"/>
      <c r="O348" s="422" t="s">
        <v>266</v>
      </c>
      <c r="P348" s="471">
        <f>VLOOKUP($P$347,$O$334:$P$345,2,FALSE)</f>
        <v>0.1</v>
      </c>
      <c r="Q348" s="416" t="str">
        <f>VLOOKUP(P348,P334:Q345,2,FALSE)</f>
        <v>0-3 mths revenue in yr1, therefore investment assume made later in the year</v>
      </c>
      <c r="R348" s="416"/>
      <c r="S348" s="417"/>
      <c r="T348" s="417"/>
      <c r="U348" s="418"/>
      <c r="V348" s="31"/>
      <c r="AD348" s="1"/>
      <c r="AO348" s="391"/>
      <c r="AP348" s="391"/>
      <c r="AQ348" s="391"/>
      <c r="AR348" s="391"/>
      <c r="AS348" s="391"/>
      <c r="AT348" s="391"/>
      <c r="AU348" s="391"/>
      <c r="AV348" s="391"/>
      <c r="AW348" s="391"/>
      <c r="AX348" s="391"/>
      <c r="AY348" s="391"/>
      <c r="AZ348" s="391"/>
      <c r="BA348" s="391"/>
      <c r="BB348" s="391"/>
    </row>
    <row r="349" spans="9:54" ht="15.75" outlineLevel="1" x14ac:dyDescent="0.25">
      <c r="I349" s="99"/>
      <c r="K349" s="1"/>
      <c r="N349" s="31"/>
      <c r="O349" s="31"/>
      <c r="Q349" s="31"/>
      <c r="R349" s="31"/>
      <c r="S349" s="31"/>
      <c r="T349" s="31"/>
      <c r="U349" s="31"/>
      <c r="V349" s="31"/>
      <c r="AD349" s="1"/>
      <c r="AO349" s="391"/>
      <c r="AP349" s="391"/>
      <c r="AQ349" s="391"/>
      <c r="AR349" s="391"/>
      <c r="AS349" s="391"/>
      <c r="AT349" s="391"/>
      <c r="AU349" s="391"/>
      <c r="AV349" s="391"/>
      <c r="AW349" s="391"/>
      <c r="AX349" s="391"/>
      <c r="AY349" s="391"/>
      <c r="AZ349" s="391"/>
      <c r="BA349" s="391"/>
      <c r="BB349" s="391"/>
    </row>
    <row r="350" spans="9:54" ht="18" x14ac:dyDescent="0.2">
      <c r="I350" s="104">
        <v>8</v>
      </c>
      <c r="J350" s="105" t="s">
        <v>439</v>
      </c>
      <c r="K350" s="105"/>
      <c r="L350" s="105"/>
      <c r="M350" s="106"/>
      <c r="N350" s="107"/>
      <c r="O350" s="107"/>
      <c r="P350" s="107"/>
      <c r="Q350" s="107"/>
      <c r="R350" s="107"/>
      <c r="S350" s="107"/>
      <c r="T350" s="107"/>
      <c r="U350" s="107"/>
      <c r="V350" s="107"/>
      <c r="W350" s="107"/>
      <c r="X350" s="107"/>
      <c r="Y350" s="107"/>
      <c r="Z350" s="107"/>
      <c r="AA350" s="107"/>
      <c r="AB350" s="107"/>
      <c r="AC350" s="107"/>
      <c r="AD350" s="1"/>
      <c r="AE350" s="1"/>
    </row>
    <row r="351" spans="9:54" ht="15.75" x14ac:dyDescent="0.25">
      <c r="I351" s="31"/>
      <c r="J351" s="31"/>
      <c r="K351" s="31"/>
      <c r="L351" s="31"/>
      <c r="M351" s="31"/>
      <c r="N351" s="31"/>
      <c r="O351" s="31"/>
      <c r="P351" s="31"/>
      <c r="Q351" s="31"/>
      <c r="R351" s="31"/>
      <c r="S351" s="31"/>
      <c r="T351" s="31"/>
      <c r="U351" s="31"/>
      <c r="V351" s="31"/>
      <c r="AD351" s="1"/>
      <c r="AO351" s="391"/>
      <c r="AP351" s="391"/>
      <c r="AQ351" s="391"/>
      <c r="AR351" s="391"/>
      <c r="AS351" s="391"/>
      <c r="AT351" s="391"/>
      <c r="AU351" s="391"/>
      <c r="AV351" s="391"/>
      <c r="AW351" s="391"/>
      <c r="AX351" s="391"/>
      <c r="AY351" s="391"/>
      <c r="AZ351" s="391"/>
      <c r="BA351" s="391"/>
      <c r="BB351" s="391"/>
    </row>
    <row r="352" spans="9:54" x14ac:dyDescent="0.3">
      <c r="I352" s="1"/>
      <c r="O352" s="1056" t="str">
        <f>J11</f>
        <v>Currency:</v>
      </c>
      <c r="P352" s="698" t="s">
        <v>11</v>
      </c>
      <c r="Q352" s="699"/>
      <c r="R352" s="700" t="s">
        <v>273</v>
      </c>
      <c r="S352" s="701" t="str">
        <f>COUNTIF(N16:AC16,"&gt;100")&amp;" yrs"</f>
        <v>0 yrs</v>
      </c>
      <c r="U352" s="697" t="str">
        <f>N363</f>
        <v>USD</v>
      </c>
      <c r="V352" s="698" t="s">
        <v>11</v>
      </c>
      <c r="W352" s="699"/>
      <c r="X352" s="700" t="s">
        <v>273</v>
      </c>
      <c r="Y352" s="701" t="str">
        <f>COUNTIF(N16:AC16,"&gt;100")&amp;" yrs"</f>
        <v>0 yrs</v>
      </c>
    </row>
    <row r="353" spans="8:31" x14ac:dyDescent="0.3">
      <c r="I353" s="1"/>
      <c r="O353" s="702" t="s">
        <v>445</v>
      </c>
      <c r="P353" s="865">
        <f>L16</f>
        <v>0</v>
      </c>
      <c r="Q353" s="110"/>
      <c r="R353" s="704" t="s">
        <v>381</v>
      </c>
      <c r="S353" s="705" t="str">
        <f>ROUND($L$94,1)&amp;" yrs"</f>
        <v>0 yrs</v>
      </c>
      <c r="U353" s="702" t="s">
        <v>445</v>
      </c>
      <c r="V353" s="706">
        <f>L372</f>
        <v>0</v>
      </c>
      <c r="W353" s="110"/>
      <c r="X353" s="704" t="s">
        <v>381</v>
      </c>
      <c r="Y353" s="705" t="str">
        <f>ROUND(L94,1)&amp;" yrs"</f>
        <v>0 yrs</v>
      </c>
    </row>
    <row r="354" spans="8:31" x14ac:dyDescent="0.3">
      <c r="I354" s="1"/>
      <c r="O354" s="702" t="s">
        <v>274</v>
      </c>
      <c r="P354" s="865">
        <f>MAX(N16:AC16)</f>
        <v>0</v>
      </c>
      <c r="Q354" s="110"/>
      <c r="R354" s="704" t="s">
        <v>275</v>
      </c>
      <c r="S354" s="705" t="str">
        <f>L12&amp;"-"&amp;L11</f>
        <v>12-2025</v>
      </c>
      <c r="U354" s="702" t="s">
        <v>274</v>
      </c>
      <c r="V354" s="706">
        <f>MAX(N372:AC372)</f>
        <v>0</v>
      </c>
      <c r="W354" s="110"/>
      <c r="X354" s="704" t="s">
        <v>275</v>
      </c>
      <c r="Y354" s="705" t="str">
        <f>L12&amp;"-"&amp;L11</f>
        <v>12-2025</v>
      </c>
    </row>
    <row r="355" spans="8:31" x14ac:dyDescent="0.3">
      <c r="I355" s="1"/>
      <c r="O355" s="702" t="s">
        <v>446</v>
      </c>
      <c r="P355" s="865">
        <f>L20</f>
        <v>0</v>
      </c>
      <c r="Q355" s="110"/>
      <c r="R355" s="704" t="s">
        <v>447</v>
      </c>
      <c r="S355" s="707">
        <f>L17</f>
        <v>0</v>
      </c>
      <c r="U355" s="702" t="s">
        <v>446</v>
      </c>
      <c r="V355" s="706">
        <f>L376</f>
        <v>0</v>
      </c>
      <c r="W355" s="110"/>
      <c r="X355" s="704" t="s">
        <v>447</v>
      </c>
      <c r="Y355" s="707">
        <f>L17</f>
        <v>0</v>
      </c>
    </row>
    <row r="356" spans="8:31" x14ac:dyDescent="0.3">
      <c r="I356" s="1"/>
      <c r="O356" s="702" t="s">
        <v>382</v>
      </c>
      <c r="P356" s="865">
        <f>L24</f>
        <v>0</v>
      </c>
      <c r="Q356" s="110"/>
      <c r="R356" s="704" t="s">
        <v>448</v>
      </c>
      <c r="S356" s="708">
        <f>L19</f>
        <v>0</v>
      </c>
      <c r="U356" s="702" t="s">
        <v>382</v>
      </c>
      <c r="V356" s="706">
        <f>L380</f>
        <v>0</v>
      </c>
      <c r="W356" s="110"/>
      <c r="X356" s="704" t="s">
        <v>448</v>
      </c>
      <c r="Y356" s="708">
        <f>L19</f>
        <v>0</v>
      </c>
    </row>
    <row r="357" spans="8:31" x14ac:dyDescent="0.3">
      <c r="I357" s="1"/>
      <c r="O357" s="709" t="s">
        <v>383</v>
      </c>
      <c r="P357" s="865">
        <f>L25</f>
        <v>0</v>
      </c>
      <c r="Q357" s="110"/>
      <c r="R357" s="704" t="s">
        <v>449</v>
      </c>
      <c r="S357" s="710">
        <f>L21</f>
        <v>0</v>
      </c>
      <c r="U357" s="709" t="s">
        <v>383</v>
      </c>
      <c r="V357" s="706">
        <f>L381</f>
        <v>0</v>
      </c>
      <c r="W357" s="110"/>
      <c r="X357" s="704" t="s">
        <v>449</v>
      </c>
      <c r="Y357" s="710">
        <f>L21</f>
        <v>0</v>
      </c>
    </row>
    <row r="358" spans="8:31" x14ac:dyDescent="0.3">
      <c r="I358" s="1"/>
      <c r="O358" s="709" t="s">
        <v>276</v>
      </c>
      <c r="P358" s="865">
        <f>L27</f>
        <v>0</v>
      </c>
      <c r="Q358" s="110"/>
      <c r="R358" s="704" t="s">
        <v>450</v>
      </c>
      <c r="S358" s="707">
        <f>K166</f>
        <v>0</v>
      </c>
      <c r="U358" s="709" t="s">
        <v>276</v>
      </c>
      <c r="V358" s="706">
        <f>L383</f>
        <v>0</v>
      </c>
      <c r="W358" s="110"/>
      <c r="X358" s="704" t="s">
        <v>450</v>
      </c>
      <c r="Y358" s="707">
        <f>K166</f>
        <v>0</v>
      </c>
    </row>
    <row r="359" spans="8:31" x14ac:dyDescent="0.3">
      <c r="I359" s="1"/>
      <c r="O359" s="711" t="s">
        <v>278</v>
      </c>
      <c r="P359" s="866">
        <f>L38</f>
        <v>0</v>
      </c>
      <c r="Q359" s="713"/>
      <c r="R359" s="714" t="s">
        <v>277</v>
      </c>
      <c r="S359" s="715">
        <f>L326</f>
        <v>0</v>
      </c>
      <c r="U359" s="711" t="s">
        <v>278</v>
      </c>
      <c r="V359" s="716">
        <f>L394</f>
        <v>0</v>
      </c>
      <c r="W359" s="713"/>
      <c r="X359" s="714" t="s">
        <v>277</v>
      </c>
      <c r="Y359" s="715">
        <f>L326</f>
        <v>0</v>
      </c>
    </row>
    <row r="360" spans="8:31" ht="17.25" thickBot="1" x14ac:dyDescent="0.35">
      <c r="H360" s="423"/>
      <c r="I360" s="424"/>
      <c r="J360" s="423"/>
      <c r="K360" s="425"/>
      <c r="L360" s="423"/>
      <c r="M360" s="423"/>
      <c r="N360" s="423"/>
      <c r="O360" s="423"/>
      <c r="P360" s="423"/>
      <c r="Q360" s="423"/>
      <c r="R360" s="423"/>
      <c r="S360" s="423"/>
      <c r="T360" s="423"/>
      <c r="U360" s="423"/>
      <c r="V360" s="423"/>
      <c r="W360" s="423"/>
      <c r="X360" s="423"/>
      <c r="Y360" s="423"/>
      <c r="Z360" s="423"/>
      <c r="AA360" s="423"/>
      <c r="AB360" s="423"/>
      <c r="AC360" s="423"/>
    </row>
    <row r="361" spans="8:31" ht="15" thickTop="1" x14ac:dyDescent="0.2">
      <c r="I361" s="1"/>
      <c r="K361" s="581"/>
      <c r="L361" s="581"/>
      <c r="M361" s="581"/>
      <c r="N361" s="581"/>
      <c r="AD361" s="1"/>
      <c r="AE361" s="1"/>
    </row>
    <row r="362" spans="8:31" ht="18" x14ac:dyDescent="0.2">
      <c r="I362" s="582">
        <v>9</v>
      </c>
      <c r="J362" s="583" t="s">
        <v>417</v>
      </c>
      <c r="K362" s="583"/>
      <c r="L362" s="584"/>
      <c r="M362" s="584"/>
      <c r="N362" s="585"/>
      <c r="O362" s="585"/>
      <c r="P362" s="585"/>
      <c r="Q362" s="585"/>
      <c r="R362" s="585"/>
      <c r="S362" s="585"/>
      <c r="T362" s="585"/>
      <c r="U362" s="585"/>
      <c r="V362" s="585"/>
      <c r="W362" s="585"/>
      <c r="X362" s="585"/>
      <c r="Y362" s="585"/>
      <c r="Z362" s="585"/>
      <c r="AA362" s="585"/>
      <c r="AB362" s="585"/>
      <c r="AC362" s="585"/>
      <c r="AD362" s="1"/>
      <c r="AE362" s="1"/>
    </row>
    <row r="363" spans="8:31" ht="15.4" customHeight="1" x14ac:dyDescent="0.25">
      <c r="I363" s="1191" t="s">
        <v>418</v>
      </c>
      <c r="J363" s="1191"/>
      <c r="K363" s="1184" t="s">
        <v>419</v>
      </c>
      <c r="L363" s="1184"/>
      <c r="N363" s="719" t="s">
        <v>420</v>
      </c>
      <c r="AD363" s="1"/>
      <c r="AE363" s="1"/>
    </row>
    <row r="364" spans="8:31" ht="15.75" x14ac:dyDescent="0.25">
      <c r="I364" s="1191"/>
      <c r="J364" s="1191"/>
      <c r="K364" s="1184" t="s">
        <v>421</v>
      </c>
      <c r="L364" s="1184"/>
      <c r="N364" s="719" t="str">
        <f>L8</f>
        <v>Currency:</v>
      </c>
      <c r="AD364" s="1"/>
      <c r="AE364" s="1"/>
    </row>
    <row r="365" spans="8:31" ht="15.4" customHeight="1" x14ac:dyDescent="0.2">
      <c r="I365" s="586"/>
      <c r="J365" s="587"/>
      <c r="K365" s="1184" t="str">
        <f>"Exch.Rate "&amp;N363&amp;"1.0 = "&amp;N364&amp;":?"</f>
        <v>Exch.Rate USD1.0 = Currency::?</v>
      </c>
      <c r="L365" s="1184"/>
      <c r="N365" s="588">
        <v>1</v>
      </c>
      <c r="O365" s="589" t="s">
        <v>422</v>
      </c>
      <c r="AD365" s="1"/>
      <c r="AE365" s="1"/>
    </row>
    <row r="366" spans="8:31" ht="6" customHeight="1" x14ac:dyDescent="0.2">
      <c r="I366" s="1"/>
      <c r="K366" s="1"/>
      <c r="AD366" s="1"/>
      <c r="AE366" s="1"/>
    </row>
    <row r="367" spans="8:31" ht="16.5" customHeight="1" x14ac:dyDescent="0.25">
      <c r="I367" s="590"/>
      <c r="J367" s="1185" t="s">
        <v>420</v>
      </c>
      <c r="K367" s="22" t="s">
        <v>5</v>
      </c>
      <c r="L367" s="591">
        <f>L11</f>
        <v>2025</v>
      </c>
      <c r="N367" s="592">
        <f t="shared" ref="N367:AC368" si="176">N11</f>
        <v>2024</v>
      </c>
      <c r="O367" s="24">
        <f t="shared" si="176"/>
        <v>2025</v>
      </c>
      <c r="P367" s="24">
        <f t="shared" si="176"/>
        <v>2026</v>
      </c>
      <c r="Q367" s="24">
        <f t="shared" si="176"/>
        <v>2027</v>
      </c>
      <c r="R367" s="24">
        <f t="shared" si="176"/>
        <v>2028</v>
      </c>
      <c r="S367" s="24">
        <f t="shared" si="176"/>
        <v>2029</v>
      </c>
      <c r="T367" s="24">
        <f t="shared" si="176"/>
        <v>2030</v>
      </c>
      <c r="U367" s="24">
        <f t="shared" si="176"/>
        <v>2031</v>
      </c>
      <c r="V367" s="24">
        <f t="shared" si="176"/>
        <v>2032</v>
      </c>
      <c r="W367" s="24">
        <f t="shared" si="176"/>
        <v>2033</v>
      </c>
      <c r="X367" s="24">
        <f t="shared" si="176"/>
        <v>2034</v>
      </c>
      <c r="Y367" s="24">
        <f t="shared" si="176"/>
        <v>2035</v>
      </c>
      <c r="Z367" s="24">
        <f t="shared" si="176"/>
        <v>2036</v>
      </c>
      <c r="AA367" s="24">
        <f t="shared" si="176"/>
        <v>2037</v>
      </c>
      <c r="AB367" s="24">
        <f t="shared" si="176"/>
        <v>2038</v>
      </c>
      <c r="AC367" s="25">
        <f t="shared" si="176"/>
        <v>2039</v>
      </c>
      <c r="AD367" s="1"/>
      <c r="AE367" s="1"/>
    </row>
    <row r="368" spans="8:31" ht="21" customHeight="1" x14ac:dyDescent="0.3">
      <c r="I368" s="593"/>
      <c r="J368" s="1185"/>
      <c r="K368" s="27" t="s">
        <v>6</v>
      </c>
      <c r="L368" s="594">
        <f>L12</f>
        <v>12</v>
      </c>
      <c r="N368" s="595" t="str">
        <f t="shared" si="176"/>
        <v>Calendar Year</v>
      </c>
      <c r="O368" s="29" t="str">
        <f t="shared" si="176"/>
        <v>Calendar Year</v>
      </c>
      <c r="P368" s="29" t="str">
        <f t="shared" si="176"/>
        <v>Calendar Year</v>
      </c>
      <c r="Q368" s="29" t="str">
        <f t="shared" si="176"/>
        <v>Calendar Year</v>
      </c>
      <c r="R368" s="29" t="str">
        <f t="shared" si="176"/>
        <v>Calendar Year</v>
      </c>
      <c r="S368" s="29" t="str">
        <f t="shared" si="176"/>
        <v>Calendar Year</v>
      </c>
      <c r="T368" s="29" t="str">
        <f t="shared" si="176"/>
        <v>Calendar Year</v>
      </c>
      <c r="U368" s="29" t="str">
        <f t="shared" si="176"/>
        <v>Calendar Year</v>
      </c>
      <c r="V368" s="29" t="str">
        <f t="shared" si="176"/>
        <v>Calendar Year</v>
      </c>
      <c r="W368" s="29" t="str">
        <f t="shared" si="176"/>
        <v>Calendar Year</v>
      </c>
      <c r="X368" s="29" t="str">
        <f t="shared" si="176"/>
        <v>Calendar Year</v>
      </c>
      <c r="Y368" s="29" t="str">
        <f t="shared" si="176"/>
        <v>Calendar Year</v>
      </c>
      <c r="Z368" s="29" t="str">
        <f t="shared" si="176"/>
        <v>Calendar Year</v>
      </c>
      <c r="AA368" s="29" t="str">
        <f t="shared" si="176"/>
        <v>Calendar Year</v>
      </c>
      <c r="AB368" s="29" t="str">
        <f t="shared" si="176"/>
        <v>Calendar Year</v>
      </c>
      <c r="AC368" s="30" t="str">
        <f t="shared" si="176"/>
        <v>Calendar Year</v>
      </c>
      <c r="AD368" s="1"/>
      <c r="AE368" s="1"/>
    </row>
    <row r="369" spans="9:31" ht="17.25" thickBot="1" x14ac:dyDescent="0.35">
      <c r="AD369" s="1"/>
      <c r="AE369" s="1"/>
    </row>
    <row r="370" spans="9:31" ht="18" x14ac:dyDescent="0.2">
      <c r="I370" s="132">
        <v>1</v>
      </c>
      <c r="J370" s="33" t="s">
        <v>7</v>
      </c>
      <c r="K370" s="33"/>
      <c r="L370" s="34" t="s">
        <v>8</v>
      </c>
      <c r="N370" s="35"/>
      <c r="O370" s="36"/>
      <c r="P370" s="36"/>
      <c r="Q370" s="36"/>
      <c r="R370" s="36"/>
      <c r="S370" s="36"/>
      <c r="T370" s="36"/>
      <c r="U370" s="36"/>
      <c r="V370" s="36"/>
      <c r="W370" s="36"/>
      <c r="X370" s="36"/>
      <c r="Y370" s="36"/>
      <c r="Z370" s="36"/>
      <c r="AA370" s="36"/>
      <c r="AB370" s="36"/>
      <c r="AC370" s="37"/>
      <c r="AD370" s="1"/>
      <c r="AE370" s="1"/>
    </row>
    <row r="371" spans="9:31" ht="18" x14ac:dyDescent="0.4">
      <c r="I371" s="596" t="s">
        <v>9</v>
      </c>
      <c r="J371" s="597" t="s">
        <v>10</v>
      </c>
      <c r="K371" s="598"/>
      <c r="L371" s="599" t="s">
        <v>11</v>
      </c>
      <c r="N371" s="600"/>
      <c r="O371" s="601"/>
      <c r="P371" s="601"/>
      <c r="Q371" s="601"/>
      <c r="R371" s="601"/>
      <c r="S371" s="601"/>
      <c r="T371" s="601"/>
      <c r="U371" s="601"/>
      <c r="V371" s="601"/>
      <c r="W371" s="601"/>
      <c r="X371" s="601"/>
      <c r="Y371" s="601"/>
      <c r="Z371" s="601"/>
      <c r="AA371" s="601"/>
      <c r="AB371" s="601"/>
      <c r="AC371" s="602"/>
      <c r="AD371" s="1"/>
      <c r="AE371" s="1"/>
    </row>
    <row r="372" spans="9:31" ht="17.25" thickBot="1" x14ac:dyDescent="0.35">
      <c r="I372" s="596"/>
      <c r="J372" s="603" t="s">
        <v>12</v>
      </c>
      <c r="K372" s="45" t="str">
        <f>"Years of Rev: "&amp;COUNTIF(N372:AC372,"&gt;0")&amp;" yrs"</f>
        <v>Years of Rev: 0 yrs</v>
      </c>
      <c r="L372" s="604">
        <f>SUM(N372:AC372)</f>
        <v>0</v>
      </c>
      <c r="N372" s="605">
        <f t="shared" ref="N372:AC372" si="177">N16/$N$365</f>
        <v>0</v>
      </c>
      <c r="O372" s="606">
        <f t="shared" si="177"/>
        <v>0</v>
      </c>
      <c r="P372" s="606">
        <f t="shared" si="177"/>
        <v>0</v>
      </c>
      <c r="Q372" s="606">
        <f t="shared" si="177"/>
        <v>0</v>
      </c>
      <c r="R372" s="606">
        <f t="shared" si="177"/>
        <v>0</v>
      </c>
      <c r="S372" s="606">
        <f t="shared" si="177"/>
        <v>0</v>
      </c>
      <c r="T372" s="606">
        <f t="shared" si="177"/>
        <v>0</v>
      </c>
      <c r="U372" s="606">
        <f t="shared" si="177"/>
        <v>0</v>
      </c>
      <c r="V372" s="606">
        <f t="shared" si="177"/>
        <v>0</v>
      </c>
      <c r="W372" s="606">
        <f t="shared" si="177"/>
        <v>0</v>
      </c>
      <c r="X372" s="606">
        <f t="shared" si="177"/>
        <v>0</v>
      </c>
      <c r="Y372" s="606">
        <f t="shared" si="177"/>
        <v>0</v>
      </c>
      <c r="Z372" s="606">
        <f t="shared" si="177"/>
        <v>0</v>
      </c>
      <c r="AA372" s="606">
        <f t="shared" si="177"/>
        <v>0</v>
      </c>
      <c r="AB372" s="606">
        <f t="shared" si="177"/>
        <v>0</v>
      </c>
      <c r="AC372" s="607">
        <f t="shared" si="177"/>
        <v>0</v>
      </c>
      <c r="AD372" s="1"/>
      <c r="AE372" s="1"/>
    </row>
    <row r="373" spans="9:31" thickTop="1" x14ac:dyDescent="0.25">
      <c r="I373" s="608"/>
      <c r="J373" s="609" t="s">
        <v>13</v>
      </c>
      <c r="K373" s="608"/>
      <c r="L373" s="610">
        <f>L17</f>
        <v>0</v>
      </c>
      <c r="M373" s="50"/>
      <c r="N373" s="611">
        <f t="shared" ref="N373:AC373" si="178">N17</f>
        <v>0</v>
      </c>
      <c r="O373" s="612">
        <f t="shared" si="178"/>
        <v>0</v>
      </c>
      <c r="P373" s="612">
        <f t="shared" si="178"/>
        <v>0</v>
      </c>
      <c r="Q373" s="612">
        <f t="shared" si="178"/>
        <v>0</v>
      </c>
      <c r="R373" s="612">
        <f t="shared" si="178"/>
        <v>0</v>
      </c>
      <c r="S373" s="612">
        <f t="shared" si="178"/>
        <v>0</v>
      </c>
      <c r="T373" s="612">
        <f t="shared" si="178"/>
        <v>0</v>
      </c>
      <c r="U373" s="612">
        <f t="shared" si="178"/>
        <v>0</v>
      </c>
      <c r="V373" s="612">
        <f t="shared" si="178"/>
        <v>0</v>
      </c>
      <c r="W373" s="612">
        <f t="shared" si="178"/>
        <v>0</v>
      </c>
      <c r="X373" s="612">
        <f t="shared" si="178"/>
        <v>0</v>
      </c>
      <c r="Y373" s="612">
        <f t="shared" si="178"/>
        <v>0</v>
      </c>
      <c r="Z373" s="612">
        <f t="shared" si="178"/>
        <v>0</v>
      </c>
      <c r="AA373" s="612">
        <f t="shared" si="178"/>
        <v>0</v>
      </c>
      <c r="AB373" s="612">
        <f t="shared" si="178"/>
        <v>0</v>
      </c>
      <c r="AC373" s="613">
        <f t="shared" si="178"/>
        <v>0</v>
      </c>
      <c r="AD373" s="1"/>
      <c r="AE373" s="1"/>
    </row>
    <row r="374" spans="9:31" ht="15.75" x14ac:dyDescent="0.25">
      <c r="I374" s="596"/>
      <c r="J374" s="614" t="s">
        <v>14</v>
      </c>
      <c r="K374" s="596"/>
      <c r="L374" s="615">
        <f>SUM(N374:AC374)</f>
        <v>0</v>
      </c>
      <c r="N374" s="616">
        <f t="shared" ref="N374:AC374" si="179">N18/$N$365</f>
        <v>0</v>
      </c>
      <c r="O374" s="617">
        <f t="shared" si="179"/>
        <v>0</v>
      </c>
      <c r="P374" s="617">
        <f t="shared" si="179"/>
        <v>0</v>
      </c>
      <c r="Q374" s="617">
        <f t="shared" si="179"/>
        <v>0</v>
      </c>
      <c r="R374" s="617">
        <f t="shared" si="179"/>
        <v>0</v>
      </c>
      <c r="S374" s="617">
        <f t="shared" si="179"/>
        <v>0</v>
      </c>
      <c r="T374" s="617">
        <f t="shared" si="179"/>
        <v>0</v>
      </c>
      <c r="U374" s="617">
        <f t="shared" si="179"/>
        <v>0</v>
      </c>
      <c r="V374" s="617">
        <f t="shared" si="179"/>
        <v>0</v>
      </c>
      <c r="W374" s="617">
        <f t="shared" si="179"/>
        <v>0</v>
      </c>
      <c r="X374" s="617">
        <f t="shared" si="179"/>
        <v>0</v>
      </c>
      <c r="Y374" s="617">
        <f t="shared" si="179"/>
        <v>0</v>
      </c>
      <c r="Z374" s="617">
        <f t="shared" si="179"/>
        <v>0</v>
      </c>
      <c r="AA374" s="617">
        <f t="shared" si="179"/>
        <v>0</v>
      </c>
      <c r="AB374" s="617">
        <f t="shared" si="179"/>
        <v>0</v>
      </c>
      <c r="AC374" s="618">
        <f t="shared" si="179"/>
        <v>0</v>
      </c>
      <c r="AD374" s="1"/>
      <c r="AE374" s="1"/>
    </row>
    <row r="375" spans="9:31" ht="15.75" x14ac:dyDescent="0.25">
      <c r="I375" s="596"/>
      <c r="J375" s="614" t="s">
        <v>15</v>
      </c>
      <c r="K375" s="596"/>
      <c r="L375" s="619">
        <f>IFERROR(L374/L$372,0)</f>
        <v>0</v>
      </c>
      <c r="N375" s="620">
        <f>IFERROR(N374/N372,)</f>
        <v>0</v>
      </c>
      <c r="O375" s="621">
        <f t="shared" ref="O375:AC375" si="180">IFERROR(O374/O372,)</f>
        <v>0</v>
      </c>
      <c r="P375" s="621">
        <f t="shared" si="180"/>
        <v>0</v>
      </c>
      <c r="Q375" s="621">
        <f t="shared" si="180"/>
        <v>0</v>
      </c>
      <c r="R375" s="621">
        <f t="shared" si="180"/>
        <v>0</v>
      </c>
      <c r="S375" s="621">
        <f t="shared" si="180"/>
        <v>0</v>
      </c>
      <c r="T375" s="621">
        <f t="shared" si="180"/>
        <v>0</v>
      </c>
      <c r="U375" s="621">
        <f t="shared" si="180"/>
        <v>0</v>
      </c>
      <c r="V375" s="621">
        <f t="shared" si="180"/>
        <v>0</v>
      </c>
      <c r="W375" s="621">
        <f t="shared" si="180"/>
        <v>0</v>
      </c>
      <c r="X375" s="621">
        <f t="shared" si="180"/>
        <v>0</v>
      </c>
      <c r="Y375" s="621">
        <f t="shared" si="180"/>
        <v>0</v>
      </c>
      <c r="Z375" s="621">
        <f t="shared" si="180"/>
        <v>0</v>
      </c>
      <c r="AA375" s="621">
        <f t="shared" si="180"/>
        <v>0</v>
      </c>
      <c r="AB375" s="621">
        <f t="shared" si="180"/>
        <v>0</v>
      </c>
      <c r="AC375" s="622">
        <f t="shared" si="180"/>
        <v>0</v>
      </c>
      <c r="AD375" s="1"/>
      <c r="AE375" s="1"/>
    </row>
    <row r="376" spans="9:31" ht="15.75" x14ac:dyDescent="0.25">
      <c r="I376" s="596"/>
      <c r="J376" s="603" t="s">
        <v>16</v>
      </c>
      <c r="K376" s="596"/>
      <c r="L376" s="623">
        <f>SUM(N376:AC376)</f>
        <v>0</v>
      </c>
      <c r="N376" s="624">
        <f t="shared" ref="N376:AC376" si="181">N20/$N$365</f>
        <v>0</v>
      </c>
      <c r="O376" s="625">
        <f t="shared" si="181"/>
        <v>0</v>
      </c>
      <c r="P376" s="625">
        <f t="shared" si="181"/>
        <v>0</v>
      </c>
      <c r="Q376" s="625">
        <f t="shared" si="181"/>
        <v>0</v>
      </c>
      <c r="R376" s="625">
        <f t="shared" si="181"/>
        <v>0</v>
      </c>
      <c r="S376" s="625">
        <f t="shared" si="181"/>
        <v>0</v>
      </c>
      <c r="T376" s="625">
        <f t="shared" si="181"/>
        <v>0</v>
      </c>
      <c r="U376" s="625">
        <f t="shared" si="181"/>
        <v>0</v>
      </c>
      <c r="V376" s="625">
        <f t="shared" si="181"/>
        <v>0</v>
      </c>
      <c r="W376" s="625">
        <f t="shared" si="181"/>
        <v>0</v>
      </c>
      <c r="X376" s="625">
        <f t="shared" si="181"/>
        <v>0</v>
      </c>
      <c r="Y376" s="625">
        <f t="shared" si="181"/>
        <v>0</v>
      </c>
      <c r="Z376" s="625">
        <f t="shared" si="181"/>
        <v>0</v>
      </c>
      <c r="AA376" s="625">
        <f t="shared" si="181"/>
        <v>0</v>
      </c>
      <c r="AB376" s="625">
        <f t="shared" si="181"/>
        <v>0</v>
      </c>
      <c r="AC376" s="626">
        <f t="shared" si="181"/>
        <v>0</v>
      </c>
      <c r="AD376" s="1"/>
      <c r="AE376" s="1"/>
    </row>
    <row r="377" spans="9:31" ht="15.75" x14ac:dyDescent="0.25">
      <c r="I377" s="596"/>
      <c r="J377" s="566" t="s">
        <v>423</v>
      </c>
      <c r="K377" s="596"/>
      <c r="L377" s="627">
        <f>L21</f>
        <v>0</v>
      </c>
      <c r="N377" s="628">
        <f t="shared" ref="N377:AC377" si="182">N21</f>
        <v>0</v>
      </c>
      <c r="O377" s="629">
        <f t="shared" si="182"/>
        <v>0</v>
      </c>
      <c r="P377" s="629">
        <f t="shared" si="182"/>
        <v>0</v>
      </c>
      <c r="Q377" s="629">
        <f t="shared" si="182"/>
        <v>0</v>
      </c>
      <c r="R377" s="629">
        <f t="shared" si="182"/>
        <v>0</v>
      </c>
      <c r="S377" s="629">
        <f t="shared" si="182"/>
        <v>0</v>
      </c>
      <c r="T377" s="629">
        <f t="shared" si="182"/>
        <v>0</v>
      </c>
      <c r="U377" s="629">
        <f t="shared" si="182"/>
        <v>0</v>
      </c>
      <c r="V377" s="629">
        <f t="shared" si="182"/>
        <v>0</v>
      </c>
      <c r="W377" s="629">
        <f t="shared" si="182"/>
        <v>0</v>
      </c>
      <c r="X377" s="629">
        <f t="shared" si="182"/>
        <v>0</v>
      </c>
      <c r="Y377" s="629">
        <f t="shared" si="182"/>
        <v>0</v>
      </c>
      <c r="Z377" s="629">
        <f t="shared" si="182"/>
        <v>0</v>
      </c>
      <c r="AA377" s="629">
        <f t="shared" si="182"/>
        <v>0</v>
      </c>
      <c r="AB377" s="629">
        <f t="shared" si="182"/>
        <v>0</v>
      </c>
      <c r="AC377" s="630">
        <f t="shared" si="182"/>
        <v>0</v>
      </c>
      <c r="AD377" s="1"/>
      <c r="AE377" s="1"/>
    </row>
    <row r="378" spans="9:31" ht="15.75" x14ac:dyDescent="0.25">
      <c r="I378" s="631"/>
      <c r="J378" s="538" t="s">
        <v>424</v>
      </c>
      <c r="K378" s="631"/>
      <c r="L378" s="632">
        <f>L22</f>
        <v>0</v>
      </c>
      <c r="M378" s="633"/>
      <c r="N378" s="634">
        <f t="shared" ref="N378:AC378" si="183">N22</f>
        <v>0</v>
      </c>
      <c r="O378" s="635">
        <f t="shared" si="183"/>
        <v>0</v>
      </c>
      <c r="P378" s="635">
        <f t="shared" si="183"/>
        <v>0</v>
      </c>
      <c r="Q378" s="635">
        <f t="shared" si="183"/>
        <v>0</v>
      </c>
      <c r="R378" s="635">
        <f t="shared" si="183"/>
        <v>0</v>
      </c>
      <c r="S378" s="635">
        <f t="shared" si="183"/>
        <v>0</v>
      </c>
      <c r="T378" s="635">
        <f t="shared" si="183"/>
        <v>0</v>
      </c>
      <c r="U378" s="635">
        <f t="shared" si="183"/>
        <v>0</v>
      </c>
      <c r="V378" s="635">
        <f t="shared" si="183"/>
        <v>0</v>
      </c>
      <c r="W378" s="635">
        <f t="shared" si="183"/>
        <v>0</v>
      </c>
      <c r="X378" s="635">
        <f t="shared" si="183"/>
        <v>0</v>
      </c>
      <c r="Y378" s="635">
        <f t="shared" si="183"/>
        <v>0</v>
      </c>
      <c r="Z378" s="635">
        <f t="shared" si="183"/>
        <v>0</v>
      </c>
      <c r="AA378" s="635">
        <f t="shared" si="183"/>
        <v>0</v>
      </c>
      <c r="AB378" s="635">
        <f t="shared" si="183"/>
        <v>0</v>
      </c>
      <c r="AC378" s="636">
        <f t="shared" si="183"/>
        <v>0</v>
      </c>
      <c r="AD378" s="1"/>
      <c r="AE378" s="1"/>
    </row>
    <row r="379" spans="9:31" thickBot="1" x14ac:dyDescent="0.3">
      <c r="I379" s="596"/>
      <c r="J379" s="598" t="s">
        <v>17</v>
      </c>
      <c r="K379" s="596"/>
      <c r="L379" s="637">
        <f>SUM(N379:AC379)</f>
        <v>0</v>
      </c>
      <c r="N379" s="638">
        <f t="shared" ref="N379:AC383" si="184">N23/$N$365</f>
        <v>0</v>
      </c>
      <c r="O379" s="639">
        <f t="shared" si="184"/>
        <v>0</v>
      </c>
      <c r="P379" s="639">
        <f t="shared" si="184"/>
        <v>0</v>
      </c>
      <c r="Q379" s="639">
        <f t="shared" si="184"/>
        <v>0</v>
      </c>
      <c r="R379" s="639">
        <f t="shared" si="184"/>
        <v>0</v>
      </c>
      <c r="S379" s="639">
        <f t="shared" si="184"/>
        <v>0</v>
      </c>
      <c r="T379" s="639">
        <f t="shared" si="184"/>
        <v>0</v>
      </c>
      <c r="U379" s="639">
        <f t="shared" si="184"/>
        <v>0</v>
      </c>
      <c r="V379" s="639">
        <f t="shared" si="184"/>
        <v>0</v>
      </c>
      <c r="W379" s="639">
        <f t="shared" si="184"/>
        <v>0</v>
      </c>
      <c r="X379" s="639">
        <f t="shared" si="184"/>
        <v>0</v>
      </c>
      <c r="Y379" s="639">
        <f t="shared" si="184"/>
        <v>0</v>
      </c>
      <c r="Z379" s="639">
        <f t="shared" si="184"/>
        <v>0</v>
      </c>
      <c r="AA379" s="639">
        <f t="shared" si="184"/>
        <v>0</v>
      </c>
      <c r="AB379" s="639">
        <f t="shared" si="184"/>
        <v>0</v>
      </c>
      <c r="AC379" s="640">
        <f t="shared" si="184"/>
        <v>0</v>
      </c>
      <c r="AD379" s="1"/>
      <c r="AE379" s="1"/>
    </row>
    <row r="380" spans="9:31" x14ac:dyDescent="0.3">
      <c r="I380" s="596"/>
      <c r="J380" s="641" t="s">
        <v>374</v>
      </c>
      <c r="K380" s="45" t="str">
        <f>"Useful Life@"&amp;ROUND(L498,2)&amp;"yrs"</f>
        <v>Useful Life@0yrs</v>
      </c>
      <c r="L380" s="642">
        <f>SUM(N380:AC380)</f>
        <v>0</v>
      </c>
      <c r="N380" s="643">
        <f t="shared" si="184"/>
        <v>0</v>
      </c>
      <c r="O380" s="644">
        <f t="shared" si="184"/>
        <v>0</v>
      </c>
      <c r="P380" s="644">
        <f t="shared" si="184"/>
        <v>0</v>
      </c>
      <c r="Q380" s="644">
        <f t="shared" si="184"/>
        <v>0</v>
      </c>
      <c r="R380" s="644">
        <f t="shared" si="184"/>
        <v>0</v>
      </c>
      <c r="S380" s="644">
        <f t="shared" si="184"/>
        <v>0</v>
      </c>
      <c r="T380" s="644">
        <f t="shared" si="184"/>
        <v>0</v>
      </c>
      <c r="U380" s="644">
        <f t="shared" si="184"/>
        <v>0</v>
      </c>
      <c r="V380" s="644">
        <f t="shared" si="184"/>
        <v>0</v>
      </c>
      <c r="W380" s="644">
        <f t="shared" si="184"/>
        <v>0</v>
      </c>
      <c r="X380" s="644">
        <f t="shared" si="184"/>
        <v>0</v>
      </c>
      <c r="Y380" s="644">
        <f t="shared" si="184"/>
        <v>0</v>
      </c>
      <c r="Z380" s="644">
        <f t="shared" si="184"/>
        <v>0</v>
      </c>
      <c r="AA380" s="644">
        <f t="shared" si="184"/>
        <v>0</v>
      </c>
      <c r="AB380" s="644">
        <f t="shared" si="184"/>
        <v>0</v>
      </c>
      <c r="AC380" s="645">
        <f t="shared" si="184"/>
        <v>0</v>
      </c>
      <c r="AD380" s="1"/>
      <c r="AE380" s="1"/>
    </row>
    <row r="381" spans="9:31" thickBot="1" x14ac:dyDescent="0.3">
      <c r="I381" s="596"/>
      <c r="J381" s="641" t="s">
        <v>375</v>
      </c>
      <c r="K381" s="596"/>
      <c r="L381" s="646">
        <f>SUM(N381:AC381)</f>
        <v>0</v>
      </c>
      <c r="N381" s="647">
        <f t="shared" si="184"/>
        <v>0</v>
      </c>
      <c r="O381" s="648">
        <f t="shared" si="184"/>
        <v>0</v>
      </c>
      <c r="P381" s="648">
        <f t="shared" si="184"/>
        <v>0</v>
      </c>
      <c r="Q381" s="648">
        <f t="shared" si="184"/>
        <v>0</v>
      </c>
      <c r="R381" s="648">
        <f t="shared" si="184"/>
        <v>0</v>
      </c>
      <c r="S381" s="648">
        <f t="shared" si="184"/>
        <v>0</v>
      </c>
      <c r="T381" s="648">
        <f t="shared" si="184"/>
        <v>0</v>
      </c>
      <c r="U381" s="648">
        <f t="shared" si="184"/>
        <v>0</v>
      </c>
      <c r="V381" s="648">
        <f t="shared" si="184"/>
        <v>0</v>
      </c>
      <c r="W381" s="648">
        <f t="shared" si="184"/>
        <v>0</v>
      </c>
      <c r="X381" s="648">
        <f t="shared" si="184"/>
        <v>0</v>
      </c>
      <c r="Y381" s="648">
        <f t="shared" si="184"/>
        <v>0</v>
      </c>
      <c r="Z381" s="648">
        <f t="shared" si="184"/>
        <v>0</v>
      </c>
      <c r="AA381" s="648">
        <f t="shared" si="184"/>
        <v>0</v>
      </c>
      <c r="AB381" s="648">
        <f t="shared" si="184"/>
        <v>0</v>
      </c>
      <c r="AC381" s="649">
        <f t="shared" si="184"/>
        <v>0</v>
      </c>
      <c r="AD381" s="1"/>
      <c r="AE381" s="1"/>
    </row>
    <row r="382" spans="9:31" ht="15.75" x14ac:dyDescent="0.25">
      <c r="I382" s="596"/>
      <c r="J382" s="650" t="str">
        <f>IF(L479&gt;0,"Annual Funding Gap (including IC asset transfer)","Annual Funding Gap")</f>
        <v>Annual Funding Gap</v>
      </c>
      <c r="K382" s="596"/>
      <c r="L382" s="651">
        <f>SUM(N382:AC382)</f>
        <v>0</v>
      </c>
      <c r="N382" s="643">
        <f t="shared" si="184"/>
        <v>0</v>
      </c>
      <c r="O382" s="644">
        <f t="shared" si="184"/>
        <v>0</v>
      </c>
      <c r="P382" s="644">
        <f t="shared" si="184"/>
        <v>0</v>
      </c>
      <c r="Q382" s="644">
        <f t="shared" si="184"/>
        <v>0</v>
      </c>
      <c r="R382" s="644">
        <f t="shared" si="184"/>
        <v>0</v>
      </c>
      <c r="S382" s="644">
        <f t="shared" si="184"/>
        <v>0</v>
      </c>
      <c r="T382" s="644">
        <f t="shared" si="184"/>
        <v>0</v>
      </c>
      <c r="U382" s="644">
        <f t="shared" si="184"/>
        <v>0</v>
      </c>
      <c r="V382" s="644">
        <f t="shared" si="184"/>
        <v>0</v>
      </c>
      <c r="W382" s="644">
        <f t="shared" si="184"/>
        <v>0</v>
      </c>
      <c r="X382" s="644">
        <f t="shared" si="184"/>
        <v>0</v>
      </c>
      <c r="Y382" s="644">
        <f t="shared" si="184"/>
        <v>0</v>
      </c>
      <c r="Z382" s="644">
        <f t="shared" si="184"/>
        <v>0</v>
      </c>
      <c r="AA382" s="644">
        <f t="shared" si="184"/>
        <v>0</v>
      </c>
      <c r="AB382" s="644">
        <f t="shared" si="184"/>
        <v>0</v>
      </c>
      <c r="AC382" s="645">
        <f t="shared" si="184"/>
        <v>0</v>
      </c>
      <c r="AD382" s="1"/>
      <c r="AE382" s="1"/>
    </row>
    <row r="383" spans="9:31" thickBot="1" x14ac:dyDescent="0.3">
      <c r="I383" s="596"/>
      <c r="J383" s="650" t="str">
        <f>IF(L479&gt;0,"Peak Funding Gap (including IC asset transfer)","Peak Funding Gap")</f>
        <v>Peak Funding Gap</v>
      </c>
      <c r="K383" s="596"/>
      <c r="L383" s="652">
        <f>MIN(N383:AC383)</f>
        <v>0</v>
      </c>
      <c r="N383" s="647">
        <f t="shared" si="184"/>
        <v>0</v>
      </c>
      <c r="O383" s="648">
        <f t="shared" si="184"/>
        <v>0</v>
      </c>
      <c r="P383" s="648">
        <f t="shared" si="184"/>
        <v>0</v>
      </c>
      <c r="Q383" s="648">
        <f t="shared" si="184"/>
        <v>0</v>
      </c>
      <c r="R383" s="648">
        <f t="shared" si="184"/>
        <v>0</v>
      </c>
      <c r="S383" s="648">
        <f t="shared" si="184"/>
        <v>0</v>
      </c>
      <c r="T383" s="648">
        <f t="shared" si="184"/>
        <v>0</v>
      </c>
      <c r="U383" s="648">
        <f t="shared" si="184"/>
        <v>0</v>
      </c>
      <c r="V383" s="648">
        <f t="shared" si="184"/>
        <v>0</v>
      </c>
      <c r="W383" s="648">
        <f t="shared" si="184"/>
        <v>0</v>
      </c>
      <c r="X383" s="648">
        <f t="shared" si="184"/>
        <v>0</v>
      </c>
      <c r="Y383" s="648">
        <f t="shared" si="184"/>
        <v>0</v>
      </c>
      <c r="Z383" s="648">
        <f t="shared" si="184"/>
        <v>0</v>
      </c>
      <c r="AA383" s="648">
        <f t="shared" si="184"/>
        <v>0</v>
      </c>
      <c r="AB383" s="648">
        <f t="shared" si="184"/>
        <v>0</v>
      </c>
      <c r="AC383" s="649">
        <f t="shared" si="184"/>
        <v>0</v>
      </c>
      <c r="AD383" s="1"/>
      <c r="AE383" s="1"/>
    </row>
    <row r="384" spans="9:31" ht="14.25" outlineLevel="1" x14ac:dyDescent="0.2">
      <c r="I384" s="1"/>
      <c r="K384" s="1"/>
      <c r="AD384" s="1"/>
      <c r="AE384" s="1"/>
    </row>
    <row r="385" spans="9:31" ht="18" outlineLevel="1" x14ac:dyDescent="0.4">
      <c r="I385" s="1"/>
      <c r="J385" s="653" t="s">
        <v>18</v>
      </c>
      <c r="K385" s="1"/>
      <c r="AD385" s="1"/>
      <c r="AE385" s="1"/>
    </row>
    <row r="386" spans="9:31" outlineLevel="1" x14ac:dyDescent="0.3">
      <c r="I386" s="596"/>
      <c r="J386" s="654" t="s">
        <v>19</v>
      </c>
      <c r="K386" s="655" t="s">
        <v>20</v>
      </c>
      <c r="L386" s="656">
        <f>SUM(N386:AC386)</f>
        <v>0</v>
      </c>
      <c r="M386" s="76"/>
      <c r="N386" s="657">
        <f t="shared" ref="N386:AC387" si="185">N30/$N$365</f>
        <v>0</v>
      </c>
      <c r="O386" s="658">
        <f t="shared" si="185"/>
        <v>0</v>
      </c>
      <c r="P386" s="658">
        <f t="shared" si="185"/>
        <v>0</v>
      </c>
      <c r="Q386" s="658">
        <f t="shared" si="185"/>
        <v>0</v>
      </c>
      <c r="R386" s="658">
        <f t="shared" si="185"/>
        <v>0</v>
      </c>
      <c r="S386" s="658">
        <f t="shared" si="185"/>
        <v>0</v>
      </c>
      <c r="T386" s="658">
        <f t="shared" si="185"/>
        <v>0</v>
      </c>
      <c r="U386" s="658">
        <f t="shared" si="185"/>
        <v>0</v>
      </c>
      <c r="V386" s="658">
        <f t="shared" si="185"/>
        <v>0</v>
      </c>
      <c r="W386" s="658">
        <f t="shared" si="185"/>
        <v>0</v>
      </c>
      <c r="X386" s="658">
        <f t="shared" si="185"/>
        <v>0</v>
      </c>
      <c r="Y386" s="658">
        <f t="shared" si="185"/>
        <v>0</v>
      </c>
      <c r="Z386" s="658">
        <f t="shared" si="185"/>
        <v>0</v>
      </c>
      <c r="AA386" s="658">
        <f t="shared" si="185"/>
        <v>0</v>
      </c>
      <c r="AB386" s="658">
        <f t="shared" si="185"/>
        <v>0</v>
      </c>
      <c r="AC386" s="659">
        <f t="shared" si="185"/>
        <v>0</v>
      </c>
      <c r="AD386" s="1"/>
      <c r="AE386" s="1"/>
    </row>
    <row r="387" spans="9:31" outlineLevel="1" x14ac:dyDescent="0.3">
      <c r="I387" s="596"/>
      <c r="J387" s="660" t="s">
        <v>21</v>
      </c>
      <c r="K387" s="655" t="str">
        <f>IF(P511="Yes","Imputed in ROI","Not imputed in ROI")</f>
        <v>Not imputed in ROI</v>
      </c>
      <c r="L387" s="661">
        <f>SUM(N387:AC387)</f>
        <v>0</v>
      </c>
      <c r="M387" s="76"/>
      <c r="N387" s="662">
        <f t="shared" si="185"/>
        <v>0</v>
      </c>
      <c r="O387" s="663">
        <f t="shared" si="185"/>
        <v>0</v>
      </c>
      <c r="P387" s="663">
        <f t="shared" si="185"/>
        <v>0</v>
      </c>
      <c r="Q387" s="663">
        <f t="shared" si="185"/>
        <v>0</v>
      </c>
      <c r="R387" s="663">
        <f t="shared" si="185"/>
        <v>0</v>
      </c>
      <c r="S387" s="663">
        <f t="shared" si="185"/>
        <v>0</v>
      </c>
      <c r="T387" s="663">
        <f t="shared" si="185"/>
        <v>0</v>
      </c>
      <c r="U387" s="663">
        <f t="shared" si="185"/>
        <v>0</v>
      </c>
      <c r="V387" s="663">
        <f t="shared" si="185"/>
        <v>0</v>
      </c>
      <c r="W387" s="663">
        <f t="shared" si="185"/>
        <v>0</v>
      </c>
      <c r="X387" s="663">
        <f t="shared" si="185"/>
        <v>0</v>
      </c>
      <c r="Y387" s="663">
        <f t="shared" si="185"/>
        <v>0</v>
      </c>
      <c r="Z387" s="663">
        <f t="shared" si="185"/>
        <v>0</v>
      </c>
      <c r="AA387" s="663">
        <f t="shared" si="185"/>
        <v>0</v>
      </c>
      <c r="AB387" s="663">
        <f t="shared" si="185"/>
        <v>0</v>
      </c>
      <c r="AC387" s="664">
        <f t="shared" si="185"/>
        <v>0</v>
      </c>
      <c r="AD387" s="1"/>
      <c r="AE387" s="1"/>
    </row>
    <row r="388" spans="9:31" outlineLevel="1" thickBot="1" x14ac:dyDescent="0.3">
      <c r="I388" s="596"/>
      <c r="J388" s="641"/>
      <c r="K388" s="641"/>
      <c r="L388" s="641"/>
      <c r="N388" s="641"/>
      <c r="O388" s="641"/>
      <c r="P388" s="641"/>
      <c r="Q388" s="641"/>
      <c r="R388" s="641"/>
      <c r="S388" s="641"/>
      <c r="T388" s="641"/>
      <c r="U388" s="641"/>
      <c r="V388" s="641"/>
      <c r="W388" s="641"/>
      <c r="X388" s="641"/>
      <c r="Y388" s="641"/>
      <c r="Z388" s="641"/>
      <c r="AA388" s="641"/>
      <c r="AB388" s="641"/>
      <c r="AC388" s="641"/>
      <c r="AD388" s="1"/>
      <c r="AE388" s="1"/>
    </row>
    <row r="389" spans="9:31" ht="18" x14ac:dyDescent="0.4">
      <c r="I389" s="596" t="s">
        <v>22</v>
      </c>
      <c r="J389" s="597" t="s">
        <v>23</v>
      </c>
      <c r="K389" s="598"/>
      <c r="L389" s="665"/>
      <c r="N389" s="666"/>
      <c r="O389" s="667"/>
      <c r="P389" s="667"/>
      <c r="Q389" s="667"/>
      <c r="R389" s="667"/>
      <c r="S389" s="667"/>
      <c r="T389" s="667"/>
      <c r="U389" s="667"/>
      <c r="V389" s="667"/>
      <c r="W389" s="667"/>
      <c r="X389" s="667"/>
      <c r="Y389" s="667"/>
      <c r="Z389" s="667"/>
      <c r="AA389" s="667"/>
      <c r="AB389" s="667"/>
      <c r="AC389" s="668"/>
      <c r="AD389" s="1"/>
      <c r="AE389" s="1"/>
    </row>
    <row r="390" spans="9:31" ht="15.75" x14ac:dyDescent="0.25">
      <c r="I390" s="596"/>
      <c r="J390" s="598" t="s">
        <v>24</v>
      </c>
      <c r="K390" s="1186" t="str">
        <f>IFERROR(CONCATENATE("CPCF Multiple: ",ROUND(L390/L469,1),"x"),"MOIC Multiple")</f>
        <v>MOIC Multiple</v>
      </c>
      <c r="L390" s="669">
        <f>AC390</f>
        <v>0</v>
      </c>
      <c r="N390" s="616">
        <f t="shared" ref="N390:AC390" si="186">N34/$N$365</f>
        <v>0</v>
      </c>
      <c r="O390" s="617">
        <f t="shared" si="186"/>
        <v>0</v>
      </c>
      <c r="P390" s="617">
        <f t="shared" si="186"/>
        <v>0</v>
      </c>
      <c r="Q390" s="617">
        <f t="shared" si="186"/>
        <v>0</v>
      </c>
      <c r="R390" s="617">
        <f t="shared" si="186"/>
        <v>0</v>
      </c>
      <c r="S390" s="617">
        <f t="shared" si="186"/>
        <v>0</v>
      </c>
      <c r="T390" s="617">
        <f t="shared" si="186"/>
        <v>0</v>
      </c>
      <c r="U390" s="617">
        <f t="shared" si="186"/>
        <v>0</v>
      </c>
      <c r="V390" s="617">
        <f t="shared" si="186"/>
        <v>0</v>
      </c>
      <c r="W390" s="617">
        <f t="shared" si="186"/>
        <v>0</v>
      </c>
      <c r="X390" s="617">
        <f t="shared" si="186"/>
        <v>0</v>
      </c>
      <c r="Y390" s="617">
        <f t="shared" si="186"/>
        <v>0</v>
      </c>
      <c r="Z390" s="617">
        <f t="shared" si="186"/>
        <v>0</v>
      </c>
      <c r="AA390" s="617">
        <f t="shared" si="186"/>
        <v>0</v>
      </c>
      <c r="AB390" s="617">
        <f t="shared" si="186"/>
        <v>0</v>
      </c>
      <c r="AC390" s="618">
        <f t="shared" si="186"/>
        <v>0</v>
      </c>
      <c r="AD390" s="1"/>
      <c r="AE390" s="1"/>
    </row>
    <row r="391" spans="9:31" ht="16.5" customHeight="1" x14ac:dyDescent="0.25">
      <c r="I391" s="596"/>
      <c r="J391" s="598" t="s">
        <v>25</v>
      </c>
      <c r="K391" s="1186"/>
      <c r="L391" s="669" t="str">
        <f>L35</f>
        <v>0 yrs</v>
      </c>
      <c r="N391" s="670" t="str">
        <f t="shared" ref="N391:AC391" si="187">N35</f>
        <v>0 yrs</v>
      </c>
      <c r="O391" s="671" t="str">
        <f t="shared" si="187"/>
        <v>0 yrs</v>
      </c>
      <c r="P391" s="671" t="str">
        <f t="shared" si="187"/>
        <v>0 yrs</v>
      </c>
      <c r="Q391" s="671" t="str">
        <f t="shared" si="187"/>
        <v>0 yrs</v>
      </c>
      <c r="R391" s="671" t="str">
        <f t="shared" si="187"/>
        <v>0 yrs</v>
      </c>
      <c r="S391" s="671" t="str">
        <f t="shared" si="187"/>
        <v>0 yrs</v>
      </c>
      <c r="T391" s="671" t="str">
        <f t="shared" si="187"/>
        <v>0 yrs</v>
      </c>
      <c r="U391" s="671" t="str">
        <f t="shared" si="187"/>
        <v>0 yrs</v>
      </c>
      <c r="V391" s="671" t="str">
        <f t="shared" si="187"/>
        <v>0 yrs</v>
      </c>
      <c r="W391" s="671" t="str">
        <f t="shared" si="187"/>
        <v>0 yrs</v>
      </c>
      <c r="X391" s="671" t="str">
        <f t="shared" si="187"/>
        <v>0 yrs</v>
      </c>
      <c r="Y391" s="671" t="str">
        <f t="shared" si="187"/>
        <v>0 yrs</v>
      </c>
      <c r="Z391" s="671" t="str">
        <f t="shared" si="187"/>
        <v>0 yrs</v>
      </c>
      <c r="AA391" s="671" t="str">
        <f t="shared" si="187"/>
        <v>0 yrs</v>
      </c>
      <c r="AB391" s="671" t="str">
        <f t="shared" si="187"/>
        <v>0 yrs</v>
      </c>
      <c r="AC391" s="672" t="str">
        <f t="shared" si="187"/>
        <v>0 yrs</v>
      </c>
      <c r="AD391" s="1"/>
      <c r="AE391" s="1"/>
    </row>
    <row r="392" spans="9:31" ht="23.25" customHeight="1" x14ac:dyDescent="0.25">
      <c r="I392" s="596"/>
      <c r="J392" s="598" t="s">
        <v>26</v>
      </c>
      <c r="K392" s="673" t="str">
        <f>CONCATENATE("WACC@",$L$98*100,"%")</f>
        <v>WACC@15%</v>
      </c>
      <c r="L392" s="669">
        <f>AC392</f>
        <v>0</v>
      </c>
      <c r="N392" s="616">
        <f t="shared" ref="N392:AC392" si="188">N36/$N$365</f>
        <v>0</v>
      </c>
      <c r="O392" s="617">
        <f t="shared" si="188"/>
        <v>0</v>
      </c>
      <c r="P392" s="617">
        <f t="shared" si="188"/>
        <v>0</v>
      </c>
      <c r="Q392" s="617">
        <f t="shared" si="188"/>
        <v>0</v>
      </c>
      <c r="R392" s="617">
        <f t="shared" si="188"/>
        <v>0</v>
      </c>
      <c r="S392" s="617">
        <f t="shared" si="188"/>
        <v>0</v>
      </c>
      <c r="T392" s="617">
        <f t="shared" si="188"/>
        <v>0</v>
      </c>
      <c r="U392" s="617">
        <f t="shared" si="188"/>
        <v>0</v>
      </c>
      <c r="V392" s="617">
        <f t="shared" si="188"/>
        <v>0</v>
      </c>
      <c r="W392" s="617">
        <f t="shared" si="188"/>
        <v>0</v>
      </c>
      <c r="X392" s="617">
        <f t="shared" si="188"/>
        <v>0</v>
      </c>
      <c r="Y392" s="617">
        <f t="shared" si="188"/>
        <v>0</v>
      </c>
      <c r="Z392" s="617">
        <f t="shared" si="188"/>
        <v>0</v>
      </c>
      <c r="AA392" s="617">
        <f t="shared" si="188"/>
        <v>0</v>
      </c>
      <c r="AB392" s="617">
        <f t="shared" si="188"/>
        <v>0</v>
      </c>
      <c r="AC392" s="618">
        <f t="shared" si="188"/>
        <v>0</v>
      </c>
      <c r="AD392" s="1"/>
      <c r="AE392" s="1"/>
    </row>
    <row r="393" spans="9:31" ht="23.25" customHeight="1" x14ac:dyDescent="0.25">
      <c r="I393" s="596"/>
      <c r="J393" s="598"/>
      <c r="K393" s="673" t="str">
        <f>CONCATENATE("IRR: ",ROUND($L$334*100,1),"%")</f>
        <v>IRR: 0%</v>
      </c>
      <c r="L393" s="674"/>
      <c r="N393" s="89"/>
      <c r="O393" s="90"/>
      <c r="P393" s="90"/>
      <c r="Q393" s="90"/>
      <c r="R393" s="90"/>
      <c r="S393" s="90"/>
      <c r="T393" s="90"/>
      <c r="U393" s="90"/>
      <c r="V393" s="90"/>
      <c r="W393" s="90"/>
      <c r="X393" s="90"/>
      <c r="Y393" s="90"/>
      <c r="Z393" s="90"/>
      <c r="AA393" s="90"/>
      <c r="AB393" s="90"/>
      <c r="AC393" s="91"/>
      <c r="AD393" s="1"/>
      <c r="AE393" s="1"/>
    </row>
    <row r="394" spans="9:31" ht="23.25" customHeight="1" x14ac:dyDescent="0.4">
      <c r="I394" s="596" t="s">
        <v>27</v>
      </c>
      <c r="J394" s="597" t="s">
        <v>28</v>
      </c>
      <c r="L394" s="675">
        <f>IFERROR(AVERAGEIF(O394:AC394,"&gt;100",O394:AC394),)</f>
        <v>0</v>
      </c>
      <c r="N394" s="676">
        <f>SUM(N396:N404)-N397</f>
        <v>0</v>
      </c>
      <c r="O394" s="677">
        <f t="shared" ref="O394:AC394" si="189">SUM(O396:O404)-O397</f>
        <v>0</v>
      </c>
      <c r="P394" s="677">
        <f t="shared" si="189"/>
        <v>0</v>
      </c>
      <c r="Q394" s="677">
        <f t="shared" si="189"/>
        <v>0</v>
      </c>
      <c r="R394" s="677">
        <f t="shared" si="189"/>
        <v>0</v>
      </c>
      <c r="S394" s="677">
        <f t="shared" si="189"/>
        <v>0</v>
      </c>
      <c r="T394" s="677">
        <f t="shared" si="189"/>
        <v>0</v>
      </c>
      <c r="U394" s="677">
        <f t="shared" si="189"/>
        <v>0</v>
      </c>
      <c r="V394" s="677">
        <f t="shared" si="189"/>
        <v>0</v>
      </c>
      <c r="W394" s="677">
        <f t="shared" si="189"/>
        <v>0</v>
      </c>
      <c r="X394" s="677">
        <f t="shared" si="189"/>
        <v>0</v>
      </c>
      <c r="Y394" s="677">
        <f t="shared" si="189"/>
        <v>0</v>
      </c>
      <c r="Z394" s="677">
        <f t="shared" si="189"/>
        <v>0</v>
      </c>
      <c r="AA394" s="677">
        <f t="shared" si="189"/>
        <v>0</v>
      </c>
      <c r="AB394" s="677">
        <f t="shared" si="189"/>
        <v>0</v>
      </c>
      <c r="AC394" s="678">
        <f t="shared" si="189"/>
        <v>0</v>
      </c>
      <c r="AD394" s="1"/>
      <c r="AE394" s="1"/>
    </row>
    <row r="395" spans="9:31" ht="15.75" x14ac:dyDescent="0.25">
      <c r="I395" s="596"/>
      <c r="J395" s="598" t="s">
        <v>29</v>
      </c>
      <c r="K395" s="596"/>
      <c r="L395" s="679" t="str">
        <f>IFERROR(SUM(N394:AC394)/SUM(N372:AC372),"")</f>
        <v/>
      </c>
      <c r="N395" s="680" t="str">
        <f t="shared" ref="N395:AC395" si="190">IFERROR(N394/N372*N482/365,"")</f>
        <v/>
      </c>
      <c r="O395" s="681" t="str">
        <f t="shared" si="190"/>
        <v/>
      </c>
      <c r="P395" s="681" t="str">
        <f t="shared" si="190"/>
        <v/>
      </c>
      <c r="Q395" s="681" t="str">
        <f t="shared" si="190"/>
        <v/>
      </c>
      <c r="R395" s="681" t="str">
        <f t="shared" si="190"/>
        <v/>
      </c>
      <c r="S395" s="681" t="str">
        <f t="shared" si="190"/>
        <v/>
      </c>
      <c r="T395" s="681" t="str">
        <f t="shared" si="190"/>
        <v/>
      </c>
      <c r="U395" s="681" t="str">
        <f t="shared" si="190"/>
        <v/>
      </c>
      <c r="V395" s="681" t="str">
        <f t="shared" si="190"/>
        <v/>
      </c>
      <c r="W395" s="681" t="str">
        <f t="shared" si="190"/>
        <v/>
      </c>
      <c r="X395" s="681" t="str">
        <f t="shared" si="190"/>
        <v/>
      </c>
      <c r="Y395" s="681" t="str">
        <f t="shared" si="190"/>
        <v/>
      </c>
      <c r="Z395" s="681" t="str">
        <f t="shared" si="190"/>
        <v/>
      </c>
      <c r="AA395" s="681" t="str">
        <f t="shared" si="190"/>
        <v/>
      </c>
      <c r="AB395" s="681" t="str">
        <f t="shared" si="190"/>
        <v/>
      </c>
      <c r="AC395" s="682" t="str">
        <f t="shared" si="190"/>
        <v/>
      </c>
      <c r="AD395" s="1"/>
      <c r="AE395" s="1"/>
    </row>
    <row r="396" spans="9:31" x14ac:dyDescent="0.3">
      <c r="I396" s="96"/>
      <c r="J396" s="683" t="s">
        <v>30</v>
      </c>
      <c r="L396" s="615">
        <f t="shared" ref="L396:L401" si="191">IFERROR(AVERAGEIF(N396:AC396,"&gt;0",N396:AC396),)</f>
        <v>0</v>
      </c>
      <c r="N396" s="616">
        <f t="shared" ref="N396:AC405" si="192">N40/$N$365</f>
        <v>0</v>
      </c>
      <c r="O396" s="617">
        <f t="shared" si="192"/>
        <v>0</v>
      </c>
      <c r="P396" s="617">
        <f t="shared" si="192"/>
        <v>0</v>
      </c>
      <c r="Q396" s="617">
        <f t="shared" si="192"/>
        <v>0</v>
      </c>
      <c r="R396" s="617">
        <f t="shared" si="192"/>
        <v>0</v>
      </c>
      <c r="S396" s="617">
        <f t="shared" si="192"/>
        <v>0</v>
      </c>
      <c r="T396" s="617">
        <f t="shared" si="192"/>
        <v>0</v>
      </c>
      <c r="U396" s="617">
        <f t="shared" si="192"/>
        <v>0</v>
      </c>
      <c r="V396" s="617">
        <f t="shared" si="192"/>
        <v>0</v>
      </c>
      <c r="W396" s="617">
        <f t="shared" si="192"/>
        <v>0</v>
      </c>
      <c r="X396" s="617">
        <f t="shared" si="192"/>
        <v>0</v>
      </c>
      <c r="Y396" s="617">
        <f t="shared" si="192"/>
        <v>0</v>
      </c>
      <c r="Z396" s="617">
        <f t="shared" si="192"/>
        <v>0</v>
      </c>
      <c r="AA396" s="617">
        <f t="shared" si="192"/>
        <v>0</v>
      </c>
      <c r="AB396" s="617">
        <f t="shared" si="192"/>
        <v>0</v>
      </c>
      <c r="AC396" s="618">
        <f t="shared" si="192"/>
        <v>0</v>
      </c>
      <c r="AD396" s="1"/>
      <c r="AE396" s="1"/>
    </row>
    <row r="397" spans="9:31" x14ac:dyDescent="0.3">
      <c r="I397" s="96"/>
      <c r="J397" s="683" t="s">
        <v>299</v>
      </c>
      <c r="L397" s="615">
        <f t="shared" si="191"/>
        <v>0</v>
      </c>
      <c r="N397" s="616">
        <f t="shared" si="192"/>
        <v>0</v>
      </c>
      <c r="O397" s="617">
        <f t="shared" si="192"/>
        <v>0</v>
      </c>
      <c r="P397" s="617">
        <f t="shared" si="192"/>
        <v>0</v>
      </c>
      <c r="Q397" s="617">
        <f t="shared" si="192"/>
        <v>0</v>
      </c>
      <c r="R397" s="617">
        <f t="shared" si="192"/>
        <v>0</v>
      </c>
      <c r="S397" s="617">
        <f t="shared" si="192"/>
        <v>0</v>
      </c>
      <c r="T397" s="617">
        <f t="shared" si="192"/>
        <v>0</v>
      </c>
      <c r="U397" s="617">
        <f t="shared" si="192"/>
        <v>0</v>
      </c>
      <c r="V397" s="617">
        <f t="shared" si="192"/>
        <v>0</v>
      </c>
      <c r="W397" s="617">
        <f t="shared" si="192"/>
        <v>0</v>
      </c>
      <c r="X397" s="617">
        <f t="shared" si="192"/>
        <v>0</v>
      </c>
      <c r="Y397" s="617">
        <f t="shared" si="192"/>
        <v>0</v>
      </c>
      <c r="Z397" s="617">
        <f t="shared" si="192"/>
        <v>0</v>
      </c>
      <c r="AA397" s="617">
        <f t="shared" si="192"/>
        <v>0</v>
      </c>
      <c r="AB397" s="617">
        <f t="shared" si="192"/>
        <v>0</v>
      </c>
      <c r="AC397" s="618">
        <f t="shared" si="192"/>
        <v>0</v>
      </c>
      <c r="AD397" s="1"/>
      <c r="AE397" s="1"/>
    </row>
    <row r="398" spans="9:31" ht="24.75" customHeight="1" x14ac:dyDescent="0.3">
      <c r="I398" s="96"/>
      <c r="J398" s="684" t="s">
        <v>295</v>
      </c>
      <c r="L398" s="685">
        <f t="shared" si="191"/>
        <v>0</v>
      </c>
      <c r="M398" s="586"/>
      <c r="N398" s="686">
        <f t="shared" si="192"/>
        <v>0</v>
      </c>
      <c r="O398" s="687">
        <f t="shared" si="192"/>
        <v>0</v>
      </c>
      <c r="P398" s="687">
        <f t="shared" si="192"/>
        <v>0</v>
      </c>
      <c r="Q398" s="687">
        <f t="shared" si="192"/>
        <v>0</v>
      </c>
      <c r="R398" s="687">
        <f t="shared" si="192"/>
        <v>0</v>
      </c>
      <c r="S398" s="687">
        <f t="shared" si="192"/>
        <v>0</v>
      </c>
      <c r="T398" s="687">
        <f t="shared" si="192"/>
        <v>0</v>
      </c>
      <c r="U398" s="687">
        <f t="shared" si="192"/>
        <v>0</v>
      </c>
      <c r="V398" s="687">
        <f t="shared" si="192"/>
        <v>0</v>
      </c>
      <c r="W398" s="687">
        <f t="shared" si="192"/>
        <v>0</v>
      </c>
      <c r="X398" s="687">
        <f t="shared" si="192"/>
        <v>0</v>
      </c>
      <c r="Y398" s="687">
        <f t="shared" si="192"/>
        <v>0</v>
      </c>
      <c r="Z398" s="687">
        <f t="shared" si="192"/>
        <v>0</v>
      </c>
      <c r="AA398" s="687">
        <f t="shared" si="192"/>
        <v>0</v>
      </c>
      <c r="AB398" s="687">
        <f t="shared" si="192"/>
        <v>0</v>
      </c>
      <c r="AC398" s="688">
        <f t="shared" si="192"/>
        <v>0</v>
      </c>
      <c r="AD398" s="1"/>
      <c r="AE398" s="1"/>
    </row>
    <row r="399" spans="9:31" x14ac:dyDescent="0.3">
      <c r="I399" s="96"/>
      <c r="J399" s="684" t="s">
        <v>296</v>
      </c>
      <c r="L399" s="685">
        <f t="shared" si="191"/>
        <v>0</v>
      </c>
      <c r="M399" s="586"/>
      <c r="N399" s="686">
        <f t="shared" si="192"/>
        <v>0</v>
      </c>
      <c r="O399" s="687">
        <f t="shared" si="192"/>
        <v>0</v>
      </c>
      <c r="P399" s="687">
        <f t="shared" si="192"/>
        <v>0</v>
      </c>
      <c r="Q399" s="687">
        <f t="shared" si="192"/>
        <v>0</v>
      </c>
      <c r="R399" s="687">
        <f t="shared" si="192"/>
        <v>0</v>
      </c>
      <c r="S399" s="687">
        <f t="shared" si="192"/>
        <v>0</v>
      </c>
      <c r="T399" s="687">
        <f t="shared" si="192"/>
        <v>0</v>
      </c>
      <c r="U399" s="687">
        <f t="shared" si="192"/>
        <v>0</v>
      </c>
      <c r="V399" s="687">
        <f t="shared" si="192"/>
        <v>0</v>
      </c>
      <c r="W399" s="687">
        <f t="shared" si="192"/>
        <v>0</v>
      </c>
      <c r="X399" s="687">
        <f t="shared" si="192"/>
        <v>0</v>
      </c>
      <c r="Y399" s="687">
        <f t="shared" si="192"/>
        <v>0</v>
      </c>
      <c r="Z399" s="687">
        <f t="shared" si="192"/>
        <v>0</v>
      </c>
      <c r="AA399" s="687">
        <f t="shared" si="192"/>
        <v>0</v>
      </c>
      <c r="AB399" s="687">
        <f t="shared" si="192"/>
        <v>0</v>
      </c>
      <c r="AC399" s="688">
        <f t="shared" si="192"/>
        <v>0</v>
      </c>
      <c r="AD399" s="1"/>
      <c r="AE399" s="1"/>
    </row>
    <row r="400" spans="9:31" x14ac:dyDescent="0.3">
      <c r="I400" s="96"/>
      <c r="J400" s="684" t="s">
        <v>458</v>
      </c>
      <c r="L400" s="685">
        <f t="shared" si="191"/>
        <v>0</v>
      </c>
      <c r="M400" s="586"/>
      <c r="N400" s="686">
        <f t="shared" si="192"/>
        <v>0</v>
      </c>
      <c r="O400" s="687">
        <f t="shared" si="192"/>
        <v>0</v>
      </c>
      <c r="P400" s="687">
        <f t="shared" si="192"/>
        <v>0</v>
      </c>
      <c r="Q400" s="687">
        <f t="shared" si="192"/>
        <v>0</v>
      </c>
      <c r="R400" s="687">
        <f t="shared" si="192"/>
        <v>0</v>
      </c>
      <c r="S400" s="687">
        <f t="shared" si="192"/>
        <v>0</v>
      </c>
      <c r="T400" s="687">
        <f t="shared" si="192"/>
        <v>0</v>
      </c>
      <c r="U400" s="687">
        <f t="shared" si="192"/>
        <v>0</v>
      </c>
      <c r="V400" s="687">
        <f t="shared" si="192"/>
        <v>0</v>
      </c>
      <c r="W400" s="687">
        <f t="shared" si="192"/>
        <v>0</v>
      </c>
      <c r="X400" s="687">
        <f t="shared" si="192"/>
        <v>0</v>
      </c>
      <c r="Y400" s="687">
        <f t="shared" si="192"/>
        <v>0</v>
      </c>
      <c r="Z400" s="687">
        <f t="shared" si="192"/>
        <v>0</v>
      </c>
      <c r="AA400" s="687">
        <f t="shared" si="192"/>
        <v>0</v>
      </c>
      <c r="AB400" s="687">
        <f t="shared" si="192"/>
        <v>0</v>
      </c>
      <c r="AC400" s="688">
        <f t="shared" si="192"/>
        <v>0</v>
      </c>
      <c r="AD400" s="1"/>
      <c r="AE400" s="1"/>
    </row>
    <row r="401" spans="9:31" x14ac:dyDescent="0.3">
      <c r="I401" s="96"/>
      <c r="J401" s="684" t="s">
        <v>298</v>
      </c>
      <c r="L401" s="685">
        <f t="shared" si="191"/>
        <v>0</v>
      </c>
      <c r="M401" s="586"/>
      <c r="N401" s="686">
        <f t="shared" si="192"/>
        <v>0</v>
      </c>
      <c r="O401" s="687">
        <f t="shared" si="192"/>
        <v>0</v>
      </c>
      <c r="P401" s="687">
        <f t="shared" si="192"/>
        <v>0</v>
      </c>
      <c r="Q401" s="687">
        <f t="shared" si="192"/>
        <v>0</v>
      </c>
      <c r="R401" s="687">
        <f t="shared" si="192"/>
        <v>0</v>
      </c>
      <c r="S401" s="687">
        <f t="shared" si="192"/>
        <v>0</v>
      </c>
      <c r="T401" s="687">
        <f t="shared" si="192"/>
        <v>0</v>
      </c>
      <c r="U401" s="687">
        <f t="shared" si="192"/>
        <v>0</v>
      </c>
      <c r="V401" s="687">
        <f t="shared" si="192"/>
        <v>0</v>
      </c>
      <c r="W401" s="687">
        <f t="shared" si="192"/>
        <v>0</v>
      </c>
      <c r="X401" s="687">
        <f t="shared" si="192"/>
        <v>0</v>
      </c>
      <c r="Y401" s="687">
        <f t="shared" si="192"/>
        <v>0</v>
      </c>
      <c r="Z401" s="687">
        <f t="shared" si="192"/>
        <v>0</v>
      </c>
      <c r="AA401" s="687">
        <f t="shared" si="192"/>
        <v>0</v>
      </c>
      <c r="AB401" s="687">
        <f t="shared" si="192"/>
        <v>0</v>
      </c>
      <c r="AC401" s="688">
        <f t="shared" si="192"/>
        <v>0</v>
      </c>
      <c r="AD401" s="1"/>
      <c r="AE401" s="1"/>
    </row>
    <row r="402" spans="9:31" x14ac:dyDescent="0.3">
      <c r="I402" s="96"/>
      <c r="J402" s="683" t="s">
        <v>31</v>
      </c>
      <c r="L402" s="615">
        <f>IFERROR(AVERAGEIF(N402:AC402,"&lt;0",N402:AC402),)</f>
        <v>0</v>
      </c>
      <c r="N402" s="616">
        <f t="shared" si="192"/>
        <v>0</v>
      </c>
      <c r="O402" s="617">
        <f t="shared" si="192"/>
        <v>0</v>
      </c>
      <c r="P402" s="617">
        <f t="shared" si="192"/>
        <v>0</v>
      </c>
      <c r="Q402" s="617">
        <f t="shared" si="192"/>
        <v>0</v>
      </c>
      <c r="R402" s="617">
        <f t="shared" si="192"/>
        <v>0</v>
      </c>
      <c r="S402" s="617">
        <f t="shared" si="192"/>
        <v>0</v>
      </c>
      <c r="T402" s="617">
        <f t="shared" si="192"/>
        <v>0</v>
      </c>
      <c r="U402" s="617">
        <f t="shared" si="192"/>
        <v>0</v>
      </c>
      <c r="V402" s="617">
        <f t="shared" si="192"/>
        <v>0</v>
      </c>
      <c r="W402" s="617">
        <f t="shared" si="192"/>
        <v>0</v>
      </c>
      <c r="X402" s="617">
        <f t="shared" si="192"/>
        <v>0</v>
      </c>
      <c r="Y402" s="617">
        <f t="shared" si="192"/>
        <v>0</v>
      </c>
      <c r="Z402" s="617">
        <f t="shared" si="192"/>
        <v>0</v>
      </c>
      <c r="AA402" s="617">
        <f t="shared" si="192"/>
        <v>0</v>
      </c>
      <c r="AB402" s="617">
        <f t="shared" si="192"/>
        <v>0</v>
      </c>
      <c r="AC402" s="618">
        <f t="shared" si="192"/>
        <v>0</v>
      </c>
      <c r="AD402" s="1"/>
      <c r="AE402" s="1"/>
    </row>
    <row r="403" spans="9:31" ht="26.25" customHeight="1" x14ac:dyDescent="0.3">
      <c r="I403" s="96"/>
      <c r="J403" s="683" t="s">
        <v>32</v>
      </c>
      <c r="L403" s="615">
        <f>IFERROR(AVERAGEIF(N403:AC403,"&gt;0",N403:AC403),)</f>
        <v>0</v>
      </c>
      <c r="N403" s="616">
        <f t="shared" si="192"/>
        <v>0</v>
      </c>
      <c r="O403" s="617">
        <f t="shared" si="192"/>
        <v>0</v>
      </c>
      <c r="P403" s="617">
        <f t="shared" si="192"/>
        <v>0</v>
      </c>
      <c r="Q403" s="617">
        <f t="shared" si="192"/>
        <v>0</v>
      </c>
      <c r="R403" s="617">
        <f t="shared" si="192"/>
        <v>0</v>
      </c>
      <c r="S403" s="617">
        <f t="shared" si="192"/>
        <v>0</v>
      </c>
      <c r="T403" s="617">
        <f t="shared" si="192"/>
        <v>0</v>
      </c>
      <c r="U403" s="617">
        <f t="shared" si="192"/>
        <v>0</v>
      </c>
      <c r="V403" s="617">
        <f t="shared" si="192"/>
        <v>0</v>
      </c>
      <c r="W403" s="617">
        <f t="shared" si="192"/>
        <v>0</v>
      </c>
      <c r="X403" s="617">
        <f t="shared" si="192"/>
        <v>0</v>
      </c>
      <c r="Y403" s="617">
        <f t="shared" si="192"/>
        <v>0</v>
      </c>
      <c r="Z403" s="617">
        <f t="shared" si="192"/>
        <v>0</v>
      </c>
      <c r="AA403" s="617">
        <f t="shared" si="192"/>
        <v>0</v>
      </c>
      <c r="AB403" s="617">
        <f t="shared" si="192"/>
        <v>0</v>
      </c>
      <c r="AC403" s="618">
        <f t="shared" si="192"/>
        <v>0</v>
      </c>
      <c r="AD403" s="1"/>
      <c r="AE403" s="1"/>
    </row>
    <row r="404" spans="9:31" ht="24" customHeight="1" x14ac:dyDescent="0.3">
      <c r="I404" s="96"/>
      <c r="J404" s="683" t="s">
        <v>33</v>
      </c>
      <c r="L404" s="689">
        <f>IFERROR(AVERAGEIF(N404:AC404,"&gt;&lt;0",N404:AC404),)</f>
        <v>0</v>
      </c>
      <c r="N404" s="690">
        <f t="shared" si="192"/>
        <v>0</v>
      </c>
      <c r="O404" s="691">
        <f t="shared" si="192"/>
        <v>0</v>
      </c>
      <c r="P404" s="691">
        <f t="shared" si="192"/>
        <v>0</v>
      </c>
      <c r="Q404" s="691">
        <f t="shared" si="192"/>
        <v>0</v>
      </c>
      <c r="R404" s="691">
        <f t="shared" si="192"/>
        <v>0</v>
      </c>
      <c r="S404" s="691">
        <f t="shared" si="192"/>
        <v>0</v>
      </c>
      <c r="T404" s="691">
        <f t="shared" si="192"/>
        <v>0</v>
      </c>
      <c r="U404" s="691">
        <f t="shared" si="192"/>
        <v>0</v>
      </c>
      <c r="V404" s="691">
        <f t="shared" si="192"/>
        <v>0</v>
      </c>
      <c r="W404" s="691">
        <f t="shared" si="192"/>
        <v>0</v>
      </c>
      <c r="X404" s="691">
        <f t="shared" si="192"/>
        <v>0</v>
      </c>
      <c r="Y404" s="691">
        <f t="shared" si="192"/>
        <v>0</v>
      </c>
      <c r="Z404" s="691">
        <f t="shared" si="192"/>
        <v>0</v>
      </c>
      <c r="AA404" s="691">
        <f t="shared" si="192"/>
        <v>0</v>
      </c>
      <c r="AB404" s="691">
        <f t="shared" si="192"/>
        <v>0</v>
      </c>
      <c r="AC404" s="692">
        <f t="shared" si="192"/>
        <v>0</v>
      </c>
      <c r="AD404" s="1"/>
      <c r="AE404" s="1"/>
    </row>
    <row r="405" spans="9:31" thickBot="1" x14ac:dyDescent="0.3">
      <c r="I405" s="596"/>
      <c r="J405" s="598" t="s">
        <v>34</v>
      </c>
      <c r="K405" s="98">
        <f>K701</f>
        <v>0</v>
      </c>
      <c r="L405" s="693">
        <f>IFERROR(AVERAGEIF(N405:AC405,"&gt;0",N405:AC405),)</f>
        <v>0</v>
      </c>
      <c r="N405" s="694">
        <f t="shared" si="192"/>
        <v>0</v>
      </c>
      <c r="O405" s="695">
        <f t="shared" si="192"/>
        <v>0</v>
      </c>
      <c r="P405" s="695">
        <f t="shared" si="192"/>
        <v>0</v>
      </c>
      <c r="Q405" s="695">
        <f t="shared" si="192"/>
        <v>0</v>
      </c>
      <c r="R405" s="695">
        <f t="shared" si="192"/>
        <v>0</v>
      </c>
      <c r="S405" s="695">
        <f t="shared" si="192"/>
        <v>0</v>
      </c>
      <c r="T405" s="695">
        <f t="shared" si="192"/>
        <v>0</v>
      </c>
      <c r="U405" s="695">
        <f t="shared" si="192"/>
        <v>0</v>
      </c>
      <c r="V405" s="695">
        <f t="shared" si="192"/>
        <v>0</v>
      </c>
      <c r="W405" s="695">
        <f t="shared" si="192"/>
        <v>0</v>
      </c>
      <c r="X405" s="695">
        <f t="shared" si="192"/>
        <v>0</v>
      </c>
      <c r="Y405" s="695">
        <f t="shared" si="192"/>
        <v>0</v>
      </c>
      <c r="Z405" s="695">
        <f t="shared" si="192"/>
        <v>0</v>
      </c>
      <c r="AA405" s="695">
        <f t="shared" si="192"/>
        <v>0</v>
      </c>
      <c r="AB405" s="695">
        <f t="shared" si="192"/>
        <v>0</v>
      </c>
      <c r="AC405" s="696">
        <f t="shared" si="192"/>
        <v>0</v>
      </c>
      <c r="AD405" s="1"/>
      <c r="AE405" s="1"/>
    </row>
    <row r="406" spans="9:31" ht="14.25" x14ac:dyDescent="0.2">
      <c r="I406" s="1"/>
      <c r="K406" s="1"/>
      <c r="AD406" s="1"/>
      <c r="AE406" s="1"/>
    </row>
    <row r="407" spans="9:31" ht="18" x14ac:dyDescent="0.2">
      <c r="I407" s="582">
        <v>10</v>
      </c>
      <c r="J407" s="583" t="s">
        <v>438</v>
      </c>
      <c r="K407" s="583"/>
      <c r="L407" s="584"/>
      <c r="M407" s="584"/>
      <c r="N407" s="585"/>
      <c r="O407" s="585"/>
      <c r="P407" s="585"/>
      <c r="Q407" s="585"/>
      <c r="R407" s="585"/>
      <c r="S407" s="585"/>
      <c r="T407" s="585"/>
      <c r="U407" s="585"/>
      <c r="V407" s="585"/>
      <c r="W407" s="585"/>
      <c r="X407" s="585"/>
      <c r="Y407" s="585"/>
      <c r="Z407" s="585"/>
      <c r="AA407" s="585"/>
      <c r="AB407" s="585"/>
      <c r="AC407" s="585"/>
      <c r="AD407" s="1"/>
      <c r="AE407" s="1"/>
    </row>
    <row r="408" spans="9:31" ht="14.25" x14ac:dyDescent="0.2">
      <c r="I408" s="1"/>
      <c r="K408" s="1"/>
      <c r="AD408" s="1"/>
      <c r="AE408" s="1"/>
    </row>
    <row r="409" spans="9:31" ht="14.25" x14ac:dyDescent="0.2">
      <c r="I409" s="1"/>
      <c r="K409" s="1"/>
      <c r="AD409" s="1"/>
      <c r="AE409" s="1"/>
    </row>
    <row r="410" spans="9:31" ht="14.25" x14ac:dyDescent="0.2">
      <c r="I410" s="1"/>
      <c r="K410" s="1"/>
      <c r="AD410" s="1"/>
      <c r="AE410" s="1"/>
    </row>
    <row r="411" spans="9:31" ht="14.25" x14ac:dyDescent="0.2">
      <c r="I411" s="1"/>
      <c r="K411" s="1"/>
      <c r="AD411" s="1"/>
      <c r="AE411" s="1"/>
    </row>
    <row r="412" spans="9:31" ht="14.25" x14ac:dyDescent="0.2">
      <c r="I412" s="1"/>
      <c r="K412" s="1"/>
      <c r="AD412" s="1"/>
      <c r="AE412" s="1"/>
    </row>
    <row r="413" spans="9:31" ht="14.25" x14ac:dyDescent="0.2">
      <c r="I413" s="1"/>
      <c r="K413" s="1"/>
      <c r="AD413" s="1"/>
      <c r="AE413" s="1"/>
    </row>
    <row r="414" spans="9:31" ht="14.25" x14ac:dyDescent="0.2">
      <c r="I414" s="1"/>
      <c r="K414" s="1"/>
      <c r="AD414" s="1"/>
      <c r="AE414" s="1"/>
    </row>
    <row r="415" spans="9:31" ht="14.25" x14ac:dyDescent="0.2">
      <c r="I415" s="1"/>
      <c r="K415" s="1"/>
      <c r="AD415" s="1"/>
      <c r="AE415" s="1"/>
    </row>
    <row r="416" spans="9:31" ht="14.25" x14ac:dyDescent="0.2">
      <c r="I416" s="1"/>
      <c r="K416" s="1"/>
      <c r="AD416" s="1"/>
      <c r="AE416" s="1"/>
    </row>
    <row r="417" s="1" customFormat="1" ht="14.25" x14ac:dyDescent="0.2"/>
    <row r="418" s="1" customFormat="1" ht="14.25" x14ac:dyDescent="0.2"/>
    <row r="419" s="1" customFormat="1" ht="14.25" x14ac:dyDescent="0.2"/>
    <row r="420" s="1" customFormat="1" ht="14.25" x14ac:dyDescent="0.2"/>
    <row r="421" s="1" customFormat="1" ht="14.25" x14ac:dyDescent="0.2"/>
    <row r="422" s="1" customFormat="1" ht="14.25" x14ac:dyDescent="0.2"/>
    <row r="423" s="1" customFormat="1" ht="14.25" x14ac:dyDescent="0.2"/>
    <row r="424" s="1" customFormat="1" ht="14.25" x14ac:dyDescent="0.2"/>
    <row r="425" s="1" customFormat="1" ht="14.25" x14ac:dyDescent="0.2"/>
    <row r="426" s="1" customFormat="1" ht="14.25" x14ac:dyDescent="0.2"/>
    <row r="427" s="1" customFormat="1" ht="14.25" x14ac:dyDescent="0.2"/>
    <row r="428" s="1" customFormat="1" ht="14.25" x14ac:dyDescent="0.2"/>
    <row r="429" s="1" customFormat="1" ht="14.25" x14ac:dyDescent="0.2"/>
    <row r="430" s="1" customFormat="1" ht="14.25" x14ac:dyDescent="0.2"/>
    <row r="431" s="1" customFormat="1" ht="14.25" x14ac:dyDescent="0.2"/>
    <row r="432" s="1" customFormat="1" ht="14.25" x14ac:dyDescent="0.2"/>
    <row r="433" spans="9:31" ht="19.5" x14ac:dyDescent="0.35">
      <c r="J433" s="977" t="s">
        <v>433</v>
      </c>
      <c r="K433" s="978"/>
      <c r="L433" s="979"/>
      <c r="M433" s="979"/>
      <c r="N433" s="592">
        <f>N11</f>
        <v>2024</v>
      </c>
      <c r="O433" s="24">
        <f t="shared" ref="O433:AC433" si="193">O11</f>
        <v>2025</v>
      </c>
      <c r="P433" s="24">
        <f t="shared" si="193"/>
        <v>2026</v>
      </c>
      <c r="Q433" s="24">
        <f t="shared" si="193"/>
        <v>2027</v>
      </c>
      <c r="R433" s="24">
        <f t="shared" si="193"/>
        <v>2028</v>
      </c>
      <c r="S433" s="24">
        <f t="shared" si="193"/>
        <v>2029</v>
      </c>
      <c r="T433" s="24">
        <f t="shared" si="193"/>
        <v>2030</v>
      </c>
      <c r="U433" s="24">
        <f t="shared" si="193"/>
        <v>2031</v>
      </c>
      <c r="V433" s="24">
        <f t="shared" si="193"/>
        <v>2032</v>
      </c>
      <c r="W433" s="24">
        <f t="shared" si="193"/>
        <v>2033</v>
      </c>
      <c r="X433" s="24">
        <f t="shared" si="193"/>
        <v>2034</v>
      </c>
      <c r="Y433" s="24">
        <f t="shared" si="193"/>
        <v>2035</v>
      </c>
      <c r="Z433" s="24">
        <f t="shared" si="193"/>
        <v>2036</v>
      </c>
      <c r="AA433" s="24">
        <f t="shared" si="193"/>
        <v>2037</v>
      </c>
      <c r="AB433" s="24">
        <f t="shared" si="193"/>
        <v>2038</v>
      </c>
      <c r="AC433" s="25">
        <f t="shared" si="193"/>
        <v>2039</v>
      </c>
    </row>
    <row r="434" spans="9:31" x14ac:dyDescent="0.3">
      <c r="I434" s="1"/>
      <c r="J434" s="980" t="s">
        <v>431</v>
      </c>
      <c r="K434" s="981"/>
      <c r="L434" s="982"/>
      <c r="M434" s="982"/>
      <c r="N434" s="983">
        <f>N372</f>
        <v>0</v>
      </c>
      <c r="O434" s="983">
        <f t="shared" ref="O434:AC434" si="194">O372</f>
        <v>0</v>
      </c>
      <c r="P434" s="983">
        <f t="shared" si="194"/>
        <v>0</v>
      </c>
      <c r="Q434" s="983">
        <f t="shared" si="194"/>
        <v>0</v>
      </c>
      <c r="R434" s="983">
        <f t="shared" si="194"/>
        <v>0</v>
      </c>
      <c r="S434" s="983">
        <f t="shared" si="194"/>
        <v>0</v>
      </c>
      <c r="T434" s="983">
        <f t="shared" si="194"/>
        <v>0</v>
      </c>
      <c r="U434" s="983">
        <f t="shared" si="194"/>
        <v>0</v>
      </c>
      <c r="V434" s="983">
        <f t="shared" si="194"/>
        <v>0</v>
      </c>
      <c r="W434" s="983">
        <f t="shared" si="194"/>
        <v>0</v>
      </c>
      <c r="X434" s="983">
        <f t="shared" si="194"/>
        <v>0</v>
      </c>
      <c r="Y434" s="983">
        <f t="shared" si="194"/>
        <v>0</v>
      </c>
      <c r="Z434" s="983">
        <f t="shared" si="194"/>
        <v>0</v>
      </c>
      <c r="AA434" s="983">
        <f t="shared" si="194"/>
        <v>0</v>
      </c>
      <c r="AB434" s="983">
        <f t="shared" si="194"/>
        <v>0</v>
      </c>
      <c r="AC434" s="984">
        <f t="shared" si="194"/>
        <v>0</v>
      </c>
      <c r="AD434" s="1"/>
      <c r="AE434" s="1"/>
    </row>
    <row r="435" spans="9:31" x14ac:dyDescent="0.3">
      <c r="I435" s="1"/>
      <c r="J435" s="980" t="s">
        <v>16</v>
      </c>
      <c r="K435" s="981"/>
      <c r="L435" s="982"/>
      <c r="M435" s="982"/>
      <c r="N435" s="983">
        <f>N376</f>
        <v>0</v>
      </c>
      <c r="O435" s="983">
        <f t="shared" ref="O435:AC435" si="195">O376</f>
        <v>0</v>
      </c>
      <c r="P435" s="983">
        <f t="shared" si="195"/>
        <v>0</v>
      </c>
      <c r="Q435" s="983">
        <f t="shared" si="195"/>
        <v>0</v>
      </c>
      <c r="R435" s="983">
        <f t="shared" si="195"/>
        <v>0</v>
      </c>
      <c r="S435" s="983">
        <f t="shared" si="195"/>
        <v>0</v>
      </c>
      <c r="T435" s="983">
        <f t="shared" si="195"/>
        <v>0</v>
      </c>
      <c r="U435" s="983">
        <f t="shared" si="195"/>
        <v>0</v>
      </c>
      <c r="V435" s="983">
        <f t="shared" si="195"/>
        <v>0</v>
      </c>
      <c r="W435" s="983">
        <f t="shared" si="195"/>
        <v>0</v>
      </c>
      <c r="X435" s="983">
        <f t="shared" si="195"/>
        <v>0</v>
      </c>
      <c r="Y435" s="983">
        <f t="shared" si="195"/>
        <v>0</v>
      </c>
      <c r="Z435" s="983">
        <f t="shared" si="195"/>
        <v>0</v>
      </c>
      <c r="AA435" s="983">
        <f t="shared" si="195"/>
        <v>0</v>
      </c>
      <c r="AB435" s="983">
        <f t="shared" si="195"/>
        <v>0</v>
      </c>
      <c r="AC435" s="984">
        <f t="shared" si="195"/>
        <v>0</v>
      </c>
      <c r="AD435" s="1"/>
      <c r="AE435" s="1"/>
    </row>
    <row r="436" spans="9:31" x14ac:dyDescent="0.3">
      <c r="I436" s="1"/>
      <c r="J436" s="985" t="s">
        <v>423</v>
      </c>
      <c r="K436" s="981"/>
      <c r="L436" s="982"/>
      <c r="M436" s="982"/>
      <c r="N436" s="986">
        <f>N377</f>
        <v>0</v>
      </c>
      <c r="O436" s="986">
        <f t="shared" ref="O436:AC436" si="196">O377</f>
        <v>0</v>
      </c>
      <c r="P436" s="986">
        <f t="shared" si="196"/>
        <v>0</v>
      </c>
      <c r="Q436" s="986">
        <f t="shared" si="196"/>
        <v>0</v>
      </c>
      <c r="R436" s="986">
        <f t="shared" si="196"/>
        <v>0</v>
      </c>
      <c r="S436" s="986">
        <f t="shared" si="196"/>
        <v>0</v>
      </c>
      <c r="T436" s="986">
        <f t="shared" si="196"/>
        <v>0</v>
      </c>
      <c r="U436" s="986">
        <f t="shared" si="196"/>
        <v>0</v>
      </c>
      <c r="V436" s="986">
        <f t="shared" si="196"/>
        <v>0</v>
      </c>
      <c r="W436" s="986">
        <f t="shared" si="196"/>
        <v>0</v>
      </c>
      <c r="X436" s="986">
        <f t="shared" si="196"/>
        <v>0</v>
      </c>
      <c r="Y436" s="986">
        <f t="shared" si="196"/>
        <v>0</v>
      </c>
      <c r="Z436" s="986">
        <f t="shared" si="196"/>
        <v>0</v>
      </c>
      <c r="AA436" s="986">
        <f t="shared" si="196"/>
        <v>0</v>
      </c>
      <c r="AB436" s="986">
        <f t="shared" si="196"/>
        <v>0</v>
      </c>
      <c r="AC436" s="987">
        <f t="shared" si="196"/>
        <v>0</v>
      </c>
      <c r="AD436" s="1"/>
      <c r="AE436" s="1"/>
    </row>
    <row r="437" spans="9:31" x14ac:dyDescent="0.3">
      <c r="I437" s="1"/>
      <c r="J437" s="988" t="s">
        <v>424</v>
      </c>
      <c r="K437" s="981"/>
      <c r="L437" s="982"/>
      <c r="M437" s="982"/>
      <c r="N437" s="986">
        <f>N378</f>
        <v>0</v>
      </c>
      <c r="O437" s="986">
        <f t="shared" ref="O437:AC437" si="197">O378</f>
        <v>0</v>
      </c>
      <c r="P437" s="986">
        <f t="shared" si="197"/>
        <v>0</v>
      </c>
      <c r="Q437" s="986">
        <f t="shared" si="197"/>
        <v>0</v>
      </c>
      <c r="R437" s="986">
        <f t="shared" si="197"/>
        <v>0</v>
      </c>
      <c r="S437" s="986">
        <f t="shared" si="197"/>
        <v>0</v>
      </c>
      <c r="T437" s="986">
        <f t="shared" si="197"/>
        <v>0</v>
      </c>
      <c r="U437" s="986">
        <f t="shared" si="197"/>
        <v>0</v>
      </c>
      <c r="V437" s="986">
        <f t="shared" si="197"/>
        <v>0</v>
      </c>
      <c r="W437" s="986">
        <f t="shared" si="197"/>
        <v>0</v>
      </c>
      <c r="X437" s="986">
        <f t="shared" si="197"/>
        <v>0</v>
      </c>
      <c r="Y437" s="986">
        <f t="shared" si="197"/>
        <v>0</v>
      </c>
      <c r="Z437" s="986">
        <f t="shared" si="197"/>
        <v>0</v>
      </c>
      <c r="AA437" s="986">
        <f t="shared" si="197"/>
        <v>0</v>
      </c>
      <c r="AB437" s="986">
        <f t="shared" si="197"/>
        <v>0</v>
      </c>
      <c r="AC437" s="987">
        <f t="shared" si="197"/>
        <v>0</v>
      </c>
      <c r="AD437" s="1"/>
      <c r="AE437" s="1"/>
    </row>
    <row r="438" spans="9:31" ht="15.75" x14ac:dyDescent="0.25">
      <c r="I438" s="1"/>
      <c r="J438" s="995"/>
      <c r="K438" s="996"/>
      <c r="L438" s="997"/>
      <c r="M438" s="997"/>
      <c r="N438" s="998"/>
      <c r="O438" s="998"/>
      <c r="P438" s="998"/>
      <c r="Q438" s="998"/>
      <c r="R438" s="998"/>
      <c r="S438" s="998"/>
      <c r="T438" s="998"/>
      <c r="U438" s="998"/>
      <c r="V438" s="998"/>
      <c r="W438" s="998"/>
      <c r="X438" s="998"/>
      <c r="Y438" s="998"/>
      <c r="Z438" s="998"/>
      <c r="AA438" s="998"/>
      <c r="AB438" s="998"/>
      <c r="AC438" s="999"/>
      <c r="AD438" s="1"/>
      <c r="AE438" s="1"/>
    </row>
    <row r="439" spans="9:31" ht="17.25" x14ac:dyDescent="0.35">
      <c r="J439" s="977" t="s">
        <v>434</v>
      </c>
      <c r="K439" s="978"/>
      <c r="L439" s="979"/>
      <c r="M439" s="979"/>
      <c r="N439" s="1000"/>
      <c r="O439" s="1000"/>
      <c r="P439" s="1000"/>
      <c r="Q439" s="1000"/>
      <c r="R439" s="1000"/>
      <c r="S439" s="1000"/>
      <c r="T439" s="1000"/>
      <c r="U439" s="1000"/>
      <c r="V439" s="1000"/>
      <c r="W439" s="1000"/>
      <c r="X439" s="1000"/>
      <c r="Y439" s="1000"/>
      <c r="Z439" s="1000"/>
      <c r="AA439" s="1000"/>
      <c r="AB439" s="1000"/>
      <c r="AC439" s="1001"/>
    </row>
    <row r="440" spans="9:31" x14ac:dyDescent="0.3">
      <c r="I440" s="1"/>
      <c r="J440" s="980" t="s">
        <v>179</v>
      </c>
      <c r="K440" s="981"/>
      <c r="L440" s="982"/>
      <c r="M440" s="982"/>
      <c r="N440" s="983">
        <f>N228/$N$365</f>
        <v>0</v>
      </c>
      <c r="O440" s="983">
        <f t="shared" ref="O440:AC440" si="198">O228/$N$365</f>
        <v>0</v>
      </c>
      <c r="P440" s="983">
        <f t="shared" si="198"/>
        <v>0</v>
      </c>
      <c r="Q440" s="983">
        <f t="shared" si="198"/>
        <v>0</v>
      </c>
      <c r="R440" s="983">
        <f t="shared" si="198"/>
        <v>0</v>
      </c>
      <c r="S440" s="983">
        <f t="shared" si="198"/>
        <v>0</v>
      </c>
      <c r="T440" s="983">
        <f t="shared" si="198"/>
        <v>0</v>
      </c>
      <c r="U440" s="983">
        <f t="shared" si="198"/>
        <v>0</v>
      </c>
      <c r="V440" s="983">
        <f t="shared" si="198"/>
        <v>0</v>
      </c>
      <c r="W440" s="983">
        <f t="shared" si="198"/>
        <v>0</v>
      </c>
      <c r="X440" s="983">
        <f t="shared" si="198"/>
        <v>0</v>
      </c>
      <c r="Y440" s="983">
        <f t="shared" si="198"/>
        <v>0</v>
      </c>
      <c r="Z440" s="983">
        <f t="shared" si="198"/>
        <v>0</v>
      </c>
      <c r="AA440" s="983">
        <f t="shared" si="198"/>
        <v>0</v>
      </c>
      <c r="AB440" s="983">
        <f t="shared" si="198"/>
        <v>0</v>
      </c>
      <c r="AC440" s="984">
        <f t="shared" si="198"/>
        <v>0</v>
      </c>
      <c r="AD440" s="1"/>
      <c r="AE440" s="1"/>
    </row>
    <row r="441" spans="9:31" x14ac:dyDescent="0.3">
      <c r="I441" s="1"/>
      <c r="J441" s="980" t="s">
        <v>183</v>
      </c>
      <c r="K441" s="981"/>
      <c r="L441" s="982"/>
      <c r="M441" s="982"/>
      <c r="N441" s="983">
        <f>-N232/$N$365</f>
        <v>0</v>
      </c>
      <c r="O441" s="983">
        <f>-O232/$N$365</f>
        <v>0</v>
      </c>
      <c r="P441" s="983">
        <f t="shared" ref="P441:AC441" si="199">-P232/$N$365</f>
        <v>0</v>
      </c>
      <c r="Q441" s="983">
        <f t="shared" si="199"/>
        <v>0</v>
      </c>
      <c r="R441" s="983">
        <f t="shared" si="199"/>
        <v>0</v>
      </c>
      <c r="S441" s="983">
        <f t="shared" si="199"/>
        <v>0</v>
      </c>
      <c r="T441" s="983">
        <f t="shared" si="199"/>
        <v>0</v>
      </c>
      <c r="U441" s="983">
        <f t="shared" si="199"/>
        <v>0</v>
      </c>
      <c r="V441" s="983">
        <f t="shared" si="199"/>
        <v>0</v>
      </c>
      <c r="W441" s="983">
        <f t="shared" si="199"/>
        <v>0</v>
      </c>
      <c r="X441" s="983">
        <f t="shared" si="199"/>
        <v>0</v>
      </c>
      <c r="Y441" s="983">
        <f t="shared" si="199"/>
        <v>0</v>
      </c>
      <c r="Z441" s="983">
        <f t="shared" si="199"/>
        <v>0</v>
      </c>
      <c r="AA441" s="983">
        <f t="shared" si="199"/>
        <v>0</v>
      </c>
      <c r="AB441" s="983">
        <f t="shared" si="199"/>
        <v>0</v>
      </c>
      <c r="AC441" s="984">
        <f t="shared" si="199"/>
        <v>0</v>
      </c>
      <c r="AD441" s="1"/>
      <c r="AE441" s="1"/>
    </row>
    <row r="442" spans="9:31" x14ac:dyDescent="0.3">
      <c r="I442" s="1"/>
      <c r="J442" s="980" t="s">
        <v>186</v>
      </c>
      <c r="K442" s="981"/>
      <c r="L442" s="982"/>
      <c r="M442" s="982"/>
      <c r="N442" s="983">
        <f>N237/$N$365</f>
        <v>0</v>
      </c>
      <c r="O442" s="983">
        <f t="shared" ref="O442:AC442" si="200">O237/$N$365</f>
        <v>0</v>
      </c>
      <c r="P442" s="983">
        <f t="shared" si="200"/>
        <v>0</v>
      </c>
      <c r="Q442" s="983">
        <f t="shared" si="200"/>
        <v>0</v>
      </c>
      <c r="R442" s="983">
        <f t="shared" si="200"/>
        <v>0</v>
      </c>
      <c r="S442" s="983">
        <f t="shared" si="200"/>
        <v>0</v>
      </c>
      <c r="T442" s="983">
        <f t="shared" si="200"/>
        <v>0</v>
      </c>
      <c r="U442" s="983">
        <f t="shared" si="200"/>
        <v>0</v>
      </c>
      <c r="V442" s="983">
        <f t="shared" si="200"/>
        <v>0</v>
      </c>
      <c r="W442" s="983">
        <f t="shared" si="200"/>
        <v>0</v>
      </c>
      <c r="X442" s="983">
        <f t="shared" si="200"/>
        <v>0</v>
      </c>
      <c r="Y442" s="983">
        <f t="shared" si="200"/>
        <v>0</v>
      </c>
      <c r="Z442" s="983">
        <f t="shared" si="200"/>
        <v>0</v>
      </c>
      <c r="AA442" s="983">
        <f t="shared" si="200"/>
        <v>0</v>
      </c>
      <c r="AB442" s="983">
        <f t="shared" si="200"/>
        <v>0</v>
      </c>
      <c r="AC442" s="984">
        <f t="shared" si="200"/>
        <v>0</v>
      </c>
      <c r="AD442" s="1"/>
      <c r="AE442" s="1"/>
    </row>
    <row r="443" spans="9:31" x14ac:dyDescent="0.3">
      <c r="I443" s="1"/>
      <c r="J443" s="980" t="s">
        <v>432</v>
      </c>
      <c r="K443" s="981"/>
      <c r="L443" s="982"/>
      <c r="M443" s="982"/>
      <c r="N443" s="983">
        <f>SUM($N440:N441)</f>
        <v>0</v>
      </c>
      <c r="O443" s="983">
        <f>SUM($N440:O441)</f>
        <v>0</v>
      </c>
      <c r="P443" s="983">
        <f>SUM($N440:P441)</f>
        <v>0</v>
      </c>
      <c r="Q443" s="983">
        <f>SUM($N440:Q441)</f>
        <v>0</v>
      </c>
      <c r="R443" s="983">
        <f>SUM($N440:R441)</f>
        <v>0</v>
      </c>
      <c r="S443" s="983">
        <f>SUM($N440:S441)</f>
        <v>0</v>
      </c>
      <c r="T443" s="983">
        <f>SUM($N440:T441)</f>
        <v>0</v>
      </c>
      <c r="U443" s="983">
        <f>SUM($N440:U441)</f>
        <v>0</v>
      </c>
      <c r="V443" s="983">
        <f>SUM($N440:V441)</f>
        <v>0</v>
      </c>
      <c r="W443" s="983">
        <f>SUM($N440:W441)</f>
        <v>0</v>
      </c>
      <c r="X443" s="983">
        <f>SUM($N440:X441)</f>
        <v>0</v>
      </c>
      <c r="Y443" s="983">
        <f>SUM($N440:Y441)</f>
        <v>0</v>
      </c>
      <c r="Z443" s="983">
        <f>SUM($N440:Z441)</f>
        <v>0</v>
      </c>
      <c r="AA443" s="983">
        <f>SUM($N440:AA441)</f>
        <v>0</v>
      </c>
      <c r="AB443" s="983">
        <f>SUM($N440:AB441)</f>
        <v>0</v>
      </c>
      <c r="AC443" s="984">
        <f>SUM($N440:AC441)</f>
        <v>0</v>
      </c>
      <c r="AD443" s="1"/>
      <c r="AE443" s="1"/>
    </row>
    <row r="444" spans="9:31" x14ac:dyDescent="0.3">
      <c r="I444" s="1"/>
      <c r="J444" s="980" t="s">
        <v>436</v>
      </c>
      <c r="K444" s="981"/>
      <c r="L444" s="982"/>
      <c r="M444" s="982"/>
      <c r="N444" s="983"/>
      <c r="O444" s="983">
        <f>O328/$N$365</f>
        <v>0</v>
      </c>
      <c r="P444" s="983">
        <f t="shared" ref="P444:AC444" si="201">P328/$N$365</f>
        <v>0</v>
      </c>
      <c r="Q444" s="983">
        <f t="shared" si="201"/>
        <v>0</v>
      </c>
      <c r="R444" s="983">
        <f t="shared" si="201"/>
        <v>0</v>
      </c>
      <c r="S444" s="983">
        <f t="shared" si="201"/>
        <v>0</v>
      </c>
      <c r="T444" s="983">
        <f t="shared" si="201"/>
        <v>0</v>
      </c>
      <c r="U444" s="983">
        <f t="shared" si="201"/>
        <v>0</v>
      </c>
      <c r="V444" s="983">
        <f t="shared" si="201"/>
        <v>0</v>
      </c>
      <c r="W444" s="983">
        <f t="shared" si="201"/>
        <v>0</v>
      </c>
      <c r="X444" s="983">
        <f t="shared" si="201"/>
        <v>0</v>
      </c>
      <c r="Y444" s="983">
        <f t="shared" si="201"/>
        <v>0</v>
      </c>
      <c r="Z444" s="983">
        <f t="shared" si="201"/>
        <v>0</v>
      </c>
      <c r="AA444" s="983">
        <f t="shared" si="201"/>
        <v>0</v>
      </c>
      <c r="AB444" s="983">
        <f t="shared" si="201"/>
        <v>0</v>
      </c>
      <c r="AC444" s="984">
        <f t="shared" si="201"/>
        <v>0</v>
      </c>
      <c r="AD444" s="1"/>
      <c r="AE444" s="1"/>
    </row>
    <row r="445" spans="9:31" x14ac:dyDescent="0.3">
      <c r="I445" s="1"/>
      <c r="J445" s="1002"/>
      <c r="K445" s="997"/>
      <c r="L445" s="997"/>
      <c r="M445" s="997"/>
      <c r="N445" s="998"/>
      <c r="O445" s="998"/>
      <c r="P445" s="998"/>
      <c r="Q445" s="998"/>
      <c r="R445" s="998"/>
      <c r="S445" s="998"/>
      <c r="T445" s="998"/>
      <c r="U445" s="998"/>
      <c r="V445" s="998"/>
      <c r="W445" s="998"/>
      <c r="X445" s="998"/>
      <c r="Y445" s="998"/>
      <c r="Z445" s="998"/>
      <c r="AA445" s="998"/>
      <c r="AB445" s="998"/>
      <c r="AC445" s="999"/>
      <c r="AD445" s="1"/>
      <c r="AE445" s="1"/>
    </row>
    <row r="446" spans="9:31" ht="17.25" x14ac:dyDescent="0.35">
      <c r="J446" s="989" t="s">
        <v>435</v>
      </c>
      <c r="K446" s="990"/>
      <c r="L446" s="982"/>
      <c r="M446" s="982"/>
      <c r="N446" s="983"/>
      <c r="O446" s="983"/>
      <c r="P446" s="983"/>
      <c r="Q446" s="983"/>
      <c r="R446" s="983"/>
      <c r="S446" s="983"/>
      <c r="T446" s="983"/>
      <c r="U446" s="983"/>
      <c r="V446" s="983"/>
      <c r="W446" s="983"/>
      <c r="X446" s="983"/>
      <c r="Y446" s="983"/>
      <c r="Z446" s="983"/>
      <c r="AA446" s="983"/>
      <c r="AB446" s="983"/>
      <c r="AC446" s="984"/>
    </row>
    <row r="447" spans="9:31" x14ac:dyDescent="0.3">
      <c r="I447" s="1"/>
      <c r="J447" s="980" t="s">
        <v>30</v>
      </c>
      <c r="K447" s="981"/>
      <c r="L447" s="982"/>
      <c r="M447" s="982"/>
      <c r="N447" s="983">
        <f>N40/$N$365</f>
        <v>0</v>
      </c>
      <c r="O447" s="983">
        <f t="shared" ref="O447:AC447" si="202">O40/$N$365</f>
        <v>0</v>
      </c>
      <c r="P447" s="983">
        <f t="shared" si="202"/>
        <v>0</v>
      </c>
      <c r="Q447" s="983">
        <f t="shared" si="202"/>
        <v>0</v>
      </c>
      <c r="R447" s="983">
        <f t="shared" si="202"/>
        <v>0</v>
      </c>
      <c r="S447" s="983">
        <f t="shared" si="202"/>
        <v>0</v>
      </c>
      <c r="T447" s="983">
        <f t="shared" si="202"/>
        <v>0</v>
      </c>
      <c r="U447" s="983">
        <f t="shared" si="202"/>
        <v>0</v>
      </c>
      <c r="V447" s="983">
        <f t="shared" si="202"/>
        <v>0</v>
      </c>
      <c r="W447" s="983">
        <f t="shared" si="202"/>
        <v>0</v>
      </c>
      <c r="X447" s="983">
        <f t="shared" si="202"/>
        <v>0</v>
      </c>
      <c r="Y447" s="983">
        <f t="shared" si="202"/>
        <v>0</v>
      </c>
      <c r="Z447" s="983">
        <f t="shared" si="202"/>
        <v>0</v>
      </c>
      <c r="AA447" s="983">
        <f t="shared" si="202"/>
        <v>0</v>
      </c>
      <c r="AB447" s="983">
        <f t="shared" si="202"/>
        <v>0</v>
      </c>
      <c r="AC447" s="984">
        <f t="shared" si="202"/>
        <v>0</v>
      </c>
      <c r="AD447" s="1"/>
      <c r="AE447" s="1"/>
    </row>
    <row r="448" spans="9:31" x14ac:dyDescent="0.3">
      <c r="I448" s="1"/>
      <c r="J448" s="980" t="s">
        <v>299</v>
      </c>
      <c r="K448" s="982"/>
      <c r="L448" s="982"/>
      <c r="M448" s="982"/>
      <c r="N448" s="983">
        <f>N41/$N$365</f>
        <v>0</v>
      </c>
      <c r="O448" s="983">
        <f t="shared" ref="O448:AC448" si="203">O41/$N$365</f>
        <v>0</v>
      </c>
      <c r="P448" s="983">
        <f t="shared" si="203"/>
        <v>0</v>
      </c>
      <c r="Q448" s="983">
        <f t="shared" si="203"/>
        <v>0</v>
      </c>
      <c r="R448" s="983">
        <f t="shared" si="203"/>
        <v>0</v>
      </c>
      <c r="S448" s="983">
        <f t="shared" si="203"/>
        <v>0</v>
      </c>
      <c r="T448" s="983">
        <f t="shared" si="203"/>
        <v>0</v>
      </c>
      <c r="U448" s="983">
        <f t="shared" si="203"/>
        <v>0</v>
      </c>
      <c r="V448" s="983">
        <f t="shared" si="203"/>
        <v>0</v>
      </c>
      <c r="W448" s="983">
        <f t="shared" si="203"/>
        <v>0</v>
      </c>
      <c r="X448" s="983">
        <f t="shared" si="203"/>
        <v>0</v>
      </c>
      <c r="Y448" s="983">
        <f t="shared" si="203"/>
        <v>0</v>
      </c>
      <c r="Z448" s="983">
        <f t="shared" si="203"/>
        <v>0</v>
      </c>
      <c r="AA448" s="983">
        <f t="shared" si="203"/>
        <v>0</v>
      </c>
      <c r="AB448" s="983">
        <f t="shared" si="203"/>
        <v>0</v>
      </c>
      <c r="AC448" s="984">
        <f t="shared" si="203"/>
        <v>0</v>
      </c>
      <c r="AD448" s="1"/>
      <c r="AE448" s="1"/>
    </row>
    <row r="449" spans="8:31" x14ac:dyDescent="0.3">
      <c r="I449" s="1"/>
      <c r="J449" s="980" t="s">
        <v>31</v>
      </c>
      <c r="K449" s="982"/>
      <c r="L449" s="982"/>
      <c r="M449" s="982"/>
      <c r="N449" s="983">
        <f>N46/$N$365</f>
        <v>0</v>
      </c>
      <c r="O449" s="983">
        <f t="shared" ref="O449:AC449" si="204">O46/$N$365</f>
        <v>0</v>
      </c>
      <c r="P449" s="983">
        <f t="shared" si="204"/>
        <v>0</v>
      </c>
      <c r="Q449" s="983">
        <f t="shared" si="204"/>
        <v>0</v>
      </c>
      <c r="R449" s="983">
        <f t="shared" si="204"/>
        <v>0</v>
      </c>
      <c r="S449" s="983">
        <f t="shared" si="204"/>
        <v>0</v>
      </c>
      <c r="T449" s="983">
        <f t="shared" si="204"/>
        <v>0</v>
      </c>
      <c r="U449" s="983">
        <f t="shared" si="204"/>
        <v>0</v>
      </c>
      <c r="V449" s="983">
        <f t="shared" si="204"/>
        <v>0</v>
      </c>
      <c r="W449" s="983">
        <f t="shared" si="204"/>
        <v>0</v>
      </c>
      <c r="X449" s="983">
        <f t="shared" si="204"/>
        <v>0</v>
      </c>
      <c r="Y449" s="983">
        <f t="shared" si="204"/>
        <v>0</v>
      </c>
      <c r="Z449" s="983">
        <f t="shared" si="204"/>
        <v>0</v>
      </c>
      <c r="AA449" s="983">
        <f t="shared" si="204"/>
        <v>0</v>
      </c>
      <c r="AB449" s="983">
        <f t="shared" si="204"/>
        <v>0</v>
      </c>
      <c r="AC449" s="984">
        <f t="shared" si="204"/>
        <v>0</v>
      </c>
      <c r="AD449" s="1"/>
      <c r="AE449" s="1"/>
    </row>
    <row r="450" spans="8:31" x14ac:dyDescent="0.3">
      <c r="I450" s="1"/>
      <c r="J450" s="980" t="s">
        <v>32</v>
      </c>
      <c r="K450" s="982"/>
      <c r="L450" s="982"/>
      <c r="M450" s="982"/>
      <c r="N450" s="983">
        <f>N47/$N$365</f>
        <v>0</v>
      </c>
      <c r="O450" s="983">
        <f t="shared" ref="O450:AC450" si="205">O47/$N$365</f>
        <v>0</v>
      </c>
      <c r="P450" s="983">
        <f t="shared" si="205"/>
        <v>0</v>
      </c>
      <c r="Q450" s="983">
        <f t="shared" si="205"/>
        <v>0</v>
      </c>
      <c r="R450" s="983">
        <f t="shared" si="205"/>
        <v>0</v>
      </c>
      <c r="S450" s="983">
        <f t="shared" si="205"/>
        <v>0</v>
      </c>
      <c r="T450" s="983">
        <f t="shared" si="205"/>
        <v>0</v>
      </c>
      <c r="U450" s="983">
        <f t="shared" si="205"/>
        <v>0</v>
      </c>
      <c r="V450" s="983">
        <f t="shared" si="205"/>
        <v>0</v>
      </c>
      <c r="W450" s="983">
        <f t="shared" si="205"/>
        <v>0</v>
      </c>
      <c r="X450" s="983">
        <f t="shared" si="205"/>
        <v>0</v>
      </c>
      <c r="Y450" s="983">
        <f t="shared" si="205"/>
        <v>0</v>
      </c>
      <c r="Z450" s="983">
        <f t="shared" si="205"/>
        <v>0</v>
      </c>
      <c r="AA450" s="983">
        <f t="shared" si="205"/>
        <v>0</v>
      </c>
      <c r="AB450" s="983">
        <f t="shared" si="205"/>
        <v>0</v>
      </c>
      <c r="AC450" s="984">
        <f t="shared" si="205"/>
        <v>0</v>
      </c>
      <c r="AD450" s="1"/>
      <c r="AE450" s="1"/>
    </row>
    <row r="451" spans="8:31" x14ac:dyDescent="0.3">
      <c r="I451" s="1"/>
      <c r="J451" s="980" t="s">
        <v>33</v>
      </c>
      <c r="K451" s="982"/>
      <c r="L451" s="982"/>
      <c r="M451" s="982"/>
      <c r="N451" s="983">
        <f>N48/$N$365</f>
        <v>0</v>
      </c>
      <c r="O451" s="983">
        <f t="shared" ref="O451:AC451" si="206">O48/$N$365</f>
        <v>0</v>
      </c>
      <c r="P451" s="983">
        <f t="shared" si="206"/>
        <v>0</v>
      </c>
      <c r="Q451" s="983">
        <f t="shared" si="206"/>
        <v>0</v>
      </c>
      <c r="R451" s="983">
        <f t="shared" si="206"/>
        <v>0</v>
      </c>
      <c r="S451" s="983">
        <f t="shared" si="206"/>
        <v>0</v>
      </c>
      <c r="T451" s="983">
        <f t="shared" si="206"/>
        <v>0</v>
      </c>
      <c r="U451" s="983">
        <f t="shared" si="206"/>
        <v>0</v>
      </c>
      <c r="V451" s="983">
        <f t="shared" si="206"/>
        <v>0</v>
      </c>
      <c r="W451" s="983">
        <f t="shared" si="206"/>
        <v>0</v>
      </c>
      <c r="X451" s="983">
        <f t="shared" si="206"/>
        <v>0</v>
      </c>
      <c r="Y451" s="983">
        <f t="shared" si="206"/>
        <v>0</v>
      </c>
      <c r="Z451" s="983">
        <f t="shared" si="206"/>
        <v>0</v>
      </c>
      <c r="AA451" s="983">
        <f t="shared" si="206"/>
        <v>0</v>
      </c>
      <c r="AB451" s="983">
        <f t="shared" si="206"/>
        <v>0</v>
      </c>
      <c r="AC451" s="984">
        <f t="shared" si="206"/>
        <v>0</v>
      </c>
      <c r="AD451" s="1"/>
      <c r="AE451" s="1"/>
    </row>
    <row r="452" spans="8:31" x14ac:dyDescent="0.3">
      <c r="I452" s="1"/>
      <c r="J452" s="980" t="s">
        <v>34</v>
      </c>
      <c r="K452" s="982"/>
      <c r="L452" s="982"/>
      <c r="M452" s="982"/>
      <c r="N452" s="983">
        <f>N49/$N$365</f>
        <v>0</v>
      </c>
      <c r="O452" s="983">
        <f t="shared" ref="O452:AC452" si="207">O49/$N$365</f>
        <v>0</v>
      </c>
      <c r="P452" s="983">
        <f t="shared" si="207"/>
        <v>0</v>
      </c>
      <c r="Q452" s="983">
        <f t="shared" si="207"/>
        <v>0</v>
      </c>
      <c r="R452" s="983">
        <f t="shared" si="207"/>
        <v>0</v>
      </c>
      <c r="S452" s="983">
        <f t="shared" si="207"/>
        <v>0</v>
      </c>
      <c r="T452" s="983">
        <f t="shared" si="207"/>
        <v>0</v>
      </c>
      <c r="U452" s="983">
        <f t="shared" si="207"/>
        <v>0</v>
      </c>
      <c r="V452" s="983">
        <f t="shared" si="207"/>
        <v>0</v>
      </c>
      <c r="W452" s="983">
        <f t="shared" si="207"/>
        <v>0</v>
      </c>
      <c r="X452" s="983">
        <f t="shared" si="207"/>
        <v>0</v>
      </c>
      <c r="Y452" s="983">
        <f t="shared" si="207"/>
        <v>0</v>
      </c>
      <c r="Z452" s="983">
        <f t="shared" si="207"/>
        <v>0</v>
      </c>
      <c r="AA452" s="983">
        <f t="shared" si="207"/>
        <v>0</v>
      </c>
      <c r="AB452" s="983">
        <f t="shared" si="207"/>
        <v>0</v>
      </c>
      <c r="AC452" s="984">
        <f t="shared" si="207"/>
        <v>0</v>
      </c>
      <c r="AD452" s="1"/>
      <c r="AE452" s="1"/>
    </row>
    <row r="453" spans="8:31" x14ac:dyDescent="0.3">
      <c r="I453" s="1"/>
      <c r="J453" s="980" t="s">
        <v>437</v>
      </c>
      <c r="K453" s="981"/>
      <c r="L453" s="982"/>
      <c r="M453" s="982"/>
      <c r="N453" s="983">
        <f>N38/$N$365</f>
        <v>0</v>
      </c>
      <c r="O453" s="983">
        <f t="shared" ref="O453:AC453" si="208">O38/$N$365</f>
        <v>0</v>
      </c>
      <c r="P453" s="983">
        <f t="shared" si="208"/>
        <v>0</v>
      </c>
      <c r="Q453" s="983">
        <f t="shared" si="208"/>
        <v>0</v>
      </c>
      <c r="R453" s="983">
        <f t="shared" si="208"/>
        <v>0</v>
      </c>
      <c r="S453" s="983">
        <f t="shared" si="208"/>
        <v>0</v>
      </c>
      <c r="T453" s="983">
        <f t="shared" si="208"/>
        <v>0</v>
      </c>
      <c r="U453" s="983">
        <f t="shared" si="208"/>
        <v>0</v>
      </c>
      <c r="V453" s="983">
        <f t="shared" si="208"/>
        <v>0</v>
      </c>
      <c r="W453" s="983">
        <f t="shared" si="208"/>
        <v>0</v>
      </c>
      <c r="X453" s="983">
        <f t="shared" si="208"/>
        <v>0</v>
      </c>
      <c r="Y453" s="983">
        <f t="shared" si="208"/>
        <v>0</v>
      </c>
      <c r="Z453" s="983">
        <f t="shared" si="208"/>
        <v>0</v>
      </c>
      <c r="AA453" s="983">
        <f t="shared" si="208"/>
        <v>0</v>
      </c>
      <c r="AB453" s="983">
        <f t="shared" si="208"/>
        <v>0</v>
      </c>
      <c r="AC453" s="984">
        <f t="shared" si="208"/>
        <v>0</v>
      </c>
      <c r="AD453" s="1"/>
      <c r="AE453" s="1"/>
    </row>
    <row r="454" spans="8:31" ht="15.75" x14ac:dyDescent="0.25">
      <c r="I454" s="1"/>
      <c r="J454" s="991" t="s">
        <v>29</v>
      </c>
      <c r="K454" s="992"/>
      <c r="L454" s="992"/>
      <c r="M454" s="992"/>
      <c r="N454" s="993" t="str">
        <f>N39</f>
        <v/>
      </c>
      <c r="O454" s="993" t="str">
        <f t="shared" ref="O454:AC454" si="209">O39</f>
        <v/>
      </c>
      <c r="P454" s="993" t="str">
        <f t="shared" si="209"/>
        <v/>
      </c>
      <c r="Q454" s="993" t="str">
        <f t="shared" si="209"/>
        <v/>
      </c>
      <c r="R454" s="993" t="str">
        <f t="shared" si="209"/>
        <v/>
      </c>
      <c r="S454" s="993" t="str">
        <f t="shared" si="209"/>
        <v/>
      </c>
      <c r="T454" s="993" t="str">
        <f t="shared" si="209"/>
        <v/>
      </c>
      <c r="U454" s="993" t="str">
        <f t="shared" si="209"/>
        <v/>
      </c>
      <c r="V454" s="993" t="str">
        <f t="shared" si="209"/>
        <v/>
      </c>
      <c r="W454" s="993" t="str">
        <f t="shared" si="209"/>
        <v/>
      </c>
      <c r="X454" s="993" t="str">
        <f t="shared" si="209"/>
        <v/>
      </c>
      <c r="Y454" s="993" t="str">
        <f t="shared" si="209"/>
        <v/>
      </c>
      <c r="Z454" s="993" t="str">
        <f t="shared" si="209"/>
        <v/>
      </c>
      <c r="AA454" s="993" t="str">
        <f t="shared" si="209"/>
        <v/>
      </c>
      <c r="AB454" s="993" t="str">
        <f t="shared" si="209"/>
        <v/>
      </c>
      <c r="AC454" s="994" t="str">
        <f t="shared" si="209"/>
        <v/>
      </c>
      <c r="AD454" s="1"/>
      <c r="AE454" s="1"/>
    </row>
    <row r="455" spans="8:31" ht="17.25" thickBot="1" x14ac:dyDescent="0.35">
      <c r="H455" s="423"/>
      <c r="I455" s="424"/>
      <c r="J455" s="423"/>
      <c r="K455" s="425"/>
      <c r="L455" s="423"/>
      <c r="M455" s="423"/>
      <c r="N455" s="423"/>
      <c r="O455" s="423"/>
      <c r="P455" s="423"/>
      <c r="Q455" s="423"/>
      <c r="R455" s="423"/>
      <c r="S455" s="423"/>
      <c r="T455" s="423"/>
      <c r="U455" s="423"/>
      <c r="V455" s="423"/>
      <c r="W455" s="423"/>
      <c r="X455" s="423"/>
      <c r="Y455" s="423"/>
      <c r="Z455" s="423"/>
      <c r="AA455" s="423"/>
      <c r="AB455" s="423"/>
      <c r="AC455" s="423"/>
      <c r="AE455" s="1"/>
    </row>
    <row r="456" spans="8:31" ht="15" thickTop="1" x14ac:dyDescent="0.2">
      <c r="I456" s="1"/>
      <c r="K456" s="1"/>
      <c r="AD456" s="1"/>
      <c r="AE456" s="1"/>
    </row>
    <row r="457" spans="8:31" ht="14.25" x14ac:dyDescent="0.2">
      <c r="I457" s="1"/>
      <c r="K457" s="1"/>
      <c r="AD457" s="1"/>
      <c r="AE457" s="1"/>
    </row>
    <row r="458" spans="8:31" ht="14.25" x14ac:dyDescent="0.2">
      <c r="I458" s="1"/>
      <c r="K458" s="1"/>
      <c r="AD458" s="1"/>
      <c r="AE458" s="1"/>
    </row>
    <row r="459" spans="8:31" ht="14.25" x14ac:dyDescent="0.2">
      <c r="I459" s="1"/>
      <c r="K459" s="1"/>
      <c r="AD459" s="1"/>
      <c r="AE459" s="1"/>
    </row>
    <row r="460" spans="8:31" ht="21" customHeight="1" x14ac:dyDescent="0.2">
      <c r="I460" s="1"/>
      <c r="K460" s="1"/>
      <c r="AD460" s="1"/>
      <c r="AE460" s="1"/>
    </row>
    <row r="461" spans="8:31" ht="14.25" collapsed="1" x14ac:dyDescent="0.2">
      <c r="I461" s="1"/>
      <c r="K461" s="1"/>
      <c r="AD461" s="1"/>
      <c r="AE461" s="1"/>
    </row>
    <row r="462" spans="8:31" ht="14.25" x14ac:dyDescent="0.2">
      <c r="I462" s="1"/>
      <c r="K462" s="1"/>
      <c r="AD462" s="1"/>
      <c r="AE462" s="1"/>
    </row>
    <row r="463" spans="8:31" ht="14.25" x14ac:dyDescent="0.2">
      <c r="I463" s="1"/>
      <c r="K463" s="1"/>
      <c r="AD463" s="1"/>
      <c r="AE463" s="1"/>
    </row>
    <row r="464" spans="8:31" ht="14.25" x14ac:dyDescent="0.2">
      <c r="I464" s="1"/>
      <c r="K464" s="1"/>
      <c r="AD464" s="1"/>
      <c r="AE464" s="1"/>
    </row>
    <row r="465" s="1" customFormat="1" ht="14.25" x14ac:dyDescent="0.2"/>
    <row r="466" s="1" customFormat="1" ht="14.25" x14ac:dyDescent="0.2"/>
    <row r="467" s="1" customFormat="1" ht="14.25" x14ac:dyDescent="0.2"/>
    <row r="468" s="1" customFormat="1" ht="14.25" x14ac:dyDescent="0.2"/>
    <row r="469" s="1" customFormat="1" ht="14.25" x14ac:dyDescent="0.2"/>
    <row r="470" s="1" customFormat="1" ht="14.25" x14ac:dyDescent="0.2"/>
    <row r="471" s="1" customFormat="1" ht="14.25" x14ac:dyDescent="0.2"/>
    <row r="472" s="1" customFormat="1" ht="14.25" x14ac:dyDescent="0.2"/>
    <row r="473" s="1" customFormat="1" ht="14.25" x14ac:dyDescent="0.2"/>
    <row r="474" s="1" customFormat="1" ht="14.25" x14ac:dyDescent="0.2"/>
    <row r="475" s="1" customFormat="1" ht="14.25" x14ac:dyDescent="0.2"/>
    <row r="476" s="1" customFormat="1" ht="14.25" x14ac:dyDescent="0.2"/>
    <row r="477" s="1" customFormat="1" ht="14.25" x14ac:dyDescent="0.2"/>
    <row r="478" s="1" customFormat="1" ht="14.25" x14ac:dyDescent="0.2"/>
    <row r="479" s="1" customFormat="1" ht="14.25" x14ac:dyDescent="0.2"/>
    <row r="480" s="1" customFormat="1" ht="14.25" x14ac:dyDescent="0.2"/>
    <row r="481" s="1" customFormat="1" ht="14.25" x14ac:dyDescent="0.2"/>
    <row r="482" s="1" customFormat="1" ht="14.25" x14ac:dyDescent="0.2"/>
    <row r="483" s="1" customFormat="1" ht="14.25" x14ac:dyDescent="0.2"/>
    <row r="484" s="1" customFormat="1" ht="14.25" x14ac:dyDescent="0.2"/>
    <row r="485" s="1" customFormat="1" ht="14.25" x14ac:dyDescent="0.2"/>
    <row r="486" s="1" customFormat="1" ht="14.25" x14ac:dyDescent="0.2"/>
    <row r="487" s="1" customFormat="1" ht="14.25" x14ac:dyDescent="0.2"/>
    <row r="488" s="1" customFormat="1" ht="14.25" x14ac:dyDescent="0.2"/>
    <row r="489" s="1" customFormat="1" ht="14.25" collapsed="1" x14ac:dyDescent="0.2"/>
    <row r="490" s="1" customFormat="1" ht="14.25" x14ac:dyDescent="0.2"/>
    <row r="491" s="1" customFormat="1" ht="14.25" x14ac:dyDescent="0.2"/>
    <row r="492" s="1" customFormat="1" ht="14.25" x14ac:dyDescent="0.2"/>
    <row r="493" s="1" customFormat="1" ht="14.25" x14ac:dyDescent="0.2"/>
    <row r="494" s="1" customFormat="1" ht="14.25" x14ac:dyDescent="0.2"/>
    <row r="495" s="1" customFormat="1" ht="14.25" x14ac:dyDescent="0.2"/>
    <row r="496" s="1" customFormat="1" ht="14.25" x14ac:dyDescent="0.2"/>
    <row r="497" s="1" customFormat="1" ht="14.25" x14ac:dyDescent="0.2"/>
    <row r="498" s="1" customFormat="1" ht="14.25" x14ac:dyDescent="0.2"/>
    <row r="499" s="1" customFormat="1" ht="14.25" x14ac:dyDescent="0.2"/>
    <row r="500" s="1" customFormat="1" ht="14.25" x14ac:dyDescent="0.2"/>
    <row r="501" s="1" customFormat="1" ht="14.25" x14ac:dyDescent="0.2"/>
    <row r="502" s="1" customFormat="1" ht="14.25" x14ac:dyDescent="0.2"/>
    <row r="503" s="1" customFormat="1" ht="14.25" x14ac:dyDescent="0.2"/>
    <row r="504" s="1" customFormat="1" ht="14.25" x14ac:dyDescent="0.2"/>
    <row r="505" s="1" customFormat="1" ht="14.25" x14ac:dyDescent="0.2"/>
    <row r="506" s="1" customFormat="1" ht="14.25" x14ac:dyDescent="0.2"/>
    <row r="507" s="1" customFormat="1" ht="14.25" x14ac:dyDescent="0.2"/>
    <row r="508" s="1" customFormat="1" ht="21" customHeight="1" x14ac:dyDescent="0.2"/>
    <row r="509" s="1" customFormat="1" ht="14.25" collapsed="1" x14ac:dyDescent="0.2"/>
    <row r="510" s="1" customFormat="1" ht="14.25" x14ac:dyDescent="0.2"/>
    <row r="511" s="1" customFormat="1" ht="14.25" x14ac:dyDescent="0.2"/>
    <row r="512" s="1" customFormat="1" ht="14.25" x14ac:dyDescent="0.2"/>
    <row r="513" s="1" customFormat="1" ht="14.25" x14ac:dyDescent="0.2"/>
    <row r="514" s="1" customFormat="1" ht="14.25" x14ac:dyDescent="0.2"/>
    <row r="515" s="1" customFormat="1" ht="14.25" x14ac:dyDescent="0.2"/>
    <row r="516" s="1" customFormat="1" ht="14.25" x14ac:dyDescent="0.2"/>
    <row r="517" s="1" customFormat="1" ht="14.25" x14ac:dyDescent="0.2"/>
    <row r="518" s="1" customFormat="1" ht="14.25" x14ac:dyDescent="0.2"/>
    <row r="519" s="1" customFormat="1" ht="14.25" x14ac:dyDescent="0.2"/>
    <row r="520" s="1" customFormat="1" ht="14.25" x14ac:dyDescent="0.2"/>
    <row r="521" s="1" customFormat="1" ht="14.25" x14ac:dyDescent="0.2"/>
    <row r="522" s="1" customFormat="1" ht="14.25" x14ac:dyDescent="0.2"/>
    <row r="523" s="1" customFormat="1" ht="14.25" x14ac:dyDescent="0.2"/>
    <row r="524" s="1" customFormat="1" ht="14.25" x14ac:dyDescent="0.2"/>
    <row r="525" s="1" customFormat="1" ht="14.25" x14ac:dyDescent="0.2"/>
    <row r="526" s="1" customFormat="1" ht="14.25" x14ac:dyDescent="0.2"/>
    <row r="527" s="1" customFormat="1" ht="14.25" x14ac:dyDescent="0.2"/>
    <row r="528" s="1" customFormat="1" ht="14.25" x14ac:dyDescent="0.2"/>
    <row r="529" s="1" customFormat="1" ht="14.25" x14ac:dyDescent="0.2"/>
    <row r="530" s="1" customFormat="1" ht="14.25" x14ac:dyDescent="0.2"/>
    <row r="531" s="1" customFormat="1" ht="14.25" x14ac:dyDescent="0.2"/>
    <row r="532" s="1" customFormat="1" ht="14.25" x14ac:dyDescent="0.2"/>
    <row r="533" s="1" customFormat="1" ht="14.25" x14ac:dyDescent="0.2"/>
    <row r="534" s="1" customFormat="1" ht="14.25" x14ac:dyDescent="0.2"/>
    <row r="535" s="1" customFormat="1" ht="14.25" x14ac:dyDescent="0.2"/>
    <row r="536" s="1" customFormat="1" ht="14.25" x14ac:dyDescent="0.2"/>
    <row r="537" s="1" customFormat="1" ht="14.25" x14ac:dyDescent="0.2"/>
    <row r="538" s="1" customFormat="1" ht="14.25" x14ac:dyDescent="0.2"/>
    <row r="539" s="1" customFormat="1" ht="14.25" x14ac:dyDescent="0.2"/>
    <row r="540" s="1" customFormat="1" ht="14.25" x14ac:dyDescent="0.2"/>
    <row r="541" s="1" customFormat="1" ht="14.25" x14ac:dyDescent="0.2"/>
    <row r="542" s="1" customFormat="1" ht="14.25" x14ac:dyDescent="0.2"/>
    <row r="543" s="1" customFormat="1" ht="14.25" x14ac:dyDescent="0.2"/>
    <row r="544" s="1" customFormat="1" ht="14.25" x14ac:dyDescent="0.2"/>
    <row r="545" s="1" customFormat="1" ht="14.25" x14ac:dyDescent="0.2"/>
    <row r="546" s="1" customFormat="1" ht="14.25" x14ac:dyDescent="0.2"/>
    <row r="547" s="1" customFormat="1" ht="14.25" x14ac:dyDescent="0.2"/>
    <row r="548" s="1" customFormat="1" ht="14.25" x14ac:dyDescent="0.2"/>
    <row r="549" s="1" customFormat="1" ht="14.25" x14ac:dyDescent="0.2"/>
    <row r="550" s="1" customFormat="1" ht="14.25" x14ac:dyDescent="0.2"/>
    <row r="551" s="1" customFormat="1" ht="21" customHeight="1" x14ac:dyDescent="0.2"/>
    <row r="552" s="1" customFormat="1" ht="14.25" x14ac:dyDescent="0.2"/>
    <row r="553" s="1" customFormat="1" ht="14.25" x14ac:dyDescent="0.2"/>
    <row r="554" s="1" customFormat="1" ht="14.25" x14ac:dyDescent="0.2"/>
    <row r="555" s="1" customFormat="1" ht="14.25" x14ac:dyDescent="0.2"/>
    <row r="556" s="1" customFormat="1" ht="14.25" x14ac:dyDescent="0.2"/>
    <row r="557" s="1" customFormat="1" ht="14.25" x14ac:dyDescent="0.2"/>
    <row r="558" s="1" customFormat="1" ht="14.25" x14ac:dyDescent="0.2"/>
    <row r="559" s="1" customFormat="1" ht="14.25" x14ac:dyDescent="0.2"/>
    <row r="560" s="1" customFormat="1" ht="14.25" x14ac:dyDescent="0.2"/>
    <row r="561" s="1" customFormat="1" ht="14.25" x14ac:dyDescent="0.2"/>
    <row r="562" s="1" customFormat="1" ht="14.25" x14ac:dyDescent="0.2"/>
    <row r="563" s="1" customFormat="1" ht="14.25" x14ac:dyDescent="0.2"/>
    <row r="564" s="1" customFormat="1" ht="14.25" x14ac:dyDescent="0.2"/>
    <row r="565" s="1" customFormat="1" ht="14.25" x14ac:dyDescent="0.2"/>
    <row r="566" s="1" customFormat="1" ht="14.25" x14ac:dyDescent="0.2"/>
    <row r="567" s="1" customFormat="1" ht="14.25" x14ac:dyDescent="0.2"/>
    <row r="568" s="1" customFormat="1" ht="14.25" x14ac:dyDescent="0.2"/>
    <row r="569" s="1" customFormat="1" ht="14.25" x14ac:dyDescent="0.2"/>
    <row r="570" s="1" customFormat="1" ht="14.25" x14ac:dyDescent="0.2"/>
    <row r="571" s="1" customFormat="1" ht="14.25" x14ac:dyDescent="0.2"/>
    <row r="572" s="1" customFormat="1" ht="14.25" x14ac:dyDescent="0.2"/>
    <row r="573" s="1" customFormat="1" ht="14.25" x14ac:dyDescent="0.2"/>
    <row r="574" s="1" customFormat="1" ht="14.25" x14ac:dyDescent="0.2"/>
    <row r="575" s="1" customFormat="1" ht="14.25" x14ac:dyDescent="0.2"/>
    <row r="576" s="1" customFormat="1" ht="14.25" x14ac:dyDescent="0.2"/>
    <row r="577" s="1" customFormat="1" ht="14.25" x14ac:dyDescent="0.2"/>
    <row r="578" s="1" customFormat="1" ht="14.25" x14ac:dyDescent="0.2"/>
    <row r="579" s="1" customFormat="1" ht="14.25" x14ac:dyDescent="0.2"/>
    <row r="580" s="1" customFormat="1" ht="14.25" x14ac:dyDescent="0.2"/>
    <row r="581" s="1" customFormat="1" ht="14.25" x14ac:dyDescent="0.2"/>
    <row r="582" s="1" customFormat="1" ht="14.25" x14ac:dyDescent="0.2"/>
    <row r="583" s="1" customFormat="1" ht="14.25" x14ac:dyDescent="0.2"/>
    <row r="584" s="1" customFormat="1" ht="14.25" x14ac:dyDescent="0.2"/>
    <row r="585" s="1" customFormat="1" ht="14.25" x14ac:dyDescent="0.2"/>
    <row r="586" s="1" customFormat="1" ht="14.25" x14ac:dyDescent="0.2"/>
    <row r="587" s="1" customFormat="1" ht="14.25" x14ac:dyDescent="0.2"/>
    <row r="588" s="1" customFormat="1" ht="14.25" x14ac:dyDescent="0.2"/>
    <row r="589" s="1" customFormat="1" ht="14.25" x14ac:dyDescent="0.2"/>
    <row r="590" s="1" customFormat="1" ht="14.25" x14ac:dyDescent="0.2"/>
    <row r="591" s="1" customFormat="1" ht="14.25" x14ac:dyDescent="0.2"/>
    <row r="592" s="1" customFormat="1" ht="21" customHeight="1" x14ac:dyDescent="0.2"/>
    <row r="593" s="1" customFormat="1" ht="25.5" customHeight="1" collapsed="1" x14ac:dyDescent="0.2"/>
    <row r="594" s="1" customFormat="1" ht="14.25" x14ac:dyDescent="0.2"/>
    <row r="595" s="1" customFormat="1" ht="14.25" x14ac:dyDescent="0.2"/>
    <row r="596" s="1" customFormat="1" ht="14.25" x14ac:dyDescent="0.2"/>
    <row r="597" s="1" customFormat="1" ht="14.25" x14ac:dyDescent="0.2"/>
    <row r="598" s="1" customFormat="1" ht="14.25" x14ac:dyDescent="0.2"/>
    <row r="599" s="1" customFormat="1" ht="14.25" x14ac:dyDescent="0.2"/>
    <row r="600" s="1" customFormat="1" ht="14.25" x14ac:dyDescent="0.2"/>
    <row r="601" s="1" customFormat="1" ht="14.25" x14ac:dyDescent="0.2"/>
    <row r="602" s="1" customFormat="1" ht="14.25" x14ac:dyDescent="0.2"/>
    <row r="603" s="1" customFormat="1" ht="14.25" x14ac:dyDescent="0.2"/>
    <row r="604" s="1" customFormat="1" ht="14.25" x14ac:dyDescent="0.2"/>
    <row r="605" s="1" customFormat="1" ht="14.25" x14ac:dyDescent="0.2"/>
    <row r="606" s="1" customFormat="1" ht="14.25" x14ac:dyDescent="0.2"/>
    <row r="607" s="1" customFormat="1" ht="14.25" x14ac:dyDescent="0.2"/>
    <row r="608" s="1" customFormat="1" ht="14.25" x14ac:dyDescent="0.2"/>
    <row r="609" s="1" customFormat="1" ht="14.25" x14ac:dyDescent="0.2"/>
    <row r="610" s="1" customFormat="1" ht="14.25" x14ac:dyDescent="0.2"/>
    <row r="611" s="1" customFormat="1" ht="14.25" x14ac:dyDescent="0.2"/>
    <row r="612" s="1" customFormat="1" ht="14.25" x14ac:dyDescent="0.2"/>
    <row r="613" s="1" customFormat="1" ht="14.25" x14ac:dyDescent="0.2"/>
    <row r="614" s="1" customFormat="1" ht="14.25" x14ac:dyDescent="0.2"/>
    <row r="615" s="1" customFormat="1" ht="18.75" customHeight="1" x14ac:dyDescent="0.2"/>
    <row r="616" s="1" customFormat="1" ht="14.25" x14ac:dyDescent="0.2"/>
    <row r="617" s="1" customFormat="1" ht="14.25" x14ac:dyDescent="0.2"/>
    <row r="618" s="1" customFormat="1" ht="14.25" x14ac:dyDescent="0.2"/>
    <row r="619" s="1" customFormat="1" ht="14.25" x14ac:dyDescent="0.2"/>
    <row r="620" s="1" customFormat="1" ht="14.25" x14ac:dyDescent="0.2"/>
    <row r="621" s="1" customFormat="1" ht="14.25" x14ac:dyDescent="0.2"/>
    <row r="622" s="1" customFormat="1" ht="14.25" x14ac:dyDescent="0.2"/>
    <row r="623" s="1" customFormat="1" ht="14.25" x14ac:dyDescent="0.2"/>
    <row r="624" s="1" customFormat="1" ht="14.25" x14ac:dyDescent="0.2"/>
    <row r="625" s="1" customFormat="1" ht="14.25" x14ac:dyDescent="0.2"/>
    <row r="626" s="1" customFormat="1" ht="21" customHeight="1" x14ac:dyDescent="0.2"/>
    <row r="627" s="1" customFormat="1" ht="14.25" collapsed="1" x14ac:dyDescent="0.2"/>
    <row r="628" s="1" customFormat="1" ht="14.25" x14ac:dyDescent="0.2"/>
    <row r="629" s="1" customFormat="1" ht="14.25" x14ac:dyDescent="0.2"/>
    <row r="630" s="1" customFormat="1" ht="14.25" x14ac:dyDescent="0.2"/>
    <row r="631" s="1" customFormat="1" ht="14.25" x14ac:dyDescent="0.2"/>
    <row r="632" s="1" customFormat="1" ht="14.25" x14ac:dyDescent="0.2"/>
    <row r="633" s="1" customFormat="1" ht="14.25" x14ac:dyDescent="0.2"/>
    <row r="634" s="1" customFormat="1" ht="14.25" x14ac:dyDescent="0.2"/>
    <row r="635" s="1" customFormat="1" ht="14.25" x14ac:dyDescent="0.2"/>
    <row r="636" s="1" customFormat="1" ht="14.25" x14ac:dyDescent="0.2"/>
    <row r="637" s="1" customFormat="1" ht="14.25" x14ac:dyDescent="0.2"/>
    <row r="638" s="1" customFormat="1" ht="14.25" x14ac:dyDescent="0.2"/>
    <row r="639" s="1" customFormat="1" ht="14.25" x14ac:dyDescent="0.2"/>
    <row r="640" s="1" customFormat="1" ht="22.5" customHeight="1" x14ac:dyDescent="0.2"/>
    <row r="641" s="1" customFormat="1" ht="14.25" x14ac:dyDescent="0.2"/>
    <row r="642" s="1" customFormat="1" ht="14.25" x14ac:dyDescent="0.2"/>
    <row r="643" s="1" customFormat="1" ht="14.25" x14ac:dyDescent="0.2"/>
    <row r="644" s="1" customFormat="1" ht="14.25" x14ac:dyDescent="0.2"/>
    <row r="645" s="1" customFormat="1" ht="14.25" x14ac:dyDescent="0.2"/>
    <row r="646" s="1" customFormat="1" ht="14.25" x14ac:dyDescent="0.2"/>
    <row r="647" s="1" customFormat="1" ht="14.25" x14ac:dyDescent="0.2"/>
    <row r="648" s="1" customFormat="1" ht="14.25" x14ac:dyDescent="0.2"/>
    <row r="649" s="1" customFormat="1" ht="14.25" x14ac:dyDescent="0.2"/>
    <row r="650" s="1" customFormat="1" ht="14.25" x14ac:dyDescent="0.2"/>
    <row r="651" s="1" customFormat="1" ht="14.25" x14ac:dyDescent="0.2"/>
    <row r="652" s="1" customFormat="1" ht="14.25" x14ac:dyDescent="0.2"/>
    <row r="653" s="1" customFormat="1" ht="14.25" x14ac:dyDescent="0.2"/>
    <row r="654" s="1" customFormat="1" ht="14.25" x14ac:dyDescent="0.2"/>
    <row r="655" s="1" customFormat="1" ht="14.25" x14ac:dyDescent="0.2"/>
    <row r="656" s="1" customFormat="1" ht="14.25" x14ac:dyDescent="0.2"/>
    <row r="657" s="1" customFormat="1" ht="14.25" x14ac:dyDescent="0.2"/>
    <row r="658" s="1" customFormat="1" ht="14.25" x14ac:dyDescent="0.2"/>
    <row r="659" s="1" customFormat="1" ht="14.25" x14ac:dyDescent="0.2"/>
    <row r="660" s="1" customFormat="1" ht="14.25" x14ac:dyDescent="0.2"/>
    <row r="661" s="1" customFormat="1" ht="14.25" x14ac:dyDescent="0.2"/>
    <row r="662" s="1" customFormat="1" ht="14.25" x14ac:dyDescent="0.2"/>
    <row r="663" s="1" customFormat="1" ht="14.25" x14ac:dyDescent="0.2"/>
    <row r="664" s="1" customFormat="1" ht="14.25" x14ac:dyDescent="0.2"/>
    <row r="665" s="1" customFormat="1" ht="14.25" x14ac:dyDescent="0.2"/>
    <row r="666" s="1" customFormat="1" ht="14.25" x14ac:dyDescent="0.2"/>
    <row r="667" s="1" customFormat="1" ht="14.25" x14ac:dyDescent="0.2"/>
    <row r="668" s="1" customFormat="1" ht="14.25" x14ac:dyDescent="0.2"/>
    <row r="669" s="1" customFormat="1" ht="14.25" x14ac:dyDescent="0.2"/>
    <row r="670" s="1" customFormat="1" ht="14.25" x14ac:dyDescent="0.2"/>
    <row r="671" s="1" customFormat="1" ht="14.25" x14ac:dyDescent="0.2"/>
    <row r="672" s="1" customFormat="1" ht="14.25" x14ac:dyDescent="0.2"/>
    <row r="673" s="1" customFormat="1" ht="14.25" x14ac:dyDescent="0.2"/>
    <row r="674" s="1" customFormat="1" ht="14.25" x14ac:dyDescent="0.2"/>
    <row r="675" s="1" customFormat="1" ht="14.25" x14ac:dyDescent="0.2"/>
    <row r="676" s="1" customFormat="1" ht="14.25" x14ac:dyDescent="0.2"/>
    <row r="677" s="1" customFormat="1" ht="14.25" x14ac:dyDescent="0.2"/>
    <row r="678" s="1" customFormat="1" ht="14.25" x14ac:dyDescent="0.2"/>
    <row r="679" s="1" customFormat="1" ht="14.25" x14ac:dyDescent="0.2"/>
    <row r="680" s="1" customFormat="1" ht="14.25" x14ac:dyDescent="0.2"/>
    <row r="681" s="1" customFormat="1" ht="14.25" x14ac:dyDescent="0.2"/>
    <row r="682" s="1" customFormat="1" ht="14.25" x14ac:dyDescent="0.2"/>
    <row r="683" s="1" customFormat="1" ht="14.25" x14ac:dyDescent="0.2"/>
    <row r="684" s="1" customFormat="1" ht="14.25" x14ac:dyDescent="0.2"/>
    <row r="685" s="1" customFormat="1" ht="14.25" x14ac:dyDescent="0.2"/>
    <row r="686" s="1" customFormat="1" ht="14.25" x14ac:dyDescent="0.2"/>
    <row r="687" s="1" customFormat="1" ht="14.25" x14ac:dyDescent="0.2"/>
    <row r="688" s="1" customFormat="1" ht="14.25" x14ac:dyDescent="0.2"/>
    <row r="689" s="1" customFormat="1" ht="14.25" x14ac:dyDescent="0.2"/>
    <row r="690" s="1" customFormat="1" ht="14.25" x14ac:dyDescent="0.2"/>
    <row r="691" s="1" customFormat="1" ht="14.25" x14ac:dyDescent="0.2"/>
    <row r="692" s="1" customFormat="1" ht="14.25" x14ac:dyDescent="0.2"/>
    <row r="693" s="1" customFormat="1" ht="14.25" x14ac:dyDescent="0.2"/>
    <row r="694" s="1" customFormat="1" ht="21" customHeight="1" x14ac:dyDescent="0.2"/>
    <row r="695" s="1" customFormat="1" ht="14.25" collapsed="1" x14ac:dyDescent="0.2"/>
    <row r="696" s="1" customFormat="1" ht="14.25" x14ac:dyDescent="0.2"/>
    <row r="697" s="1" customFormat="1" ht="14.25" x14ac:dyDescent="0.2"/>
    <row r="698" s="1" customFormat="1" ht="14.25" x14ac:dyDescent="0.2"/>
    <row r="699" s="1" customFormat="1" ht="14.25" x14ac:dyDescent="0.2"/>
    <row r="700" s="1" customFormat="1" ht="14.25" x14ac:dyDescent="0.2"/>
    <row r="701" s="1" customFormat="1" ht="14.25" x14ac:dyDescent="0.2"/>
    <row r="702" s="1" customFormat="1" ht="14.25" x14ac:dyDescent="0.2"/>
    <row r="703" s="1" customFormat="1" ht="14.25" x14ac:dyDescent="0.2"/>
    <row r="704" s="1" customFormat="1" ht="14.25" x14ac:dyDescent="0.2"/>
    <row r="705" s="1" customFormat="1" ht="14.25" x14ac:dyDescent="0.2"/>
    <row r="706" s="1" customFormat="1" ht="14.25" x14ac:dyDescent="0.2"/>
    <row r="707" s="1" customFormat="1" ht="14.25" x14ac:dyDescent="0.2"/>
    <row r="708" s="1" customFormat="1" ht="14.25" x14ac:dyDescent="0.2"/>
    <row r="709" s="1" customFormat="1" ht="14.25" x14ac:dyDescent="0.2"/>
    <row r="710" s="1" customFormat="1" ht="14.25" x14ac:dyDescent="0.2"/>
    <row r="711" s="1" customFormat="1" ht="14.25" x14ac:dyDescent="0.2"/>
    <row r="712" s="1" customFormat="1" ht="14.25" x14ac:dyDescent="0.2"/>
    <row r="713" s="1" customFormat="1" ht="14.25" x14ac:dyDescent="0.2"/>
    <row r="714" s="1" customFormat="1" ht="14.25" x14ac:dyDescent="0.2"/>
    <row r="715" s="1" customFormat="1" ht="14.25" x14ac:dyDescent="0.2"/>
    <row r="716" s="1" customFormat="1" ht="14.25" x14ac:dyDescent="0.2"/>
    <row r="717" s="1" customFormat="1" ht="14.25" x14ac:dyDescent="0.2"/>
    <row r="718" s="1" customFormat="1" ht="14.25" x14ac:dyDescent="0.2"/>
    <row r="719" s="1" customFormat="1" ht="14.25" x14ac:dyDescent="0.2"/>
    <row r="720" s="1" customFormat="1" ht="14.25" x14ac:dyDescent="0.2"/>
    <row r="721" s="1" customFormat="1" ht="14.25" x14ac:dyDescent="0.2"/>
    <row r="722" s="1" customFormat="1" ht="14.25" x14ac:dyDescent="0.2"/>
    <row r="723" s="1" customFormat="1" ht="14.25" x14ac:dyDescent="0.2"/>
    <row r="724" s="1" customFormat="1" ht="14.25" x14ac:dyDescent="0.2"/>
    <row r="725" s="1" customFormat="1" ht="14.25" x14ac:dyDescent="0.2"/>
    <row r="726" s="1" customFormat="1" ht="14.25" x14ac:dyDescent="0.2"/>
    <row r="727" s="1" customFormat="1" ht="14.25" x14ac:dyDescent="0.2"/>
    <row r="728" s="1" customFormat="1" ht="14.25" x14ac:dyDescent="0.2"/>
    <row r="729" s="1" customFormat="1" ht="14.25" x14ac:dyDescent="0.2"/>
    <row r="730" s="1" customFormat="1" ht="14.25" x14ac:dyDescent="0.2"/>
    <row r="731" s="1" customFormat="1" ht="14.25" x14ac:dyDescent="0.2"/>
    <row r="732" s="1" customFormat="1" ht="14.25" x14ac:dyDescent="0.2"/>
    <row r="733" s="1" customFormat="1" ht="14.25" x14ac:dyDescent="0.2"/>
    <row r="734" s="1" customFormat="1" ht="14.25" x14ac:dyDescent="0.2"/>
    <row r="735" s="1" customFormat="1" ht="14.25" x14ac:dyDescent="0.2"/>
    <row r="736" s="1" customFormat="1" ht="14.25" x14ac:dyDescent="0.2"/>
    <row r="737" s="1" customFormat="1" ht="14.25" x14ac:dyDescent="0.2"/>
    <row r="738" s="1" customFormat="1" ht="21" customHeight="1" x14ac:dyDescent="0.2"/>
    <row r="739" s="1" customFormat="1" ht="36.75" customHeight="1" x14ac:dyDescent="0.2"/>
    <row r="740" s="1" customFormat="1" ht="18.75" customHeight="1" x14ac:dyDescent="0.2"/>
    <row r="741" s="1" customFormat="1" ht="18.75" customHeight="1" x14ac:dyDescent="0.2"/>
    <row r="742" s="1" customFormat="1" ht="18.75" customHeight="1" x14ac:dyDescent="0.2"/>
    <row r="743" s="1" customFormat="1" ht="18.75" customHeight="1" x14ac:dyDescent="0.2"/>
    <row r="744" s="1" customFormat="1" ht="18.75" customHeight="1" x14ac:dyDescent="0.2"/>
    <row r="745" s="1" customFormat="1" ht="18.75" customHeight="1" x14ac:dyDescent="0.2"/>
    <row r="746" s="1" customFormat="1" ht="18.75" customHeight="1" x14ac:dyDescent="0.2"/>
    <row r="747" s="1" customFormat="1" ht="18.75" customHeight="1" x14ac:dyDescent="0.2"/>
    <row r="748" s="1" customFormat="1" ht="18.75" customHeight="1" x14ac:dyDescent="0.2"/>
    <row r="749" s="1" customFormat="1" ht="18.75" customHeight="1" x14ac:dyDescent="0.2"/>
    <row r="750" s="1" customFormat="1" ht="18.75" customHeight="1" x14ac:dyDescent="0.2"/>
    <row r="751" s="1" customFormat="1" ht="18.75" customHeight="1" x14ac:dyDescent="0.2"/>
    <row r="752" s="1" customFormat="1" ht="18.75" customHeight="1" x14ac:dyDescent="0.2"/>
    <row r="753" s="1" customFormat="1" ht="18.75" customHeight="1" x14ac:dyDescent="0.2"/>
    <row r="754" s="1" customFormat="1" ht="18.75" customHeight="1" x14ac:dyDescent="0.2"/>
    <row r="755" s="1" customFormat="1" ht="18.75" customHeight="1" x14ac:dyDescent="0.2"/>
    <row r="756" s="1" customFormat="1" ht="18.75" customHeight="1" x14ac:dyDescent="0.2"/>
    <row r="757" s="1" customFormat="1" ht="18.75" customHeight="1" x14ac:dyDescent="0.2"/>
    <row r="758" s="1" customFormat="1" ht="14.25" x14ac:dyDescent="0.2"/>
    <row r="759" s="1" customFormat="1" ht="14.25" x14ac:dyDescent="0.2"/>
    <row r="760" s="1" customFormat="1" ht="14.25" x14ac:dyDescent="0.2"/>
    <row r="761" s="1" customFormat="1" ht="14.25" x14ac:dyDescent="0.2"/>
    <row r="762" s="1" customFormat="1" ht="14.25" x14ac:dyDescent="0.2"/>
    <row r="763" s="1" customFormat="1" ht="3.75" customHeight="1" x14ac:dyDescent="0.2"/>
    <row r="764" s="1" customFormat="1" ht="14.25" x14ac:dyDescent="0.2"/>
    <row r="765" s="1" customFormat="1" ht="14.25" x14ac:dyDescent="0.2"/>
    <row r="766" s="1" customFormat="1" ht="14.25" x14ac:dyDescent="0.2"/>
    <row r="767" s="1" customFormat="1" ht="14.25" x14ac:dyDescent="0.2"/>
    <row r="768" s="1" customFormat="1" ht="14.25" x14ac:dyDescent="0.2"/>
    <row r="769" s="1" customFormat="1" ht="6.75" customHeight="1" x14ac:dyDescent="0.2"/>
    <row r="770" s="1" customFormat="1" ht="14.25" x14ac:dyDescent="0.2"/>
    <row r="771" s="1" customFormat="1" ht="14.25" x14ac:dyDescent="0.2"/>
    <row r="772" s="1" customFormat="1" ht="14.25" x14ac:dyDescent="0.2"/>
    <row r="773" s="1" customFormat="1" ht="14.25" x14ac:dyDescent="0.2"/>
    <row r="774" s="1" customFormat="1" ht="14.25" x14ac:dyDescent="0.2"/>
    <row r="775" s="1" customFormat="1" ht="14.25" x14ac:dyDescent="0.2"/>
    <row r="776" s="1" customFormat="1" ht="14.25" x14ac:dyDescent="0.2"/>
    <row r="777" s="1" customFormat="1" ht="14.25" x14ac:dyDescent="0.2"/>
    <row r="778" s="1" customFormat="1" ht="14.25" x14ac:dyDescent="0.2"/>
    <row r="779" s="1" customFormat="1" ht="14.25" x14ac:dyDescent="0.2"/>
    <row r="780" s="1" customFormat="1" ht="14.25" x14ac:dyDescent="0.2"/>
    <row r="781" s="1" customFormat="1" ht="14.25" x14ac:dyDescent="0.2"/>
    <row r="782" s="1" customFormat="1" ht="14.25" x14ac:dyDescent="0.2"/>
    <row r="783" s="1" customFormat="1" ht="14.25" x14ac:dyDescent="0.2"/>
    <row r="784" s="1" customFormat="1" ht="14.25" x14ac:dyDescent="0.2"/>
    <row r="785" s="1" customFormat="1" ht="14.25" x14ac:dyDescent="0.2"/>
    <row r="786" s="1" customFormat="1" ht="14.25" x14ac:dyDescent="0.2"/>
    <row r="787" s="1" customFormat="1" ht="14.25" x14ac:dyDescent="0.2"/>
    <row r="788" s="1" customFormat="1" ht="14.25" x14ac:dyDescent="0.2"/>
    <row r="789" s="1" customFormat="1" ht="14.25" x14ac:dyDescent="0.2"/>
    <row r="790" s="1" customFormat="1" ht="14.25" x14ac:dyDescent="0.2"/>
    <row r="791" s="1" customFormat="1" ht="14.25" x14ac:dyDescent="0.2"/>
    <row r="792" s="1" customFormat="1" ht="14.25" x14ac:dyDescent="0.2"/>
    <row r="793" s="1" customFormat="1" ht="14.25" x14ac:dyDescent="0.2"/>
    <row r="794" s="1" customFormat="1" ht="14.25" x14ac:dyDescent="0.2"/>
    <row r="795" s="1" customFormat="1" ht="14.25" x14ac:dyDescent="0.2"/>
    <row r="796" s="1" customFormat="1" ht="14.25" x14ac:dyDescent="0.2"/>
    <row r="797" s="1" customFormat="1" ht="14.25" x14ac:dyDescent="0.2"/>
    <row r="798" s="1" customFormat="1" ht="14.25" x14ac:dyDescent="0.2"/>
    <row r="799" s="1" customFormat="1" ht="14.25" x14ac:dyDescent="0.2"/>
    <row r="800" s="1" customFormat="1" ht="14.25" x14ac:dyDescent="0.2"/>
    <row r="801" s="1" customFormat="1" ht="14.25" x14ac:dyDescent="0.2"/>
    <row r="802" s="1" customFormat="1" ht="14.25" x14ac:dyDescent="0.2"/>
    <row r="803" s="1" customFormat="1" ht="14.25" x14ac:dyDescent="0.2"/>
    <row r="804" s="1" customFormat="1" ht="14.25" x14ac:dyDescent="0.2"/>
    <row r="805" s="1" customFormat="1" ht="14.25" x14ac:dyDescent="0.2"/>
    <row r="806" s="1" customFormat="1" ht="14.25" x14ac:dyDescent="0.2"/>
    <row r="807" s="1" customFormat="1" ht="14.25" x14ac:dyDescent="0.2"/>
    <row r="808" s="1" customFormat="1" ht="14.25" x14ac:dyDescent="0.2"/>
    <row r="809" s="1" customFormat="1" ht="14.25" x14ac:dyDescent="0.2"/>
    <row r="810" s="1" customFormat="1" ht="14.25" x14ac:dyDescent="0.2"/>
    <row r="811" s="1" customFormat="1" ht="14.25" x14ac:dyDescent="0.2"/>
    <row r="812" s="1" customFormat="1" ht="14.25" x14ac:dyDescent="0.2"/>
    <row r="813" s="1" customFormat="1" ht="14.25" x14ac:dyDescent="0.2"/>
    <row r="814" s="1" customFormat="1" ht="14.25" x14ac:dyDescent="0.2"/>
    <row r="815" s="1" customFormat="1" ht="14.25" x14ac:dyDescent="0.2"/>
    <row r="816" s="1" customFormat="1" ht="14.25" x14ac:dyDescent="0.2"/>
    <row r="817" s="1" customFormat="1" ht="14.25" x14ac:dyDescent="0.2"/>
    <row r="818" s="1" customFormat="1" ht="14.25" x14ac:dyDescent="0.2"/>
    <row r="819" s="1" customFormat="1" ht="14.25" x14ac:dyDescent="0.2"/>
    <row r="820" s="1" customFormat="1" ht="14.25" x14ac:dyDescent="0.2"/>
    <row r="821" s="1" customFormat="1" ht="14.25" x14ac:dyDescent="0.2"/>
    <row r="822" s="1" customFormat="1" ht="14.25" x14ac:dyDescent="0.2"/>
    <row r="823" s="1" customFormat="1" ht="14.25" x14ac:dyDescent="0.2"/>
    <row r="824" s="1" customFormat="1" ht="14.25" x14ac:dyDescent="0.2"/>
    <row r="825" s="1" customFormat="1" ht="14.25" x14ac:dyDescent="0.2"/>
    <row r="826" s="1" customFormat="1" ht="14.25" x14ac:dyDescent="0.2"/>
    <row r="827" s="1" customFormat="1" ht="14.25" x14ac:dyDescent="0.2"/>
    <row r="828" s="1" customFormat="1" ht="14.25" x14ac:dyDescent="0.2"/>
    <row r="829" s="1" customFormat="1" ht="14.25" x14ac:dyDescent="0.2"/>
    <row r="830" s="1" customFormat="1" ht="14.25" x14ac:dyDescent="0.2"/>
    <row r="831" s="1" customFormat="1" ht="14.25" x14ac:dyDescent="0.2"/>
    <row r="832" s="1" customFormat="1" ht="14.25" x14ac:dyDescent="0.2"/>
    <row r="833" s="1" customFormat="1" ht="14.25" x14ac:dyDescent="0.2"/>
    <row r="834" s="1" customFormat="1" ht="14.25" x14ac:dyDescent="0.2"/>
    <row r="835" s="1" customFormat="1" ht="14.25" x14ac:dyDescent="0.2"/>
    <row r="836" s="1" customFormat="1" ht="14.25" x14ac:dyDescent="0.2"/>
    <row r="837" s="1" customFormat="1" ht="14.25" x14ac:dyDescent="0.2"/>
    <row r="838" s="1" customFormat="1" ht="14.25" x14ac:dyDescent="0.2"/>
    <row r="839" s="1" customFormat="1" ht="14.25" x14ac:dyDescent="0.2"/>
    <row r="840" s="1" customFormat="1" ht="14.25" x14ac:dyDescent="0.2"/>
    <row r="841" s="1" customFormat="1" ht="14.25" x14ac:dyDescent="0.2"/>
    <row r="842" s="1" customFormat="1" ht="14.25" x14ac:dyDescent="0.2"/>
    <row r="843" s="1" customFormat="1" ht="14.25" x14ac:dyDescent="0.2"/>
    <row r="844" s="1" customFormat="1" ht="14.25" x14ac:dyDescent="0.2"/>
    <row r="845" s="1" customFormat="1" ht="14.25" x14ac:dyDescent="0.2"/>
    <row r="846" s="1" customFormat="1" ht="14.25" x14ac:dyDescent="0.2"/>
    <row r="847" s="1" customFormat="1" ht="14.25" x14ac:dyDescent="0.2"/>
    <row r="848" s="1" customFormat="1" ht="14.25" x14ac:dyDescent="0.2"/>
    <row r="849" s="1" customFormat="1" ht="14.25" x14ac:dyDescent="0.2"/>
    <row r="850" s="1" customFormat="1" ht="14.25" x14ac:dyDescent="0.2"/>
    <row r="851" s="1" customFormat="1" ht="14.25" x14ac:dyDescent="0.2"/>
    <row r="852" s="1" customFormat="1" ht="14.25" x14ac:dyDescent="0.2"/>
    <row r="853" s="1" customFormat="1" ht="14.25" x14ac:dyDescent="0.2"/>
    <row r="854" s="1" customFormat="1" ht="14.25" x14ac:dyDescent="0.2"/>
    <row r="855" s="1" customFormat="1" ht="14.25" x14ac:dyDescent="0.2"/>
    <row r="856" s="1" customFormat="1" ht="14.25" x14ac:dyDescent="0.2"/>
    <row r="857" s="1" customFormat="1" ht="14.25" x14ac:dyDescent="0.2"/>
    <row r="858" s="1" customFormat="1" ht="14.25" x14ac:dyDescent="0.2"/>
    <row r="859" s="1" customFormat="1" ht="14.25" x14ac:dyDescent="0.2"/>
    <row r="860" s="1" customFormat="1" ht="14.25" x14ac:dyDescent="0.2"/>
    <row r="861" s="1" customFormat="1" ht="14.25" x14ac:dyDescent="0.2"/>
    <row r="862" s="1" customFormat="1" ht="14.25" x14ac:dyDescent="0.2"/>
    <row r="863" s="1" customFormat="1" ht="14.25" x14ac:dyDescent="0.2"/>
    <row r="864" s="1" customFormat="1" ht="14.25" x14ac:dyDescent="0.2"/>
    <row r="865" s="1" customFormat="1" ht="14.25" x14ac:dyDescent="0.2"/>
  </sheetData>
  <sheetProtection algorithmName="SHA-512" hashValue="XYrtrH9tphi+TZDENsgO7xp0XHfurEGMPcUxvO2cFxepr9KQYIH628vczpCxd9sQPd1oaoe+hrUTvgHv/spKOg==" saltValue="OG12av3reuQQESj+7H4KyA==" spinCount="100000" sheet="1" formatColumns="0" formatRows="0"/>
  <mergeCells count="9">
    <mergeCell ref="K365:L365"/>
    <mergeCell ref="J367:J368"/>
    <mergeCell ref="K390:K391"/>
    <mergeCell ref="J11:J12"/>
    <mergeCell ref="K34:K35"/>
    <mergeCell ref="K174:K175"/>
    <mergeCell ref="I363:J364"/>
    <mergeCell ref="K363:L363"/>
    <mergeCell ref="K364:L364"/>
  </mergeCells>
  <phoneticPr fontId="154" type="noConversion"/>
  <conditionalFormatting sqref="A147:K147 AD147:XFD152">
    <cfRule type="cellIs" dxfId="4201" priority="1707" operator="equal">
      <formula>0</formula>
    </cfRule>
    <cfRule type="cellIs" dxfId="4200" priority="1708" operator="lessThan">
      <formula>0</formula>
    </cfRule>
  </conditionalFormatting>
  <conditionalFormatting sqref="H76">
    <cfRule type="cellIs" dxfId="4199" priority="3130" operator="equal">
      <formula>0</formula>
    </cfRule>
    <cfRule type="cellIs" dxfId="4198" priority="3131" operator="lessThan">
      <formula>0</formula>
    </cfRule>
  </conditionalFormatting>
  <conditionalFormatting sqref="H91 AD91:XFD91">
    <cfRule type="cellIs" dxfId="4197" priority="2051" operator="equal">
      <formula>0</formula>
    </cfRule>
    <cfRule type="cellIs" dxfId="4196" priority="2052" operator="lessThan">
      <formula>0</formula>
    </cfRule>
  </conditionalFormatting>
  <conditionalFormatting sqref="H124:H125">
    <cfRule type="cellIs" dxfId="4195" priority="2355" operator="equal">
      <formula>0</formula>
    </cfRule>
    <cfRule type="cellIs" dxfId="4194" priority="2356" operator="lessThan">
      <formula>0</formula>
    </cfRule>
  </conditionalFormatting>
  <conditionalFormatting sqref="H148:H152">
    <cfRule type="cellIs" dxfId="4193" priority="1866" operator="equal">
      <formula>0</formula>
    </cfRule>
    <cfRule type="cellIs" dxfId="4192" priority="1867" operator="lessThan">
      <formula>0</formula>
    </cfRule>
  </conditionalFormatting>
  <conditionalFormatting sqref="H156:H158">
    <cfRule type="cellIs" dxfId="4191" priority="1820" operator="equal">
      <formula>0</formula>
    </cfRule>
    <cfRule type="cellIs" dxfId="4190" priority="1821" operator="lessThan">
      <formula>0</formula>
    </cfRule>
  </conditionalFormatting>
  <conditionalFormatting sqref="H160:H163 AD160:XFD163">
    <cfRule type="cellIs" dxfId="4189" priority="1806" operator="equal">
      <formula>0</formula>
    </cfRule>
    <cfRule type="cellIs" dxfId="4188" priority="1807" operator="lessThan">
      <formula>0</formula>
    </cfRule>
  </conditionalFormatting>
  <conditionalFormatting sqref="H182:H190 AD183:XFD190">
    <cfRule type="cellIs" dxfId="4187" priority="1929" operator="lessThan">
      <formula>0</formula>
    </cfRule>
  </conditionalFormatting>
  <conditionalFormatting sqref="H182:H190">
    <cfRule type="cellIs" dxfId="4186" priority="1928" operator="equal">
      <formula>0</formula>
    </cfRule>
  </conditionalFormatting>
  <conditionalFormatting sqref="H26:I27 AD26:XFD27">
    <cfRule type="cellIs" dxfId="4185" priority="2887" operator="equal">
      <formula>0</formula>
    </cfRule>
    <cfRule type="cellIs" dxfId="4184" priority="2888" operator="lessThan">
      <formula>0</formula>
    </cfRule>
  </conditionalFormatting>
  <conditionalFormatting sqref="H30:I31">
    <cfRule type="cellIs" dxfId="4183" priority="2246" operator="equal">
      <formula>0</formula>
    </cfRule>
    <cfRule type="cellIs" dxfId="4182" priority="2247" operator="lessThan">
      <formula>0</formula>
    </cfRule>
  </conditionalFormatting>
  <conditionalFormatting sqref="H62:I62 K62">
    <cfRule type="cellIs" dxfId="4181" priority="3143" operator="equal">
      <formula>0</formula>
    </cfRule>
    <cfRule type="cellIs" dxfId="4180" priority="3144" operator="lessThan">
      <formula>0</formula>
    </cfRule>
  </conditionalFormatting>
  <conditionalFormatting sqref="H65:I65 AD65:XFD65">
    <cfRule type="cellIs" dxfId="4179" priority="3140" operator="lessThan">
      <formula>0</formula>
    </cfRule>
  </conditionalFormatting>
  <conditionalFormatting sqref="H65:I65">
    <cfRule type="cellIs" dxfId="4178" priority="3139" operator="equal">
      <formula>0</formula>
    </cfRule>
  </conditionalFormatting>
  <conditionalFormatting sqref="H73:I74">
    <cfRule type="cellIs" dxfId="4177" priority="815" operator="equal">
      <formula>0</formula>
    </cfRule>
    <cfRule type="cellIs" dxfId="4176" priority="816" operator="lessThan">
      <formula>0</formula>
    </cfRule>
  </conditionalFormatting>
  <conditionalFormatting sqref="H101:I101 AD101:XFD101">
    <cfRule type="cellIs" dxfId="4175" priority="2471" operator="equal">
      <formula>0</formula>
    </cfRule>
    <cfRule type="cellIs" dxfId="4174" priority="2472" operator="lessThan">
      <formula>0</formula>
    </cfRule>
  </conditionalFormatting>
  <conditionalFormatting sqref="H262:I262">
    <cfRule type="cellIs" dxfId="4173" priority="3124" operator="equal">
      <formula>0</formula>
    </cfRule>
    <cfRule type="cellIs" dxfId="4172" priority="3125" operator="lessThan">
      <formula>0</formula>
    </cfRule>
  </conditionalFormatting>
  <conditionalFormatting sqref="H69:J72">
    <cfRule type="cellIs" dxfId="4171" priority="576" operator="equal">
      <formula>0</formula>
    </cfRule>
    <cfRule type="cellIs" dxfId="4170" priority="577" operator="lessThan">
      <formula>0</formula>
    </cfRule>
  </conditionalFormatting>
  <conditionalFormatting sqref="H78:J78">
    <cfRule type="cellIs" dxfId="4169" priority="2427" operator="equal">
      <formula>0</formula>
    </cfRule>
    <cfRule type="cellIs" dxfId="4168" priority="2428" operator="lessThan">
      <formula>0</formula>
    </cfRule>
  </conditionalFormatting>
  <conditionalFormatting sqref="H260:J261">
    <cfRule type="cellIs" dxfId="4167" priority="2585" operator="equal">
      <formula>0</formula>
    </cfRule>
    <cfRule type="cellIs" dxfId="4166" priority="2586" operator="lessThan">
      <formula>0</formula>
    </cfRule>
  </conditionalFormatting>
  <conditionalFormatting sqref="H263:J272">
    <cfRule type="cellIs" dxfId="4165" priority="2551" operator="equal">
      <formula>0</formula>
    </cfRule>
    <cfRule type="cellIs" dxfId="4164" priority="2552" operator="lessThan">
      <formula>0</formula>
    </cfRule>
  </conditionalFormatting>
  <conditionalFormatting sqref="H57:K57">
    <cfRule type="cellIs" dxfId="4163" priority="3153" operator="equal">
      <formula>0</formula>
    </cfRule>
    <cfRule type="cellIs" dxfId="4162" priority="3154" operator="lessThan">
      <formula>0</formula>
    </cfRule>
  </conditionalFormatting>
  <conditionalFormatting sqref="H234:K234">
    <cfRule type="cellIs" dxfId="4161" priority="3177" operator="equal">
      <formula>0</formula>
    </cfRule>
    <cfRule type="cellIs" dxfId="4160" priority="3178" operator="lessThan">
      <formula>0</formula>
    </cfRule>
  </conditionalFormatting>
  <conditionalFormatting sqref="H23:L23">
    <cfRule type="cellIs" dxfId="4159" priority="234" operator="equal">
      <formula>0</formula>
    </cfRule>
    <cfRule type="cellIs" dxfId="4158" priority="235" operator="lessThan">
      <formula>0</formula>
    </cfRule>
  </conditionalFormatting>
  <conditionalFormatting sqref="H30:L31 N30:XFD31">
    <cfRule type="cellIs" dxfId="4157" priority="2563" operator="equal">
      <formula>0</formula>
    </cfRule>
    <cfRule type="cellIs" dxfId="4156" priority="2564" operator="lessThan">
      <formula>0</formula>
    </cfRule>
  </conditionalFormatting>
  <conditionalFormatting sqref="H39:L39">
    <cfRule type="cellIs" dxfId="4155" priority="167" operator="equal">
      <formula>0</formula>
    </cfRule>
    <cfRule type="cellIs" dxfId="4154" priority="168" operator="lessThan">
      <formula>0</formula>
    </cfRule>
  </conditionalFormatting>
  <conditionalFormatting sqref="H105:L105">
    <cfRule type="cellIs" dxfId="4153" priority="1648" operator="equal">
      <formula>0</formula>
    </cfRule>
    <cfRule type="cellIs" dxfId="4152" priority="1649" operator="lessThan">
      <formula>0</formula>
    </cfRule>
  </conditionalFormatting>
  <conditionalFormatting sqref="H146:L146">
    <cfRule type="cellIs" dxfId="4151" priority="1709" operator="equal">
      <formula>0</formula>
    </cfRule>
    <cfRule type="cellIs" dxfId="4150" priority="1710" operator="lessThan">
      <formula>0</formula>
    </cfRule>
  </conditionalFormatting>
  <conditionalFormatting sqref="H245:L259">
    <cfRule type="cellIs" dxfId="4149" priority="2165" operator="equal">
      <formula>0</formula>
    </cfRule>
    <cfRule type="cellIs" dxfId="4148" priority="2166" operator="lessThan">
      <formula>0</formula>
    </cfRule>
  </conditionalFormatting>
  <conditionalFormatting sqref="H273:L275">
    <cfRule type="cellIs" dxfId="4147" priority="2573" operator="equal">
      <formula>0</formula>
    </cfRule>
    <cfRule type="cellIs" dxfId="4146" priority="2574" operator="lessThan">
      <formula>0</formula>
    </cfRule>
  </conditionalFormatting>
  <conditionalFormatting sqref="H311:L311 N311:V311 AD311:XFD311">
    <cfRule type="cellIs" dxfId="4145" priority="2993" operator="equal">
      <formula>0</formula>
    </cfRule>
    <cfRule type="cellIs" dxfId="4144" priority="2994" operator="lessThan">
      <formula>0</formula>
    </cfRule>
  </conditionalFormatting>
  <conditionalFormatting sqref="H314:L314">
    <cfRule type="cellIs" dxfId="4143" priority="2989" operator="equal">
      <formula>0</formula>
    </cfRule>
    <cfRule type="cellIs" dxfId="4142" priority="2990" operator="lessThan">
      <formula>0</formula>
    </cfRule>
  </conditionalFormatting>
  <conditionalFormatting sqref="I38">
    <cfRule type="cellIs" dxfId="4141" priority="2447" operator="equal">
      <formula>0</formula>
    </cfRule>
  </conditionalFormatting>
  <conditionalFormatting sqref="I386:I387">
    <cfRule type="cellIs" dxfId="4140" priority="416" operator="equal">
      <formula>0</formula>
    </cfRule>
    <cfRule type="cellIs" dxfId="4139" priority="417" operator="lessThan">
      <formula>0</formula>
    </cfRule>
  </conditionalFormatting>
  <conditionalFormatting sqref="I394">
    <cfRule type="cellIs" dxfId="4138" priority="376" operator="equal">
      <formula>0</formula>
    </cfRule>
  </conditionalFormatting>
  <conditionalFormatting sqref="I38:J38">
    <cfRule type="cellIs" dxfId="4137" priority="145" operator="lessThan">
      <formula>0</formula>
    </cfRule>
  </conditionalFormatting>
  <conditionalFormatting sqref="I393:J394">
    <cfRule type="cellIs" dxfId="4136" priority="377" operator="lessThan">
      <formula>0</formula>
    </cfRule>
  </conditionalFormatting>
  <conditionalFormatting sqref="I173:L173">
    <cfRule type="cellIs" dxfId="4135" priority="1984" operator="equal">
      <formula>0</formula>
    </cfRule>
    <cfRule type="cellIs" dxfId="4134" priority="1985" operator="lessThan">
      <formula>0</formula>
    </cfRule>
  </conditionalFormatting>
  <conditionalFormatting sqref="I197:L199">
    <cfRule type="cellIs" dxfId="4133" priority="1998" operator="equal">
      <formula>0</formula>
    </cfRule>
    <cfRule type="cellIs" dxfId="4132" priority="1999" operator="lessThan">
      <formula>0</formula>
    </cfRule>
  </conditionalFormatting>
  <conditionalFormatting sqref="I379:L379">
    <cfRule type="cellIs" dxfId="4131" priority="356" operator="equal">
      <formula>0</formula>
    </cfRule>
    <cfRule type="cellIs" dxfId="4130" priority="357" operator="lessThan">
      <formula>0</formula>
    </cfRule>
  </conditionalFormatting>
  <conditionalFormatting sqref="I382:L382 N382:V382">
    <cfRule type="cellIs" dxfId="4129" priority="490" operator="equal">
      <formula>0</formula>
    </cfRule>
    <cfRule type="cellIs" dxfId="4128" priority="491" operator="lessThan">
      <formula>0</formula>
    </cfRule>
  </conditionalFormatting>
  <conditionalFormatting sqref="I383:L383 I386:L387 N383:AC383 N386:AC387">
    <cfRule type="cellIs" dxfId="4127" priority="430" operator="equal">
      <formula>0</formula>
    </cfRule>
    <cfRule type="cellIs" dxfId="4126" priority="431" operator="lessThan">
      <formula>0</formula>
    </cfRule>
  </conditionalFormatting>
  <conditionalFormatting sqref="I395:L395">
    <cfRule type="cellIs" dxfId="4125" priority="403" operator="equal">
      <formula>0</formula>
    </cfRule>
    <cfRule type="cellIs" dxfId="4124" priority="404" operator="lessThan">
      <formula>0</formula>
    </cfRule>
  </conditionalFormatting>
  <conditionalFormatting sqref="J24 L24 J25:L25">
    <cfRule type="cellIs" dxfId="4123" priority="242" operator="equal">
      <formula>0</formula>
    </cfRule>
    <cfRule type="cellIs" dxfId="4122" priority="243" operator="lessThan">
      <formula>0</formula>
    </cfRule>
  </conditionalFormatting>
  <conditionalFormatting sqref="J29:J31">
    <cfRule type="cellIs" dxfId="4121" priority="2226" operator="equal">
      <formula>0</formula>
    </cfRule>
    <cfRule type="cellIs" dxfId="4120" priority="2227" operator="lessThan">
      <formula>0</formula>
    </cfRule>
  </conditionalFormatting>
  <conditionalFormatting sqref="J38">
    <cfRule type="cellIs" dxfId="4119" priority="152" operator="equal">
      <formula>0</formula>
    </cfRule>
  </conditionalFormatting>
  <conditionalFormatting sqref="J40:J49">
    <cfRule type="cellIs" dxfId="4118" priority="159" operator="equal">
      <formula>0</formula>
    </cfRule>
    <cfRule type="cellIs" dxfId="4117" priority="160" operator="lessThan">
      <formula>0</formula>
    </cfRule>
  </conditionalFormatting>
  <conditionalFormatting sqref="J52 L96:N96 Q96:AF96 N97 Q97 T97:U97 W279:AC287 K434:K438 K453">
    <cfRule type="cellIs" dxfId="4116" priority="3208" operator="equal">
      <formula>0</formula>
    </cfRule>
  </conditionalFormatting>
  <conditionalFormatting sqref="J52 L96:N96 Q96:AF96 W279:AC287 K434:K438 K453">
    <cfRule type="cellIs" dxfId="4115" priority="3209" operator="lessThan">
      <formula>0</formula>
    </cfRule>
  </conditionalFormatting>
  <conditionalFormatting sqref="J58:J63">
    <cfRule type="cellIs" dxfId="4114" priority="3141" operator="equal">
      <formula>0</formula>
    </cfRule>
  </conditionalFormatting>
  <conditionalFormatting sqref="J58:J65">
    <cfRule type="cellIs" dxfId="4113" priority="3138" operator="lessThan">
      <formula>0</formula>
    </cfRule>
  </conditionalFormatting>
  <conditionalFormatting sqref="J64:J65">
    <cfRule type="cellIs" dxfId="4112" priority="3137" operator="equal">
      <formula>0</formula>
    </cfRule>
  </conditionalFormatting>
  <conditionalFormatting sqref="J73:J75">
    <cfRule type="cellIs" dxfId="4111" priority="584" operator="equal">
      <formula>0</formula>
    </cfRule>
    <cfRule type="cellIs" dxfId="4110" priority="585" operator="lessThan">
      <formula>0</formula>
    </cfRule>
  </conditionalFormatting>
  <conditionalFormatting sqref="J86:J87">
    <cfRule type="cellIs" dxfId="4109" priority="582" operator="equal">
      <formula>0</formula>
    </cfRule>
    <cfRule type="cellIs" dxfId="4108" priority="583" operator="lessThan">
      <formula>0</formula>
    </cfRule>
  </conditionalFormatting>
  <conditionalFormatting sqref="J101:J102">
    <cfRule type="cellIs" dxfId="4107" priority="2323" operator="equal">
      <formula>0</formula>
    </cfRule>
    <cfRule type="cellIs" dxfId="4106" priority="2324" operator="lessThan">
      <formula>0</formula>
    </cfRule>
  </conditionalFormatting>
  <conditionalFormatting sqref="J119:J125">
    <cfRule type="cellIs" dxfId="4105" priority="2290" operator="equal">
      <formula>0</formula>
    </cfRule>
    <cfRule type="cellIs" dxfId="4104" priority="2291" operator="lessThan">
      <formula>0</formula>
    </cfRule>
  </conditionalFormatting>
  <conditionalFormatting sqref="J130:J133 H132:H133 AD132:XFD133">
    <cfRule type="cellIs" dxfId="4103" priority="1860" operator="equal">
      <formula>0</formula>
    </cfRule>
    <cfRule type="cellIs" dxfId="4102" priority="1861" operator="lessThan">
      <formula>0</formula>
    </cfRule>
  </conditionalFormatting>
  <conditionalFormatting sqref="J148:J152">
    <cfRule type="cellIs" dxfId="4101" priority="1836" operator="equal">
      <formula>0</formula>
    </cfRule>
    <cfRule type="cellIs" dxfId="4100" priority="1837" operator="lessThan">
      <formula>0</formula>
    </cfRule>
  </conditionalFormatting>
  <conditionalFormatting sqref="J152">
    <cfRule type="containsText" dxfId="4099" priority="1834" operator="containsText" text="OK">
      <formula>NOT(ISERROR(SEARCH("OK",J152)))</formula>
    </cfRule>
    <cfRule type="containsText" dxfId="4098" priority="1835" operator="containsText" text="ERROR">
      <formula>NOT(ISERROR(SEARCH("ERROR",J152)))</formula>
    </cfRule>
  </conditionalFormatting>
  <conditionalFormatting sqref="J154:J155">
    <cfRule type="cellIs" dxfId="4097" priority="1671" operator="equal">
      <formula>0</formula>
    </cfRule>
    <cfRule type="cellIs" dxfId="4096" priority="1672" operator="lessThan">
      <formula>0</formula>
    </cfRule>
  </conditionalFormatting>
  <conditionalFormatting sqref="J156:J158">
    <cfRule type="cellIs" dxfId="4095" priority="1814" operator="equal">
      <formula>0</formula>
    </cfRule>
    <cfRule type="cellIs" dxfId="4094" priority="1815" operator="lessThan">
      <formula>0</formula>
    </cfRule>
  </conditionalFormatting>
  <conditionalFormatting sqref="J158">
    <cfRule type="containsText" dxfId="4093" priority="1812" operator="containsText" text="OK">
      <formula>NOT(ISERROR(SEARCH("OK",J158)))</formula>
    </cfRule>
    <cfRule type="containsText" dxfId="4092" priority="1813" operator="containsText" text="ERROR">
      <formula>NOT(ISERROR(SEARCH("ERROR",J158)))</formula>
    </cfRule>
  </conditionalFormatting>
  <conditionalFormatting sqref="J175:J190">
    <cfRule type="cellIs" dxfId="4091" priority="1924" operator="equal">
      <formula>0</formula>
    </cfRule>
    <cfRule type="cellIs" dxfId="4090" priority="1925" operator="lessThan">
      <formula>0</formula>
    </cfRule>
  </conditionalFormatting>
  <conditionalFormatting sqref="J194:J195">
    <cfRule type="cellIs" dxfId="4089" priority="1972" operator="equal">
      <formula>0</formula>
    </cfRule>
    <cfRule type="cellIs" dxfId="4088" priority="1973" operator="lessThan">
      <formula>0</formula>
    </cfRule>
  </conditionalFormatting>
  <conditionalFormatting sqref="J262:J264">
    <cfRule type="cellIs" dxfId="4087" priority="578" operator="equal">
      <formula>0</formula>
    </cfRule>
    <cfRule type="cellIs" dxfId="4086" priority="579" operator="lessThan">
      <formula>0</formula>
    </cfRule>
  </conditionalFormatting>
  <conditionalFormatting sqref="J326:J330">
    <cfRule type="cellIs" dxfId="4085" priority="3019" operator="equal">
      <formula>0</formula>
    </cfRule>
    <cfRule type="cellIs" dxfId="4084" priority="3020" operator="lessThan">
      <formula>0</formula>
    </cfRule>
  </conditionalFormatting>
  <conditionalFormatting sqref="J385:J387">
    <cfRule type="cellIs" dxfId="4083" priority="408" operator="equal">
      <formula>0</formula>
    </cfRule>
    <cfRule type="cellIs" dxfId="4082" priority="409" operator="lessThan">
      <formula>0</formula>
    </cfRule>
  </conditionalFormatting>
  <conditionalFormatting sqref="J394">
    <cfRule type="cellIs" dxfId="4081" priority="384" operator="equal">
      <formula>0</formula>
    </cfRule>
  </conditionalFormatting>
  <conditionalFormatting sqref="J396:J405">
    <cfRule type="cellIs" dxfId="4080" priority="391" operator="equal">
      <formula>0</formula>
    </cfRule>
    <cfRule type="cellIs" dxfId="4079" priority="392" operator="lessThan">
      <formula>0</formula>
    </cfRule>
  </conditionalFormatting>
  <conditionalFormatting sqref="J454">
    <cfRule type="cellIs" dxfId="4078" priority="39" operator="equal">
      <formula>0</formula>
    </cfRule>
    <cfRule type="cellIs" dxfId="4077" priority="40" operator="lessThan">
      <formula>0</formula>
    </cfRule>
  </conditionalFormatting>
  <conditionalFormatting sqref="J26:L26 O26:V26">
    <cfRule type="cellIs" dxfId="4076" priority="286" operator="equal">
      <formula>0</formula>
    </cfRule>
    <cfRule type="cellIs" dxfId="4075" priority="287" operator="lessThan">
      <formula>0</formula>
    </cfRule>
  </conditionalFormatting>
  <conditionalFormatting sqref="J27:L27">
    <cfRule type="cellIs" dxfId="4074" priority="260" operator="equal">
      <formula>0</formula>
    </cfRule>
    <cfRule type="cellIs" dxfId="4073" priority="261" operator="lessThan">
      <formula>0</formula>
    </cfRule>
  </conditionalFormatting>
  <conditionalFormatting sqref="J137:L137">
    <cfRule type="cellIs" dxfId="4072" priority="2939" operator="equal">
      <formula>0</formula>
    </cfRule>
    <cfRule type="cellIs" dxfId="4071" priority="2940" operator="lessThan">
      <formula>0</formula>
    </cfRule>
  </conditionalFormatting>
  <conditionalFormatting sqref="J144:L144">
    <cfRule type="cellIs" dxfId="4070" priority="2525" operator="equal">
      <formula>0</formula>
    </cfRule>
    <cfRule type="cellIs" dxfId="4069" priority="2526" operator="lessThan">
      <formula>0</formula>
    </cfRule>
  </conditionalFormatting>
  <conditionalFormatting sqref="J160:L168">
    <cfRule type="cellIs" dxfId="4068" priority="600" operator="equal">
      <formula>0</formula>
    </cfRule>
    <cfRule type="cellIs" dxfId="4067" priority="601" operator="lessThan">
      <formula>0</formula>
    </cfRule>
  </conditionalFormatting>
  <conditionalFormatting sqref="J174:L174">
    <cfRule type="cellIs" dxfId="4066" priority="1978" operator="equal">
      <formula>0</formula>
    </cfRule>
    <cfRule type="cellIs" dxfId="4065" priority="1979" operator="lessThan">
      <formula>0</formula>
    </cfRule>
  </conditionalFormatting>
  <conditionalFormatting sqref="J196:L196">
    <cfRule type="cellIs" dxfId="4064" priority="2000" operator="equal">
      <formula>0</formula>
    </cfRule>
    <cfRule type="cellIs" dxfId="4063" priority="2001" operator="lessThan">
      <formula>0</formula>
    </cfRule>
  </conditionalFormatting>
  <conditionalFormatting sqref="J269:L272">
    <cfRule type="cellIs" dxfId="4062" priority="2539" operator="equal">
      <formula>0</formula>
    </cfRule>
    <cfRule type="cellIs" dxfId="4061" priority="2540" operator="lessThan">
      <formula>0</formula>
    </cfRule>
  </conditionalFormatting>
  <conditionalFormatting sqref="J117:AC117">
    <cfRule type="containsText" dxfId="4060" priority="1017" operator="containsText" text="OK">
      <formula>NOT(ISERROR(SEARCH("OK",J117)))</formula>
    </cfRule>
    <cfRule type="containsText" dxfId="4059" priority="1018" operator="containsText" text="ERROR">
      <formula>NOT(ISERROR(SEARCH("ERROR",J117)))</formula>
    </cfRule>
  </conditionalFormatting>
  <conditionalFormatting sqref="K12">
    <cfRule type="cellIs" dxfId="4058" priority="1487" operator="equal">
      <formula>0</formula>
    </cfRule>
    <cfRule type="cellIs" dxfId="4057" priority="1488" operator="lessThan">
      <formula>0</formula>
    </cfRule>
  </conditionalFormatting>
  <conditionalFormatting sqref="K30:K31">
    <cfRule type="cellIs" dxfId="4056" priority="2228" operator="equal">
      <formula>0</formula>
    </cfRule>
    <cfRule type="cellIs" dxfId="4055" priority="2229" operator="lessThan">
      <formula>0</formula>
    </cfRule>
  </conditionalFormatting>
  <conditionalFormatting sqref="K34">
    <cfRule type="cellIs" dxfId="4054" priority="161" operator="equal">
      <formula>0</formula>
    </cfRule>
    <cfRule type="cellIs" dxfId="4053" priority="162" operator="lessThan">
      <formula>0</formula>
    </cfRule>
  </conditionalFormatting>
  <conditionalFormatting sqref="K49">
    <cfRule type="containsText" dxfId="4052" priority="171" operator="containsText" text="Error, Not full amortized">
      <formula>NOT(ISERROR(SEARCH("Error, Not full amortized",K49)))</formula>
    </cfRule>
  </conditionalFormatting>
  <conditionalFormatting sqref="K50">
    <cfRule type="cellIs" dxfId="4051" priority="3087" operator="equal">
      <formula>0</formula>
    </cfRule>
    <cfRule type="cellIs" dxfId="4050" priority="3088" operator="lessThan">
      <formula>0</formula>
    </cfRule>
  </conditionalFormatting>
  <conditionalFormatting sqref="K77">
    <cfRule type="cellIs" dxfId="4049" priority="2897" operator="equal">
      <formula>0</formula>
    </cfRule>
    <cfRule type="cellIs" dxfId="4048" priority="2898" operator="lessThan">
      <formula>0</formula>
    </cfRule>
  </conditionalFormatting>
  <conditionalFormatting sqref="K95:K96">
    <cfRule type="cellIs" dxfId="4047" priority="3120" operator="equal">
      <formula>0</formula>
    </cfRule>
    <cfRule type="cellIs" dxfId="4046" priority="3121" operator="lessThan">
      <formula>0</formula>
    </cfRule>
  </conditionalFormatting>
  <conditionalFormatting sqref="K101">
    <cfRule type="cellIs" dxfId="4045" priority="2467" operator="equal">
      <formula>0</formula>
    </cfRule>
    <cfRule type="cellIs" dxfId="4044" priority="2468" operator="lessThan">
      <formula>0</formula>
    </cfRule>
    <cfRule type="cellIs" dxfId="4043" priority="2469" operator="equal">
      <formula>0</formula>
    </cfRule>
  </conditionalFormatting>
  <conditionalFormatting sqref="K108:K110">
    <cfRule type="containsText" dxfId="4042" priority="2294" operator="containsText" text="check">
      <formula>NOT(ISERROR(SEARCH("check",K108)))</formula>
    </cfRule>
    <cfRule type="containsText" dxfId="4041" priority="2295" operator="containsText" text="wrong">
      <formula>NOT(ISERROR(SEARCH("wrong",K108)))</formula>
    </cfRule>
    <cfRule type="containsText" dxfId="4040" priority="2296" operator="containsText" text="ok">
      <formula>NOT(ISERROR(SEARCH("ok",K108)))</formula>
    </cfRule>
    <cfRule type="cellIs" dxfId="4039" priority="2297" operator="equal">
      <formula>0</formula>
    </cfRule>
    <cfRule type="cellIs" dxfId="4038" priority="2298" operator="lessThan">
      <formula>0</formula>
    </cfRule>
    <cfRule type="containsText" dxfId="4037" priority="2299" operator="containsText" text="OK">
      <formula>NOT(ISERROR(SEARCH("OK",K108)))</formula>
    </cfRule>
    <cfRule type="containsText" dxfId="4036" priority="2300" operator="containsText" text="ERROR">
      <formula>NOT(ISERROR(SEARCH("ERROR",K108)))</formula>
    </cfRule>
    <cfRule type="containsText" dxfId="4035" priority="2303" operator="containsText" text="OK">
      <formula>NOT(ISERROR(SEARCH("OK",K108)))</formula>
    </cfRule>
    <cfRule type="containsText" dxfId="4034" priority="2304" operator="containsText" text="ERROR">
      <formula>NOT(ISERROR(SEARCH("ERROR",K108)))</formula>
    </cfRule>
  </conditionalFormatting>
  <conditionalFormatting sqref="K108:K111">
    <cfRule type="cellIs" dxfId="4033" priority="2301" operator="equal">
      <formula>0</formula>
    </cfRule>
    <cfRule type="cellIs" dxfId="4032" priority="2302" operator="lessThan">
      <formula>0</formula>
    </cfRule>
  </conditionalFormatting>
  <conditionalFormatting sqref="K124:K125">
    <cfRule type="cellIs" dxfId="4031" priority="2349" operator="equal">
      <formula>0</formula>
    </cfRule>
    <cfRule type="cellIs" dxfId="4030" priority="2350" operator="lessThan">
      <formula>0</formula>
    </cfRule>
  </conditionalFormatting>
  <conditionalFormatting sqref="K176">
    <cfRule type="cellIs" dxfId="4029" priority="1886" operator="equal">
      <formula>0</formula>
    </cfRule>
    <cfRule type="cellIs" dxfId="4028" priority="1887" operator="lessThan">
      <formula>0</formula>
    </cfRule>
  </conditionalFormatting>
  <conditionalFormatting sqref="K182:K187">
    <cfRule type="containsText" dxfId="4027" priority="1900" operator="containsText" text="OK">
      <formula>NOT(ISERROR(SEARCH("OK",K182)))</formula>
    </cfRule>
    <cfRule type="containsText" dxfId="4026" priority="1901" operator="containsText" text="ERROR">
      <formula>NOT(ISERROR(SEARCH("ERROR",K182)))</formula>
    </cfRule>
    <cfRule type="cellIs" dxfId="4025" priority="1902" operator="equal">
      <formula>0</formula>
    </cfRule>
    <cfRule type="cellIs" dxfId="4024" priority="1903" operator="lessThan">
      <formula>0</formula>
    </cfRule>
  </conditionalFormatting>
  <conditionalFormatting sqref="K192:K194">
    <cfRule type="cellIs" dxfId="4023" priority="1675" operator="equal">
      <formula>0</formula>
    </cfRule>
    <cfRule type="cellIs" dxfId="4022" priority="1676" operator="lessThan">
      <formula>0</formula>
    </cfRule>
  </conditionalFormatting>
  <conditionalFormatting sqref="K329">
    <cfRule type="cellIs" dxfId="4021" priority="3169" operator="equal">
      <formula>0</formula>
    </cfRule>
    <cfRule type="cellIs" dxfId="4020" priority="3170" operator="lessThan">
      <formula>0</formula>
    </cfRule>
  </conditionalFormatting>
  <conditionalFormatting sqref="K368">
    <cfRule type="cellIs" dxfId="4019" priority="393" operator="equal">
      <formula>0</formula>
    </cfRule>
    <cfRule type="cellIs" dxfId="4018" priority="394" operator="lessThan">
      <formula>0</formula>
    </cfRule>
  </conditionalFormatting>
  <conditionalFormatting sqref="K386:K387">
    <cfRule type="cellIs" dxfId="4017" priority="410" operator="equal">
      <formula>0</formula>
    </cfRule>
    <cfRule type="cellIs" dxfId="4016" priority="411" operator="lessThan">
      <formula>0</formula>
    </cfRule>
  </conditionalFormatting>
  <conditionalFormatting sqref="K390">
    <cfRule type="cellIs" dxfId="4015" priority="397" operator="equal">
      <formula>0</formula>
    </cfRule>
    <cfRule type="cellIs" dxfId="4014" priority="398" operator="lessThan">
      <formula>0</formula>
    </cfRule>
  </conditionalFormatting>
  <conditionalFormatting sqref="K405">
    <cfRule type="containsText" dxfId="4013" priority="407" operator="containsText" text="Error, Not full amortized">
      <formula>NOT(ISERROR(SEARCH("Error, Not full amortized",K405)))</formula>
    </cfRule>
  </conditionalFormatting>
  <conditionalFormatting sqref="K440:K444">
    <cfRule type="cellIs" dxfId="4012" priority="58" operator="equal">
      <formula>0</formula>
    </cfRule>
    <cfRule type="cellIs" dxfId="4011" priority="59" operator="lessThan">
      <formula>0</formula>
    </cfRule>
  </conditionalFormatting>
  <conditionalFormatting sqref="K447">
    <cfRule type="cellIs" dxfId="4010" priority="41" operator="equal">
      <formula>0</formula>
    </cfRule>
    <cfRule type="cellIs" dxfId="4009" priority="42" operator="lessThan">
      <formula>0</formula>
    </cfRule>
  </conditionalFormatting>
  <conditionalFormatting sqref="K8:L8">
    <cfRule type="cellIs" dxfId="4008" priority="2449" operator="equal">
      <formula>0</formula>
    </cfRule>
    <cfRule type="cellIs" dxfId="4007" priority="2450" operator="lessThan">
      <formula>0</formula>
    </cfRule>
  </conditionalFormatting>
  <conditionalFormatting sqref="K30:L30 L31">
    <cfRule type="cellIs" dxfId="4006" priority="2264" operator="equal">
      <formula>0</formula>
    </cfRule>
    <cfRule type="cellIs" dxfId="4005" priority="2265" operator="lessThan">
      <formula>0</formula>
    </cfRule>
  </conditionalFormatting>
  <conditionalFormatting sqref="K115:L116">
    <cfRule type="containsText" dxfId="4004" priority="888" operator="containsText" text="OK">
      <formula>NOT(ISERROR(SEARCH("OK",K115)))</formula>
    </cfRule>
    <cfRule type="containsText" dxfId="4003" priority="889" operator="containsText" text="ERROR">
      <formula>NOT(ISERROR(SEARCH("ERROR",K115)))</formula>
    </cfRule>
  </conditionalFormatting>
  <conditionalFormatting sqref="K118:L144">
    <cfRule type="containsText" dxfId="4002" priority="626" operator="containsText" text="OK">
      <formula>NOT(ISERROR(SEARCH("OK",K118)))</formula>
    </cfRule>
    <cfRule type="containsText" dxfId="4001" priority="627" operator="containsText" text="ERROR">
      <formula>NOT(ISERROR(SEARCH("ERROR",K118)))</formula>
    </cfRule>
  </conditionalFormatting>
  <conditionalFormatting sqref="K122:L122">
    <cfRule type="cellIs" dxfId="4000" priority="2288" operator="equal">
      <formula>0</formula>
    </cfRule>
    <cfRule type="cellIs" dxfId="3999" priority="2289" operator="lessThan">
      <formula>0</formula>
    </cfRule>
  </conditionalFormatting>
  <conditionalFormatting sqref="K133:L133">
    <cfRule type="cellIs" dxfId="3998" priority="1852" operator="equal">
      <formula>0</formula>
    </cfRule>
    <cfRule type="cellIs" dxfId="3997" priority="1853" operator="lessThan">
      <formula>0</formula>
    </cfRule>
  </conditionalFormatting>
  <conditionalFormatting sqref="K138:L143">
    <cfRule type="cellIs" dxfId="3996" priority="628" operator="equal">
      <formula>0</formula>
    </cfRule>
    <cfRule type="cellIs" dxfId="3995" priority="629" operator="lessThan">
      <formula>0</formula>
    </cfRule>
  </conditionalFormatting>
  <conditionalFormatting sqref="K149:L158">
    <cfRule type="containsText" dxfId="3994" priority="1830" operator="containsText" text="OK">
      <formula>NOT(ISERROR(SEARCH("OK",K149)))</formula>
    </cfRule>
    <cfRule type="containsText" dxfId="3993" priority="1831" operator="containsText" text="ERROR">
      <formula>NOT(ISERROR(SEARCH("ERROR",K149)))</formula>
    </cfRule>
    <cfRule type="cellIs" dxfId="3992" priority="1832" operator="equal">
      <formula>0</formula>
    </cfRule>
    <cfRule type="cellIs" dxfId="3991" priority="1833" operator="lessThan">
      <formula>0</formula>
    </cfRule>
  </conditionalFormatting>
  <conditionalFormatting sqref="K160:L171">
    <cfRule type="containsText" dxfId="3990" priority="590" operator="containsText" text="OK">
      <formula>NOT(ISERROR(SEARCH("OK",K160)))</formula>
    </cfRule>
    <cfRule type="containsText" dxfId="3989" priority="591" operator="containsText" text="ERROR">
      <formula>NOT(ISERROR(SEARCH("ERROR",K160)))</formula>
    </cfRule>
  </conditionalFormatting>
  <conditionalFormatting sqref="K169:L171">
    <cfRule type="cellIs" dxfId="3988" priority="592" operator="equal">
      <formula>0</formula>
    </cfRule>
    <cfRule type="cellIs" dxfId="3987" priority="593" operator="lessThan">
      <formula>0</formula>
    </cfRule>
  </conditionalFormatting>
  <conditionalFormatting sqref="K176:L181">
    <cfRule type="containsText" dxfId="3986" priority="1880" operator="containsText" text="OK">
      <formula>NOT(ISERROR(SEARCH("OK",K176)))</formula>
    </cfRule>
    <cfRule type="containsText" dxfId="3985" priority="1881" operator="containsText" text="ERROR">
      <formula>NOT(ISERROR(SEARCH("ERROR",K176)))</formula>
    </cfRule>
  </conditionalFormatting>
  <conditionalFormatting sqref="K188:L191">
    <cfRule type="cellIs" dxfId="3984" priority="1679" operator="equal">
      <formula>0</formula>
    </cfRule>
    <cfRule type="cellIs" dxfId="3983" priority="1680" operator="lessThan">
      <formula>0</formula>
    </cfRule>
  </conditionalFormatting>
  <conditionalFormatting sqref="K191:L195">
    <cfRule type="containsText" dxfId="3982" priority="1673" operator="containsText" text="OK">
      <formula>NOT(ISERROR(SEARCH("OK",K191)))</formula>
    </cfRule>
    <cfRule type="containsText" dxfId="3981" priority="1674" operator="containsText" text="ERROR">
      <formula>NOT(ISERROR(SEARCH("ERROR",K191)))</formula>
    </cfRule>
  </conditionalFormatting>
  <conditionalFormatting sqref="K195:L195">
    <cfRule type="cellIs" dxfId="3980" priority="1683" operator="equal">
      <formula>0</formula>
    </cfRule>
    <cfRule type="cellIs" dxfId="3979" priority="1684" operator="lessThan">
      <formula>0</formula>
    </cfRule>
  </conditionalFormatting>
  <conditionalFormatting sqref="K260:L268">
    <cfRule type="cellIs" dxfId="3978" priority="2571" operator="equal">
      <formula>0</formula>
    </cfRule>
    <cfRule type="cellIs" dxfId="3977" priority="2572" operator="lessThan">
      <formula>0</formula>
    </cfRule>
  </conditionalFormatting>
  <conditionalFormatting sqref="K386:L386 L387">
    <cfRule type="cellIs" dxfId="3976" priority="420" operator="equal">
      <formula>0</formula>
    </cfRule>
    <cfRule type="cellIs" dxfId="3975" priority="421" operator="lessThan">
      <formula>0</formula>
    </cfRule>
  </conditionalFormatting>
  <conditionalFormatting sqref="K90:AD90 K92:AD92 K93:V93">
    <cfRule type="cellIs" dxfId="3974" priority="2895" operator="equal">
      <formula>0</formula>
    </cfRule>
    <cfRule type="cellIs" dxfId="3973" priority="2896" operator="lessThan">
      <formula>0</formula>
    </cfRule>
  </conditionalFormatting>
  <conditionalFormatting sqref="L10">
    <cfRule type="cellIs" dxfId="3972" priority="884" operator="notEqual">
      <formula>"OK, SOP date entered"</formula>
    </cfRule>
    <cfRule type="cellIs" dxfId="3971" priority="885" operator="equal">
      <formula>"OK, SOP date entered"</formula>
    </cfRule>
  </conditionalFormatting>
  <conditionalFormatting sqref="L15">
    <cfRule type="cellIs" dxfId="3970" priority="3017" operator="equal">
      <formula>0</formula>
    </cfRule>
    <cfRule type="cellIs" dxfId="3969" priority="3018" operator="lessThan">
      <formula>0</formula>
    </cfRule>
  </conditionalFormatting>
  <conditionalFormatting sqref="L16:L20">
    <cfRule type="containsText" dxfId="3968" priority="300" operator="containsText" text="OK">
      <formula>NOT(ISERROR(SEARCH("OK",L16)))</formula>
    </cfRule>
    <cfRule type="containsText" dxfId="3967" priority="301" operator="containsText" text="ERROR">
      <formula>NOT(ISERROR(SEARCH("ERROR",L16)))</formula>
    </cfRule>
  </conditionalFormatting>
  <conditionalFormatting sqref="L19">
    <cfRule type="containsText" dxfId="3966" priority="298" operator="containsText" text="OK">
      <formula>NOT(ISERROR(SEARCH("OK",L19)))</formula>
    </cfRule>
    <cfRule type="containsText" dxfId="3965" priority="299" operator="containsText" text="ERROR">
      <formula>NOT(ISERROR(SEARCH("ERROR",L19)))</formula>
    </cfRule>
  </conditionalFormatting>
  <conditionalFormatting sqref="L21">
    <cfRule type="containsText" dxfId="3964" priority="84" operator="containsText" text="OK">
      <formula>NOT(ISERROR(SEARCH("OK",L21)))</formula>
    </cfRule>
    <cfRule type="containsText" dxfId="3963" priority="85" operator="containsText" text="ERROR">
      <formula>NOT(ISERROR(SEARCH("ERROR",L21)))</formula>
    </cfRule>
  </conditionalFormatting>
  <conditionalFormatting sqref="L21:L22">
    <cfRule type="containsText" dxfId="3962" priority="78" operator="containsText" text="OK">
      <formula>NOT(ISERROR(SEARCH("OK",L21)))</formula>
    </cfRule>
    <cfRule type="containsText" dxfId="3961" priority="79" operator="containsText" text="ERROR">
      <formula>NOT(ISERROR(SEARCH("ERROR",L21)))</formula>
    </cfRule>
  </conditionalFormatting>
  <conditionalFormatting sqref="L22">
    <cfRule type="containsText" dxfId="3960" priority="76" operator="containsText" text="OK">
      <formula>NOT(ISERROR(SEARCH("OK",L22)))</formula>
    </cfRule>
    <cfRule type="containsText" dxfId="3959" priority="77" operator="containsText" text="ERROR">
      <formula>NOT(ISERROR(SEARCH("ERROR",L22)))</formula>
    </cfRule>
  </conditionalFormatting>
  <conditionalFormatting sqref="L23:L25">
    <cfRule type="containsText" dxfId="3958" priority="292" operator="containsText" text="OK">
      <formula>NOT(ISERROR(SEARCH("OK",L23)))</formula>
    </cfRule>
    <cfRule type="containsText" dxfId="3957" priority="293" operator="containsText" text="ERROR">
      <formula>NOT(ISERROR(SEARCH("ERROR",L23)))</formula>
    </cfRule>
    <cfRule type="containsText" dxfId="3956" priority="294" operator="containsText" text="OK">
      <formula>NOT(ISERROR(SEARCH("OK",L23)))</formula>
    </cfRule>
    <cfRule type="containsText" dxfId="3955" priority="295" operator="containsText" text="ERROR">
      <formula>NOT(ISERROR(SEARCH("ERROR",L23)))</formula>
    </cfRule>
    <cfRule type="containsText" dxfId="3954" priority="296" operator="containsText" text="OK">
      <formula>NOT(ISERROR(SEARCH("OK",L23)))</formula>
    </cfRule>
    <cfRule type="containsText" dxfId="3953" priority="297" operator="containsText" text="ERROR">
      <formula>NOT(ISERROR(SEARCH("ERROR",L23)))</formula>
    </cfRule>
  </conditionalFormatting>
  <conditionalFormatting sqref="L23:L26">
    <cfRule type="containsText" dxfId="3952" priority="290" operator="containsText" text="OK">
      <formula>NOT(ISERROR(SEARCH("OK",L23)))</formula>
    </cfRule>
    <cfRule type="containsText" dxfId="3951" priority="291" operator="containsText" text="ERROR">
      <formula>NOT(ISERROR(SEARCH("ERROR",L23)))</formula>
    </cfRule>
  </conditionalFormatting>
  <conditionalFormatting sqref="L26">
    <cfRule type="containsText" dxfId="3950" priority="284" operator="containsText" text="OK">
      <formula>NOT(ISERROR(SEARCH("OK",L26)))</formula>
    </cfRule>
    <cfRule type="containsText" dxfId="3949" priority="285" operator="containsText" text="ERROR">
      <formula>NOT(ISERROR(SEARCH("ERROR",L26)))</formula>
    </cfRule>
  </conditionalFormatting>
  <conditionalFormatting sqref="L26:L27">
    <cfRule type="containsText" dxfId="3948" priority="264" operator="containsText" text="OK">
      <formula>NOT(ISERROR(SEARCH("OK",L26)))</formula>
    </cfRule>
    <cfRule type="containsText" dxfId="3947" priority="265" operator="containsText" text="ERROR">
      <formula>NOT(ISERROR(SEARCH("ERROR",L26)))</formula>
    </cfRule>
  </conditionalFormatting>
  <conditionalFormatting sqref="L27">
    <cfRule type="containsText" dxfId="3946" priority="254" operator="containsText" text="OK">
      <formula>NOT(ISERROR(SEARCH("OK",L27)))</formula>
    </cfRule>
    <cfRule type="containsText" dxfId="3945" priority="255" operator="containsText" text="ERROR">
      <formula>NOT(ISERROR(SEARCH("ERROR",L27)))</formula>
    </cfRule>
    <cfRule type="containsText" dxfId="3944" priority="258" operator="containsText" text="OK">
      <formula>NOT(ISERROR(SEARCH("OK",L27)))</formula>
    </cfRule>
    <cfRule type="containsText" dxfId="3943" priority="259" operator="containsText" text="ERROR">
      <formula>NOT(ISERROR(SEARCH("ERROR",L27)))</formula>
    </cfRule>
  </conditionalFormatting>
  <conditionalFormatting sqref="L30:L31">
    <cfRule type="containsText" dxfId="3942" priority="2262" operator="containsText" text="OK">
      <formula>NOT(ISERROR(SEARCH("OK",L30)))</formula>
    </cfRule>
    <cfRule type="containsText" dxfId="3941" priority="2263" operator="containsText" text="ERROR">
      <formula>NOT(ISERROR(SEARCH("ERROR",L30)))</formula>
    </cfRule>
    <cfRule type="containsText" dxfId="3940" priority="2557" operator="containsText" text="OK">
      <formula>NOT(ISERROR(SEARCH("OK",L30)))</formula>
    </cfRule>
    <cfRule type="containsText" dxfId="3939" priority="2558" operator="containsText" text="ERROR">
      <formula>NOT(ISERROR(SEARCH("ERROR",L30)))</formula>
    </cfRule>
    <cfRule type="containsText" dxfId="3938" priority="2561" operator="containsText" text="OK">
      <formula>NOT(ISERROR(SEARCH("OK",L30)))</formula>
    </cfRule>
    <cfRule type="containsText" dxfId="3937" priority="2562" operator="containsText" text="ERROR">
      <formula>NOT(ISERROR(SEARCH("ERROR",L30)))</formula>
    </cfRule>
    <cfRule type="containsText" dxfId="3936" priority="2567" operator="containsText" text="OK">
      <formula>NOT(ISERROR(SEARCH("OK",L30)))</formula>
    </cfRule>
    <cfRule type="containsText" dxfId="3935" priority="2568" operator="containsText" text="ERROR">
      <formula>NOT(ISERROR(SEARCH("ERROR",L30)))</formula>
    </cfRule>
  </conditionalFormatting>
  <conditionalFormatting sqref="L35">
    <cfRule type="cellIs" dxfId="3934" priority="220" operator="equal">
      <formula>0</formula>
    </cfRule>
    <cfRule type="cellIs" dxfId="3933" priority="221" operator="lessThan">
      <formula>0</formula>
    </cfRule>
    <cfRule type="containsText" dxfId="3932" priority="222" operator="containsText" text="OK">
      <formula>NOT(ISERROR(SEARCH("OK",L35)))</formula>
    </cfRule>
    <cfRule type="containsText" dxfId="3931" priority="223" operator="containsText" text="ERROR">
      <formula>NOT(ISERROR(SEARCH("ERROR",L35)))</formula>
    </cfRule>
  </conditionalFormatting>
  <conditionalFormatting sqref="L37 N37:V37 H37:J37">
    <cfRule type="cellIs" dxfId="3930" priority="214" operator="equal">
      <formula>0</formula>
    </cfRule>
    <cfRule type="cellIs" dxfId="3929" priority="215" operator="lessThan">
      <formula>0</formula>
    </cfRule>
  </conditionalFormatting>
  <conditionalFormatting sqref="L37 N37:V37">
    <cfRule type="containsText" dxfId="3928" priority="213" operator="containsText" text="ERROR">
      <formula>NOT(ISERROR(SEARCH("ERROR",L37)))</formula>
    </cfRule>
  </conditionalFormatting>
  <conditionalFormatting sqref="L37:L38">
    <cfRule type="cellIs" dxfId="3927" priority="150" operator="equal">
      <formula>0</formula>
    </cfRule>
    <cfRule type="cellIs" dxfId="3926" priority="151" operator="lessThan">
      <formula>0</formula>
    </cfRule>
  </conditionalFormatting>
  <conditionalFormatting sqref="L37:L39">
    <cfRule type="containsText" dxfId="3925" priority="148" operator="containsText" text="OK">
      <formula>NOT(ISERROR(SEARCH("OK",L37)))</formula>
    </cfRule>
    <cfRule type="containsText" dxfId="3924" priority="149" operator="containsText" text="ERROR">
      <formula>NOT(ISERROR(SEARCH("ERROR",L37)))</formula>
    </cfRule>
  </conditionalFormatting>
  <conditionalFormatting sqref="L39:L40">
    <cfRule type="containsText" dxfId="3923" priority="169" operator="containsText" text="OK">
      <formula>NOT(ISERROR(SEARCH("OK",L39)))</formula>
    </cfRule>
    <cfRule type="containsText" dxfId="3922" priority="170" operator="containsText" text="ERROR">
      <formula>NOT(ISERROR(SEARCH("ERROR",L39)))</formula>
    </cfRule>
  </conditionalFormatting>
  <conditionalFormatting sqref="L40">
    <cfRule type="cellIs" dxfId="3921" priority="208" operator="equal">
      <formula>0</formula>
    </cfRule>
    <cfRule type="cellIs" dxfId="3920" priority="209" operator="lessThan">
      <formula>0</formula>
    </cfRule>
  </conditionalFormatting>
  <conditionalFormatting sqref="L41:L48">
    <cfRule type="cellIs" dxfId="3919" priority="157" operator="equal">
      <formula>0</formula>
    </cfRule>
    <cfRule type="cellIs" dxfId="3918" priority="158" operator="lessThan">
      <formula>0</formula>
    </cfRule>
  </conditionalFormatting>
  <conditionalFormatting sqref="L41:L49">
    <cfRule type="containsText" dxfId="3917" priority="155" operator="containsText" text="OK">
      <formula>NOT(ISERROR(SEARCH("OK",L41)))</formula>
    </cfRule>
    <cfRule type="containsText" dxfId="3916" priority="156" operator="containsText" text="ERROR">
      <formula>NOT(ISERROR(SEARCH("ERROR",L41)))</formula>
    </cfRule>
  </conditionalFormatting>
  <conditionalFormatting sqref="L53:L61">
    <cfRule type="cellIs" dxfId="3915" priority="2879" operator="equal">
      <formula>0</formula>
    </cfRule>
  </conditionalFormatting>
  <conditionalFormatting sqref="L53:L62">
    <cfRule type="containsText" dxfId="3914" priority="2877" operator="containsText" text="OK">
      <formula>NOT(ISERROR(SEARCH("OK",L53)))</formula>
    </cfRule>
    <cfRule type="containsText" dxfId="3913" priority="2878" operator="containsText" text="ERROR">
      <formula>NOT(ISERROR(SEARCH("ERROR",L53)))</formula>
    </cfRule>
  </conditionalFormatting>
  <conditionalFormatting sqref="L53:L64">
    <cfRule type="cellIs" dxfId="3912" priority="2880" operator="lessThan">
      <formula>0</formula>
    </cfRule>
  </conditionalFormatting>
  <conditionalFormatting sqref="L62:L65">
    <cfRule type="cellIs" dxfId="3911" priority="3080" operator="equal">
      <formula>0</formula>
    </cfRule>
  </conditionalFormatting>
  <conditionalFormatting sqref="L63:L64">
    <cfRule type="containsText" dxfId="3910" priority="3085" operator="containsText" text="OK">
      <formula>NOT(ISERROR(SEARCH("OK",L63)))</formula>
    </cfRule>
    <cfRule type="containsText" dxfId="3909" priority="3086" operator="containsText" text="ERROR">
      <formula>NOT(ISERROR(SEARCH("ERROR",L63)))</formula>
    </cfRule>
  </conditionalFormatting>
  <conditionalFormatting sqref="L65">
    <cfRule type="containsText" dxfId="3908" priority="3078" operator="containsText" text="OK">
      <formula>NOT(ISERROR(SEARCH("OK",L65)))</formula>
    </cfRule>
    <cfRule type="containsText" dxfId="3907" priority="3079" operator="containsText" text="ERROR">
      <formula>NOT(ISERROR(SEARCH("ERROR",L65)))</formula>
    </cfRule>
  </conditionalFormatting>
  <conditionalFormatting sqref="L69:L75">
    <cfRule type="cellIs" dxfId="3906" priority="819" operator="equal">
      <formula>0</formula>
    </cfRule>
    <cfRule type="cellIs" dxfId="3905" priority="820" operator="lessThan">
      <formula>0</formula>
    </cfRule>
  </conditionalFormatting>
  <conditionalFormatting sqref="L86">
    <cfRule type="containsText" dxfId="3904" priority="881" operator="containsText" text="Error, Not Fully Recovered">
      <formula>NOT(ISERROR(SEARCH("Error, Not Fully Recovered",L86)))</formula>
    </cfRule>
  </conditionalFormatting>
  <conditionalFormatting sqref="L94:L95">
    <cfRule type="containsText" dxfId="3903" priority="138" operator="containsText" text="check">
      <formula>NOT(ISERROR(SEARCH("check",L94)))</formula>
    </cfRule>
    <cfRule type="containsText" dxfId="3902" priority="139" operator="containsText" text="wrong">
      <formula>NOT(ISERROR(SEARCH("wrong",L94)))</formula>
    </cfRule>
    <cfRule type="containsText" dxfId="3901" priority="140" operator="containsText" text="ok">
      <formula>NOT(ISERROR(SEARCH("ok",L94)))</formula>
    </cfRule>
    <cfRule type="cellIs" dxfId="3900" priority="141" operator="equal">
      <formula>0</formula>
    </cfRule>
    <cfRule type="cellIs" dxfId="3899" priority="142" operator="lessThan">
      <formula>0</formula>
    </cfRule>
    <cfRule type="containsText" dxfId="3898" priority="143" operator="containsText" text="OK">
      <formula>NOT(ISERROR(SEARCH("OK",L94)))</formula>
    </cfRule>
    <cfRule type="containsText" dxfId="3897" priority="144" operator="containsText" text="ERROR">
      <formula>NOT(ISERROR(SEARCH("ERROR",L94)))</formula>
    </cfRule>
  </conditionalFormatting>
  <conditionalFormatting sqref="L98 L100 L102:L104">
    <cfRule type="containsText" dxfId="3896" priority="3067" operator="containsText" text="check">
      <formula>NOT(ISERROR(SEARCH("check",L98)))</formula>
    </cfRule>
    <cfRule type="containsText" dxfId="3895" priority="3175" operator="containsText" text="wrong">
      <formula>NOT(ISERROR(SEARCH("wrong",L98)))</formula>
    </cfRule>
    <cfRule type="containsText" dxfId="3894" priority="3176" operator="containsText" text="ok">
      <formula>NOT(ISERROR(SEARCH("ok",L98)))</formula>
    </cfRule>
  </conditionalFormatting>
  <conditionalFormatting sqref="L98">
    <cfRule type="cellIs" dxfId="3893" priority="3068" operator="equal">
      <formula>0</formula>
    </cfRule>
    <cfRule type="cellIs" dxfId="3892" priority="3069" operator="lessThan">
      <formula>0</formula>
    </cfRule>
    <cfRule type="cellIs" dxfId="3891" priority="3074" operator="equal">
      <formula>0</formula>
    </cfRule>
  </conditionalFormatting>
  <conditionalFormatting sqref="L99">
    <cfRule type="cellIs" dxfId="3890" priority="1019" operator="equal">
      <formula>0</formula>
    </cfRule>
    <cfRule type="cellIs" dxfId="3889" priority="1020" operator="lessThan">
      <formula>0</formula>
    </cfRule>
    <cfRule type="containsText" dxfId="3888" priority="1021" operator="containsText" text="OK">
      <formula>NOT(ISERROR(SEARCH("OK",L99)))</formula>
    </cfRule>
    <cfRule type="containsText" dxfId="3887" priority="1022" operator="containsText" text="ERROR">
      <formula>NOT(ISERROR(SEARCH("ERROR",L99)))</formula>
    </cfRule>
    <cfRule type="containsText" dxfId="3886" priority="1023" operator="containsText" text="OK">
      <formula>NOT(ISERROR(SEARCH("OK",L99)))</formula>
    </cfRule>
    <cfRule type="containsText" dxfId="3885" priority="1024" operator="containsText" text="ERROR">
      <formula>NOT(ISERROR(SEARCH("ERROR",L99)))</formula>
    </cfRule>
    <cfRule type="cellIs" dxfId="3884" priority="1025" operator="equal">
      <formula>0</formula>
    </cfRule>
    <cfRule type="cellIs" dxfId="3883" priority="1026" operator="lessThan">
      <formula>0</formula>
    </cfRule>
  </conditionalFormatting>
  <conditionalFormatting sqref="L100 L102:L104 N97:O97 Q97:R97 T97:V97 N99:V99">
    <cfRule type="cellIs" dxfId="3882" priority="3197" operator="lessThan">
      <formula>0</formula>
    </cfRule>
  </conditionalFormatting>
  <conditionalFormatting sqref="L100 L102:L104 N103:AC103 N97:O97 Q97:R97 V97 N99:V99">
    <cfRule type="cellIs" dxfId="3881" priority="3196" operator="equal">
      <formula>0</formula>
    </cfRule>
  </conditionalFormatting>
  <conditionalFormatting sqref="L101">
    <cfRule type="containsText" dxfId="3880" priority="2002" operator="containsText" text="Error, must fully repay">
      <formula>NOT(ISERROR(SEARCH("Error, must fully repay",L101)))</formula>
    </cfRule>
  </conditionalFormatting>
  <conditionalFormatting sqref="L118">
    <cfRule type="cellIs" dxfId="3879" priority="2947" operator="equal">
      <formula>0</formula>
    </cfRule>
    <cfRule type="cellIs" dxfId="3878" priority="2948" operator="lessThan">
      <formula>0</formula>
    </cfRule>
  </conditionalFormatting>
  <conditionalFormatting sqref="L125">
    <cfRule type="cellIs" dxfId="3877" priority="2345" operator="equal">
      <formula>0</formula>
    </cfRule>
    <cfRule type="cellIs" dxfId="3876" priority="2346" operator="lessThan">
      <formula>0</formula>
    </cfRule>
  </conditionalFormatting>
  <conditionalFormatting sqref="L175:L176">
    <cfRule type="cellIs" dxfId="3875" priority="1882" operator="equal">
      <formula>0</formula>
    </cfRule>
    <cfRule type="cellIs" dxfId="3874" priority="1883" operator="lessThan">
      <formula>0</formula>
    </cfRule>
  </conditionalFormatting>
  <conditionalFormatting sqref="L182">
    <cfRule type="containsText" dxfId="3873" priority="1892" operator="containsText" text="OK">
      <formula>NOT(ISERROR(SEARCH("OK",L182)))</formula>
    </cfRule>
    <cfRule type="containsText" dxfId="3872" priority="1893" operator="containsText" text="ERROR">
      <formula>NOT(ISERROR(SEARCH("ERROR",L182)))</formula>
    </cfRule>
  </conditionalFormatting>
  <conditionalFormatting sqref="L182:L187">
    <cfRule type="cellIs" dxfId="3871" priority="1894" operator="equal">
      <formula>0</formula>
    </cfRule>
    <cfRule type="cellIs" dxfId="3870" priority="1895" operator="lessThan">
      <formula>0</formula>
    </cfRule>
  </conditionalFormatting>
  <conditionalFormatting sqref="L225:L240">
    <cfRule type="cellIs" dxfId="3869" priority="757" operator="equal">
      <formula>0</formula>
    </cfRule>
    <cfRule type="cellIs" dxfId="3868" priority="758" operator="lessThan">
      <formula>0</formula>
    </cfRule>
  </conditionalFormatting>
  <conditionalFormatting sqref="L326">
    <cfRule type="cellIs" dxfId="3867" priority="3039" operator="equal">
      <formula>0</formula>
    </cfRule>
  </conditionalFormatting>
  <conditionalFormatting sqref="L326:L327">
    <cfRule type="cellIs" dxfId="3866" priority="3040" operator="lessThan">
      <formula>0</formula>
    </cfRule>
  </conditionalFormatting>
  <conditionalFormatting sqref="L327">
    <cfRule type="cellIs" dxfId="3865" priority="3041" operator="equal">
      <formula>0</formula>
    </cfRule>
  </conditionalFormatting>
  <conditionalFormatting sqref="L329">
    <cfRule type="cellIs" dxfId="3864" priority="3035" operator="equal">
      <formula>0</formula>
    </cfRule>
  </conditionalFormatting>
  <conditionalFormatting sqref="L329:L330">
    <cfRule type="cellIs" dxfId="3863" priority="3036" operator="lessThan">
      <formula>0</formula>
    </cfRule>
  </conditionalFormatting>
  <conditionalFormatting sqref="L330">
    <cfRule type="cellIs" dxfId="3862" priority="3037" operator="equal">
      <formula>0</formula>
    </cfRule>
  </conditionalFormatting>
  <conditionalFormatting sqref="L333:L335">
    <cfRule type="cellIs" dxfId="3861" priority="3193" operator="lessThan">
      <formula>0</formula>
    </cfRule>
    <cfRule type="cellIs" dxfId="3860" priority="3194" operator="equal">
      <formula>0</formula>
    </cfRule>
    <cfRule type="cellIs" dxfId="3859" priority="3195" operator="lessThan">
      <formula>0</formula>
    </cfRule>
  </conditionalFormatting>
  <conditionalFormatting sqref="L371">
    <cfRule type="cellIs" dxfId="3858" priority="504" operator="equal">
      <formula>0</formula>
    </cfRule>
    <cfRule type="cellIs" dxfId="3857" priority="505" operator="lessThan">
      <formula>0</formula>
    </cfRule>
  </conditionalFormatting>
  <conditionalFormatting sqref="L375">
    <cfRule type="containsText" dxfId="3856" priority="524" operator="containsText" text="OK">
      <formula>NOT(ISERROR(SEARCH("OK",L375)))</formula>
    </cfRule>
    <cfRule type="containsText" dxfId="3855" priority="525" operator="containsText" text="ERROR">
      <formula>NOT(ISERROR(SEARCH("ERROR",L375)))</formula>
    </cfRule>
  </conditionalFormatting>
  <conditionalFormatting sqref="L377">
    <cfRule type="containsText" dxfId="3854" priority="62" operator="containsText" text="OK">
      <formula>NOT(ISERROR(SEARCH("OK",L377)))</formula>
    </cfRule>
    <cfRule type="containsText" dxfId="3853" priority="63" operator="containsText" text="ERROR">
      <formula>NOT(ISERROR(SEARCH("ERROR",L377)))</formula>
    </cfRule>
  </conditionalFormatting>
  <conditionalFormatting sqref="L377:L378">
    <cfRule type="containsText" dxfId="3852" priority="68" operator="containsText" text="OK">
      <formula>NOT(ISERROR(SEARCH("OK",L377)))</formula>
    </cfRule>
    <cfRule type="containsText" dxfId="3851" priority="69" operator="containsText" text="ERROR">
      <formula>NOT(ISERROR(SEARCH("ERROR",L377)))</formula>
    </cfRule>
  </conditionalFormatting>
  <conditionalFormatting sqref="L378">
    <cfRule type="containsText" dxfId="3850" priority="374" operator="containsText" text="OK">
      <formula>NOT(ISERROR(SEARCH("OK",L378)))</formula>
    </cfRule>
    <cfRule type="containsText" dxfId="3849" priority="375" operator="containsText" text="ERROR">
      <formula>NOT(ISERROR(SEARCH("ERROR",L378)))</formula>
    </cfRule>
  </conditionalFormatting>
  <conditionalFormatting sqref="L379:L381">
    <cfRule type="containsText" dxfId="3848" priority="496" operator="containsText" text="OK">
      <formula>NOT(ISERROR(SEARCH("OK",L379)))</formula>
    </cfRule>
    <cfRule type="containsText" dxfId="3847" priority="497" operator="containsText" text="ERROR">
      <formula>NOT(ISERROR(SEARCH("ERROR",L379)))</formula>
    </cfRule>
    <cfRule type="containsText" dxfId="3846" priority="498" operator="containsText" text="OK">
      <formula>NOT(ISERROR(SEARCH("OK",L379)))</formula>
    </cfRule>
    <cfRule type="containsText" dxfId="3845" priority="499" operator="containsText" text="ERROR">
      <formula>NOT(ISERROR(SEARCH("ERROR",L379)))</formula>
    </cfRule>
    <cfRule type="containsText" dxfId="3844" priority="500" operator="containsText" text="OK">
      <formula>NOT(ISERROR(SEARCH("OK",L379)))</formula>
    </cfRule>
    <cfRule type="containsText" dxfId="3843" priority="501" operator="containsText" text="ERROR">
      <formula>NOT(ISERROR(SEARCH("ERROR",L379)))</formula>
    </cfRule>
  </conditionalFormatting>
  <conditionalFormatting sqref="L379:L382">
    <cfRule type="containsText" dxfId="3842" priority="494" operator="containsText" text="OK">
      <formula>NOT(ISERROR(SEARCH("OK",L379)))</formula>
    </cfRule>
    <cfRule type="containsText" dxfId="3841" priority="495" operator="containsText" text="ERROR">
      <formula>NOT(ISERROR(SEARCH("ERROR",L379)))</formula>
    </cfRule>
  </conditionalFormatting>
  <conditionalFormatting sqref="L382">
    <cfRule type="containsText" dxfId="3840" priority="488" operator="containsText" text="OK">
      <formula>NOT(ISERROR(SEARCH("OK",L382)))</formula>
    </cfRule>
    <cfRule type="containsText" dxfId="3839" priority="489" operator="containsText" text="ERROR">
      <formula>NOT(ISERROR(SEARCH("ERROR",L382)))</formula>
    </cfRule>
  </conditionalFormatting>
  <conditionalFormatting sqref="L382:L383 L386:L387">
    <cfRule type="containsText" dxfId="3838" priority="434" operator="containsText" text="OK">
      <formula>NOT(ISERROR(SEARCH("OK",L382)))</formula>
    </cfRule>
    <cfRule type="containsText" dxfId="3837" priority="435" operator="containsText" text="ERROR">
      <formula>NOT(ISERROR(SEARCH("ERROR",L382)))</formula>
    </cfRule>
  </conditionalFormatting>
  <conditionalFormatting sqref="L383 L386:L387">
    <cfRule type="containsText" dxfId="3836" priority="425" operator="containsText" text="ERROR">
      <formula>NOT(ISERROR(SEARCH("ERROR",L383)))</formula>
    </cfRule>
    <cfRule type="containsText" dxfId="3835" priority="428" operator="containsText" text="OK">
      <formula>NOT(ISERROR(SEARCH("OK",L383)))</formula>
    </cfRule>
    <cfRule type="containsText" dxfId="3834" priority="429" operator="containsText" text="ERROR">
      <formula>NOT(ISERROR(SEARCH("ERROR",L383)))</formula>
    </cfRule>
  </conditionalFormatting>
  <conditionalFormatting sqref="L386:L387 L383">
    <cfRule type="containsText" dxfId="3833" priority="424" operator="containsText" text="OK">
      <formula>NOT(ISERROR(SEARCH("OK",L383)))</formula>
    </cfRule>
  </conditionalFormatting>
  <conditionalFormatting sqref="L386:L387">
    <cfRule type="containsText" dxfId="3832" priority="418" operator="containsText" text="OK">
      <formula>NOT(ISERROR(SEARCH("OK",L386)))</formula>
    </cfRule>
    <cfRule type="containsText" dxfId="3831" priority="419" operator="containsText" text="ERROR">
      <formula>NOT(ISERROR(SEARCH("ERROR",L386)))</formula>
    </cfRule>
  </conditionalFormatting>
  <conditionalFormatting sqref="L391">
    <cfRule type="cellIs" dxfId="3830" priority="520" operator="equal">
      <formula>0</formula>
    </cfRule>
    <cfRule type="cellIs" dxfId="3829" priority="521" operator="lessThan">
      <formula>0</formula>
    </cfRule>
    <cfRule type="containsText" dxfId="3828" priority="522" operator="containsText" text="OK">
      <formula>NOT(ISERROR(SEARCH("OK",L391)))</formula>
    </cfRule>
    <cfRule type="containsText" dxfId="3827" priority="523" operator="containsText" text="ERROR">
      <formula>NOT(ISERROR(SEARCH("ERROR",L391)))</formula>
    </cfRule>
  </conditionalFormatting>
  <conditionalFormatting sqref="L393 N393:V393 I393:J393">
    <cfRule type="cellIs" dxfId="3826" priority="510" operator="equal">
      <formula>0</formula>
    </cfRule>
  </conditionalFormatting>
  <conditionalFormatting sqref="L393 N393:V393">
    <cfRule type="containsText" dxfId="3825" priority="509" operator="containsText" text="ERROR">
      <formula>NOT(ISERROR(SEARCH("ERROR",L393)))</formula>
    </cfRule>
    <cfRule type="cellIs" dxfId="3824" priority="511" operator="lessThan">
      <formula>0</formula>
    </cfRule>
  </conditionalFormatting>
  <conditionalFormatting sqref="L393:L394">
    <cfRule type="cellIs" dxfId="3823" priority="382" operator="equal">
      <formula>0</formula>
    </cfRule>
    <cfRule type="cellIs" dxfId="3822" priority="383" operator="lessThan">
      <formula>0</formula>
    </cfRule>
  </conditionalFormatting>
  <conditionalFormatting sqref="L393:L395">
    <cfRule type="containsText" dxfId="3821" priority="380" operator="containsText" text="OK">
      <formula>NOT(ISERROR(SEARCH("OK",L393)))</formula>
    </cfRule>
    <cfRule type="containsText" dxfId="3820" priority="381" operator="containsText" text="ERROR">
      <formula>NOT(ISERROR(SEARCH("ERROR",L393)))</formula>
    </cfRule>
  </conditionalFormatting>
  <conditionalFormatting sqref="L395:L396">
    <cfRule type="containsText" dxfId="3819" priority="405" operator="containsText" text="OK">
      <formula>NOT(ISERROR(SEARCH("OK",L395)))</formula>
    </cfRule>
    <cfRule type="containsText" dxfId="3818" priority="406" operator="containsText" text="ERROR">
      <formula>NOT(ISERROR(SEARCH("ERROR",L395)))</formula>
    </cfRule>
  </conditionalFormatting>
  <conditionalFormatting sqref="L396">
    <cfRule type="cellIs" dxfId="3817" priority="502" operator="equal">
      <formula>0</formula>
    </cfRule>
    <cfRule type="cellIs" dxfId="3816" priority="503" operator="lessThan">
      <formula>0</formula>
    </cfRule>
  </conditionalFormatting>
  <conditionalFormatting sqref="L397:L404">
    <cfRule type="cellIs" dxfId="3815" priority="389" operator="equal">
      <formula>0</formula>
    </cfRule>
    <cfRule type="cellIs" dxfId="3814" priority="390" operator="lessThan">
      <formula>0</formula>
    </cfRule>
  </conditionalFormatting>
  <conditionalFormatting sqref="L397:L405">
    <cfRule type="containsText" dxfId="3813" priority="387" operator="containsText" text="OK">
      <formula>NOT(ISERROR(SEARCH("OK",L397)))</formula>
    </cfRule>
    <cfRule type="containsText" dxfId="3812" priority="388" operator="containsText" text="ERROR">
      <formula>NOT(ISERROR(SEARCH("ERROR",L397)))</formula>
    </cfRule>
  </conditionalFormatting>
  <conditionalFormatting sqref="N15">
    <cfRule type="cellIs" dxfId="3811" priority="3049" operator="equal">
      <formula>0</formula>
    </cfRule>
    <cfRule type="cellIs" dxfId="3810" priority="3050" operator="lessThan">
      <formula>0</formula>
    </cfRule>
    <cfRule type="containsText" dxfId="3809" priority="3051" operator="containsText" text="OK">
      <formula>NOT(ISERROR(SEARCH("OK",N15)))</formula>
    </cfRule>
    <cfRule type="containsText" dxfId="3808" priority="3052" operator="containsText" text="ERROR">
      <formula>NOT(ISERROR(SEARCH("ERROR",N15)))</formula>
    </cfRule>
  </conditionalFormatting>
  <conditionalFormatting sqref="N26">
    <cfRule type="cellIs" dxfId="3807" priority="13" operator="equal">
      <formula>0</formula>
    </cfRule>
    <cfRule type="cellIs" dxfId="3806" priority="14" operator="lessThan">
      <formula>0</formula>
    </cfRule>
    <cfRule type="containsText" dxfId="3805" priority="15" operator="containsText" text="OK">
      <formula>NOT(ISERROR(SEARCH("OK",N26)))</formula>
    </cfRule>
    <cfRule type="containsText" dxfId="3804" priority="16" operator="containsText" text="ERROR">
      <formula>NOT(ISERROR(SEARCH("ERROR",N26)))</formula>
    </cfRule>
  </conditionalFormatting>
  <conditionalFormatting sqref="N26:N27">
    <cfRule type="containsText" dxfId="3803" priority="9" operator="containsText" text="OK">
      <formula>NOT(ISERROR(SEARCH("OK",N26)))</formula>
    </cfRule>
    <cfRule type="containsText" dxfId="3802" priority="10" operator="containsText" text="ERROR">
      <formula>NOT(ISERROR(SEARCH("ERROR",N26)))</formula>
    </cfRule>
  </conditionalFormatting>
  <conditionalFormatting sqref="N78">
    <cfRule type="cellIs" dxfId="3801" priority="731" operator="equal">
      <formula>0</formula>
    </cfRule>
    <cfRule type="cellIs" dxfId="3800" priority="732" operator="lessThan">
      <formula>0</formula>
    </cfRule>
  </conditionalFormatting>
  <conditionalFormatting sqref="N326:N329">
    <cfRule type="cellIs" dxfId="3799" priority="306" operator="equal">
      <formula>0</formula>
    </cfRule>
    <cfRule type="cellIs" dxfId="3798" priority="307" operator="lessThan">
      <formula>0</formula>
    </cfRule>
  </conditionalFormatting>
  <conditionalFormatting sqref="N363:N364">
    <cfRule type="cellIs" dxfId="3797" priority="344" operator="equal">
      <formula>0</formula>
    </cfRule>
    <cfRule type="cellIs" dxfId="3796" priority="345" operator="lessThan">
      <formula>0</formula>
    </cfRule>
    <cfRule type="containsText" dxfId="3795" priority="346" operator="containsText" text="OK">
      <formula>NOT(ISERROR(SEARCH("OK",N363)))</formula>
    </cfRule>
    <cfRule type="containsText" dxfId="3794" priority="347" operator="containsText" text="ERROR">
      <formula>NOT(ISERROR(SEARCH("ERROR",N363)))</formula>
    </cfRule>
    <cfRule type="containsText" dxfId="3793" priority="348" operator="containsText" text="OK">
      <formula>NOT(ISERROR(SEARCH("OK",N363)))</formula>
    </cfRule>
    <cfRule type="containsText" dxfId="3792" priority="349" operator="containsText" text="ERROR">
      <formula>NOT(ISERROR(SEARCH("ERROR",N363)))</formula>
    </cfRule>
  </conditionalFormatting>
  <conditionalFormatting sqref="N371">
    <cfRule type="cellIs" dxfId="3791" priority="516" operator="equal">
      <formula>0</formula>
    </cfRule>
    <cfRule type="cellIs" dxfId="3790" priority="517" operator="lessThan">
      <formula>0</formula>
    </cfRule>
    <cfRule type="containsText" dxfId="3789" priority="518" operator="containsText" text="OK">
      <formula>NOT(ISERROR(SEARCH("OK",N371)))</formula>
    </cfRule>
    <cfRule type="containsText" dxfId="3788" priority="519" operator="containsText" text="ERROR">
      <formula>NOT(ISERROR(SEARCH("ERROR",N371)))</formula>
    </cfRule>
  </conditionalFormatting>
  <conditionalFormatting sqref="N78:O78">
    <cfRule type="cellIs" dxfId="3787" priority="711" operator="equal">
      <formula>0</formula>
    </cfRule>
    <cfRule type="containsText" dxfId="3786" priority="713" operator="containsText" text="OK">
      <formula>NOT(ISERROR(SEARCH("OK",N78)))</formula>
    </cfRule>
    <cfRule type="containsText" dxfId="3785" priority="714" operator="containsText" text="ERROR">
      <formula>NOT(ISERROR(SEARCH("ERROR",N78)))</formula>
    </cfRule>
  </conditionalFormatting>
  <conditionalFormatting sqref="N79:O79">
    <cfRule type="containsText" dxfId="3784" priority="1207" operator="containsText" text="OK">
      <formula>NOT(ISERROR(SEARCH("OK",N79)))</formula>
    </cfRule>
    <cfRule type="containsText" dxfId="3783" priority="1208" operator="containsText" text="ERROR">
      <formula>NOT(ISERROR(SEARCH("ERROR",N79)))</formula>
    </cfRule>
    <cfRule type="cellIs" dxfId="3782" priority="1209" operator="equal">
      <formula>0</formula>
    </cfRule>
    <cfRule type="cellIs" dxfId="3781" priority="1210" operator="lessThan">
      <formula>0</formula>
    </cfRule>
  </conditionalFormatting>
  <conditionalFormatting sqref="N81:O81">
    <cfRule type="containsText" dxfId="3780" priority="972" operator="containsText" text="OK">
      <formula>NOT(ISERROR(SEARCH("OK",N81)))</formula>
    </cfRule>
    <cfRule type="containsText" dxfId="3779" priority="973" operator="containsText" text="ERROR">
      <formula>NOT(ISERROR(SEARCH("ERROR",N81)))</formula>
    </cfRule>
    <cfRule type="cellIs" dxfId="3778" priority="974" operator="equal">
      <formula>0</formula>
    </cfRule>
    <cfRule type="cellIs" dxfId="3777" priority="975" operator="lessThan">
      <formula>0</formula>
    </cfRule>
  </conditionalFormatting>
  <conditionalFormatting sqref="N82:O84">
    <cfRule type="cellIs" dxfId="3776" priority="950" operator="equal">
      <formula>0</formula>
    </cfRule>
    <cfRule type="cellIs" dxfId="3775" priority="951" operator="lessThan">
      <formula>0</formula>
    </cfRule>
  </conditionalFormatting>
  <conditionalFormatting sqref="N85:O85">
    <cfRule type="containsText" dxfId="3774" priority="1183" operator="containsText" text="OK">
      <formula>NOT(ISERROR(SEARCH("OK",N85)))</formula>
    </cfRule>
    <cfRule type="containsText" dxfId="3773" priority="1184" operator="containsText" text="ERROR">
      <formula>NOT(ISERROR(SEARCH("ERROR",N85)))</formula>
    </cfRule>
    <cfRule type="cellIs" dxfId="3772" priority="1185" operator="equal">
      <formula>0</formula>
    </cfRule>
    <cfRule type="cellIs" dxfId="3771" priority="1186" operator="lessThan">
      <formula>0</formula>
    </cfRule>
  </conditionalFormatting>
  <conditionalFormatting sqref="N88:O88">
    <cfRule type="containsText" dxfId="3770" priority="1159" operator="containsText" text="OK">
      <formula>NOT(ISERROR(SEARCH("OK",N88)))</formula>
    </cfRule>
    <cfRule type="containsText" dxfId="3769" priority="1160" operator="containsText" text="ERROR">
      <formula>NOT(ISERROR(SEARCH("ERROR",N88)))</formula>
    </cfRule>
    <cfRule type="cellIs" dxfId="3768" priority="1161" operator="equal">
      <formula>0</formula>
    </cfRule>
    <cfRule type="cellIs" dxfId="3767" priority="1162" operator="lessThan">
      <formula>0</formula>
    </cfRule>
  </conditionalFormatting>
  <conditionalFormatting sqref="N89:O89">
    <cfRule type="cellIs" dxfId="3766" priority="1137" operator="equal">
      <formula>0</formula>
    </cfRule>
    <cfRule type="cellIs" dxfId="3765" priority="1138" operator="lessThan">
      <formula>0</formula>
    </cfRule>
  </conditionalFormatting>
  <conditionalFormatting sqref="N95:O95">
    <cfRule type="containsText" dxfId="3764" priority="1111" operator="containsText" text="OK">
      <formula>NOT(ISERROR(SEARCH("OK",N95)))</formula>
    </cfRule>
    <cfRule type="containsText" dxfId="3763" priority="1112" operator="containsText" text="ERROR">
      <formula>NOT(ISERROR(SEARCH("ERROR",N95)))</formula>
    </cfRule>
    <cfRule type="cellIs" dxfId="3762" priority="1113" operator="equal">
      <formula>0</formula>
    </cfRule>
    <cfRule type="cellIs" dxfId="3761" priority="1114" operator="lessThan">
      <formula>0</formula>
    </cfRule>
  </conditionalFormatting>
  <conditionalFormatting sqref="N97:O97 Q97:R97 V97 N99:AC99 L100 L102:L104 N103:AC103 N15:AC15 N153:AC155 O93:AC93 W98:AC98 N66:AC68 N76:AC77 N188:AC190 L183:L187 K148:L159 K188:L190 N112:AC113">
    <cfRule type="containsText" dxfId="3760" priority="3210" operator="containsText" text="OK">
      <formula>NOT(ISERROR(SEARCH("OK",K15)))</formula>
    </cfRule>
  </conditionalFormatting>
  <conditionalFormatting sqref="N100:O100">
    <cfRule type="containsText" dxfId="3759" priority="1055" operator="containsText" text="OK">
      <formula>NOT(ISERROR(SEARCH("OK",N100)))</formula>
    </cfRule>
    <cfRule type="containsText" dxfId="3758" priority="1056" operator="containsText" text="ERROR">
      <formula>NOT(ISERROR(SEARCH("ERROR",N100)))</formula>
    </cfRule>
    <cfRule type="cellIs" dxfId="3757" priority="1057" operator="equal">
      <formula>0</formula>
    </cfRule>
    <cfRule type="cellIs" dxfId="3756" priority="1058" operator="lessThan">
      <formula>0</formula>
    </cfRule>
  </conditionalFormatting>
  <conditionalFormatting sqref="N78:Q78">
    <cfRule type="cellIs" dxfId="3755" priority="712" operator="lessThan">
      <formula>0</formula>
    </cfRule>
  </conditionalFormatting>
  <conditionalFormatting sqref="N21:V22">
    <cfRule type="containsText" dxfId="3754" priority="70" operator="containsText" text="OK">
      <formula>NOT(ISERROR(SEARCH("OK",N21)))</formula>
    </cfRule>
    <cfRule type="containsText" dxfId="3753" priority="71" operator="containsText" text="ERROR">
      <formula>NOT(ISERROR(SEARCH("ERROR",N21)))</formula>
    </cfRule>
  </conditionalFormatting>
  <conditionalFormatting sqref="N24:V25">
    <cfRule type="containsText" dxfId="3752" priority="29" operator="containsText" text="OK">
      <formula>NOT(ISERROR(SEARCH("OK",N24)))</formula>
    </cfRule>
    <cfRule type="containsText" dxfId="3751" priority="29" operator="containsText" text="ERROR">
      <formula>NOT(ISERROR(SEARCH("ERROR",N24)))</formula>
    </cfRule>
    <cfRule type="cellIs" dxfId="3750" priority="31" operator="equal">
      <formula>0</formula>
    </cfRule>
    <cfRule type="cellIs" dxfId="3749" priority="31" operator="lessThan">
      <formula>0</formula>
    </cfRule>
  </conditionalFormatting>
  <conditionalFormatting sqref="N34:V35">
    <cfRule type="cellIs" dxfId="3748" priority="218" operator="equal">
      <formula>0</formula>
    </cfRule>
    <cfRule type="cellIs" dxfId="3747" priority="219" operator="lessThan">
      <formula>0</formula>
    </cfRule>
    <cfRule type="containsText" dxfId="3746" priority="224" operator="containsText" text="OK">
      <formula>NOT(ISERROR(SEARCH("OK",N34)))</formula>
    </cfRule>
    <cfRule type="containsText" dxfId="3745" priority="225" operator="containsText" text="ERROR">
      <formula>NOT(ISERROR(SEARCH("ERROR",N34)))</formula>
    </cfRule>
  </conditionalFormatting>
  <conditionalFormatting sqref="N35:V35">
    <cfRule type="containsText" dxfId="3744" priority="216" operator="containsText" text="OK">
      <formula>NOT(ISERROR(SEARCH("OK",N35)))</formula>
    </cfRule>
    <cfRule type="containsText" dxfId="3743" priority="217" operator="containsText" text="ERROR">
      <formula>NOT(ISERROR(SEARCH("ERROR",N35)))</formula>
    </cfRule>
  </conditionalFormatting>
  <conditionalFormatting sqref="N37:V37 L37">
    <cfRule type="containsText" dxfId="3742" priority="212" operator="containsText" text="OK">
      <formula>NOT(ISERROR(SEARCH("OK",L37)))</formula>
    </cfRule>
  </conditionalFormatting>
  <conditionalFormatting sqref="N37:V37">
    <cfRule type="containsText" dxfId="3741" priority="210" operator="containsText" text="OK">
      <formula>NOT(ISERROR(SEARCH("OK",N37)))</formula>
    </cfRule>
    <cfRule type="containsText" dxfId="3740" priority="211" operator="containsText" text="ERROR">
      <formula>NOT(ISERROR(SEARCH("ERROR",N37)))</formula>
    </cfRule>
  </conditionalFormatting>
  <conditionalFormatting sqref="N53:V65">
    <cfRule type="containsText" dxfId="3739" priority="3134" operator="containsText" text="OK">
      <formula>NOT(ISERROR(SEARCH("OK",N53)))</formula>
    </cfRule>
    <cfRule type="containsText" dxfId="3738" priority="3135" operator="containsText" text="ERROR">
      <formula>NOT(ISERROR(SEARCH("ERROR",N53)))</formula>
    </cfRule>
  </conditionalFormatting>
  <conditionalFormatting sqref="N65:V65 N276:V276">
    <cfRule type="cellIs" dxfId="3737" priority="3136" operator="equal">
      <formula>0</formula>
    </cfRule>
  </conditionalFormatting>
  <conditionalFormatting sqref="N154:V155">
    <cfRule type="containsText" dxfId="3736" priority="2917" operator="containsText" text="OK">
      <formula>NOT(ISERROR(SEARCH("OK",N154)))</formula>
    </cfRule>
    <cfRule type="containsText" dxfId="3735" priority="2918" operator="containsText" text="ERROR">
      <formula>NOT(ISERROR(SEARCH("ERROR",N154)))</formula>
    </cfRule>
    <cfRule type="cellIs" dxfId="3734" priority="2919" operator="equal">
      <formula>0</formula>
    </cfRule>
    <cfRule type="cellIs" dxfId="3733" priority="2920" operator="lessThan">
      <formula>0</formula>
    </cfRule>
  </conditionalFormatting>
  <conditionalFormatting sqref="N165:V165">
    <cfRule type="cellIs" dxfId="3732" priority="624" operator="equal">
      <formula>0</formula>
    </cfRule>
    <cfRule type="cellIs" dxfId="3731" priority="625" operator="lessThan">
      <formula>0</formula>
    </cfRule>
  </conditionalFormatting>
  <conditionalFormatting sqref="N241:V243">
    <cfRule type="cellIs" dxfId="3730" priority="2023" operator="equal">
      <formula>0</formula>
    </cfRule>
  </conditionalFormatting>
  <conditionalFormatting sqref="N314:V314 AD314:XFD314">
    <cfRule type="cellIs" dxfId="3729" priority="2991" operator="equal">
      <formula>0</formula>
    </cfRule>
    <cfRule type="cellIs" dxfId="3728" priority="2992" operator="lessThan">
      <formula>0</formula>
    </cfRule>
  </conditionalFormatting>
  <conditionalFormatting sqref="N316:V316">
    <cfRule type="cellIs" dxfId="3727" priority="3107" operator="equal">
      <formula>0</formula>
    </cfRule>
    <cfRule type="cellIs" dxfId="3726" priority="3108" operator="lessThan">
      <formula>0</formula>
    </cfRule>
  </conditionalFormatting>
  <conditionalFormatting sqref="N377:V377">
    <cfRule type="containsText" dxfId="3725" priority="60" operator="containsText" text="OK">
      <formula>NOT(ISERROR(SEARCH("OK",N377)))</formula>
    </cfRule>
    <cfRule type="containsText" dxfId="3724" priority="61" operator="containsText" text="ERROR">
      <formula>NOT(ISERROR(SEARCH("ERROR",N377)))</formula>
    </cfRule>
  </conditionalFormatting>
  <conditionalFormatting sqref="N378:V379 N374:AC376">
    <cfRule type="containsText" dxfId="3723" priority="358" operator="containsText" text="OK">
      <formula>NOT(ISERROR(SEARCH("OK",N374)))</formula>
    </cfRule>
  </conditionalFormatting>
  <conditionalFormatting sqref="N380:V381 I380:J380 L380 I381:L381">
    <cfRule type="cellIs" dxfId="3722" priority="364" operator="equal">
      <formula>0</formula>
    </cfRule>
    <cfRule type="cellIs" dxfId="3721" priority="365" operator="lessThan">
      <formula>0</formula>
    </cfRule>
  </conditionalFormatting>
  <conditionalFormatting sqref="N380:V381">
    <cfRule type="containsText" dxfId="3720" priority="366" operator="containsText" text="OK">
      <formula>NOT(ISERROR(SEARCH("OK",N380)))</formula>
    </cfRule>
    <cfRule type="containsText" dxfId="3719" priority="367" operator="containsText" text="ERROR">
      <formula>NOT(ISERROR(SEARCH("ERROR",N380)))</formula>
    </cfRule>
  </conditionalFormatting>
  <conditionalFormatting sqref="N382:V382">
    <cfRule type="containsText" dxfId="3718" priority="492" operator="containsText" text="OK">
      <formula>NOT(ISERROR(SEARCH("OK",N382)))</formula>
    </cfRule>
    <cfRule type="containsText" dxfId="3717" priority="493" operator="containsText" text="ERROR">
      <formula>NOT(ISERROR(SEARCH("ERROR",N382)))</formula>
    </cfRule>
  </conditionalFormatting>
  <conditionalFormatting sqref="N390:V391">
    <cfRule type="cellIs" dxfId="3716" priority="514" operator="equal">
      <formula>0</formula>
    </cfRule>
    <cfRule type="cellIs" dxfId="3715" priority="515" operator="lessThan">
      <formula>0</formula>
    </cfRule>
    <cfRule type="containsText" dxfId="3714" priority="526" operator="containsText" text="OK">
      <formula>NOT(ISERROR(SEARCH("OK",N390)))</formula>
    </cfRule>
    <cfRule type="containsText" dxfId="3713" priority="527" operator="containsText" text="ERROR">
      <formula>NOT(ISERROR(SEARCH("ERROR",N390)))</formula>
    </cfRule>
  </conditionalFormatting>
  <conditionalFormatting sqref="N391:V391">
    <cfRule type="containsText" dxfId="3712" priority="512" operator="containsText" text="OK">
      <formula>NOT(ISERROR(SEARCH("OK",N391)))</formula>
    </cfRule>
    <cfRule type="containsText" dxfId="3711" priority="513" operator="containsText" text="ERROR">
      <formula>NOT(ISERROR(SEARCH("ERROR",N391)))</formula>
    </cfRule>
  </conditionalFormatting>
  <conditionalFormatting sqref="N393:V393 L393">
    <cfRule type="containsText" dxfId="3710" priority="508" operator="containsText" text="OK">
      <formula>NOT(ISERROR(SEARCH("OK",L393)))</formula>
    </cfRule>
  </conditionalFormatting>
  <conditionalFormatting sqref="N393:V393">
    <cfRule type="containsText" dxfId="3709" priority="506" operator="containsText" text="OK">
      <formula>NOT(ISERROR(SEARCH("OK",N393)))</formula>
    </cfRule>
    <cfRule type="containsText" dxfId="3708" priority="507" operator="containsText" text="ERROR">
      <formula>NOT(ISERROR(SEARCH("ERROR",N393)))</formula>
    </cfRule>
  </conditionalFormatting>
  <conditionalFormatting sqref="N23:AA23">
    <cfRule type="cellIs" dxfId="3707" priority="230" operator="equal">
      <formula>0</formula>
    </cfRule>
    <cfRule type="cellIs" dxfId="3706" priority="231" operator="lessThan">
      <formula>0</formula>
    </cfRule>
  </conditionalFormatting>
  <conditionalFormatting sqref="N23:AA25">
    <cfRule type="containsText" dxfId="3705" priority="27" operator="containsText" text="ERROR">
      <formula>NOT(ISERROR(SEARCH("ERROR",N23)))</formula>
    </cfRule>
    <cfRule type="containsText" dxfId="3704" priority="27" operator="containsText" text="OK">
      <formula>NOT(ISERROR(SEARCH("OK",N23)))</formula>
    </cfRule>
  </conditionalFormatting>
  <conditionalFormatting sqref="N35:AA35">
    <cfRule type="cellIs" dxfId="3703" priority="207" operator="lessThan">
      <formula>0</formula>
    </cfRule>
  </conditionalFormatting>
  <conditionalFormatting sqref="N37:AA37">
    <cfRule type="cellIs" dxfId="3702" priority="202" operator="equal">
      <formula>0</formula>
    </cfRule>
    <cfRule type="cellIs" dxfId="3701" priority="203" operator="lessThan">
      <formula>0</formula>
    </cfRule>
  </conditionalFormatting>
  <conditionalFormatting sqref="N379:AA379">
    <cfRule type="containsText" dxfId="3700" priority="350" operator="containsText" text="OK">
      <formula>NOT(ISERROR(SEARCH("OK",N379)))</formula>
    </cfRule>
    <cfRule type="containsText" dxfId="3699" priority="351" operator="containsText" text="ERROR">
      <formula>NOT(ISERROR(SEARCH("ERROR",N379)))</formula>
    </cfRule>
    <cfRule type="cellIs" dxfId="3698" priority="352" operator="equal">
      <formula>0</formula>
    </cfRule>
    <cfRule type="cellIs" dxfId="3697" priority="353" operator="lessThan">
      <formula>0</formula>
    </cfRule>
  </conditionalFormatting>
  <conditionalFormatting sqref="N380:AA381">
    <cfRule type="containsText" dxfId="3696" priority="362" operator="containsText" text="OK">
      <formula>NOT(ISERROR(SEARCH("OK",N380)))</formula>
    </cfRule>
    <cfRule type="containsText" dxfId="3695" priority="363" operator="containsText" text="ERROR">
      <formula>NOT(ISERROR(SEARCH("ERROR",N380)))</formula>
    </cfRule>
  </conditionalFormatting>
  <conditionalFormatting sqref="N382:AA382">
    <cfRule type="containsText" dxfId="3694" priority="476" operator="containsText" text="OK">
      <formula>NOT(ISERROR(SEARCH("OK",N382)))</formula>
    </cfRule>
    <cfRule type="containsText" dxfId="3693" priority="477" operator="containsText" text="ERROR">
      <formula>NOT(ISERROR(SEARCH("ERROR",N382)))</formula>
    </cfRule>
  </conditionalFormatting>
  <conditionalFormatting sqref="N391:AA391">
    <cfRule type="cellIs" dxfId="3692" priority="487" operator="lessThan">
      <formula>0</formula>
    </cfRule>
  </conditionalFormatting>
  <conditionalFormatting sqref="N393:AA393">
    <cfRule type="cellIs" dxfId="3691" priority="482" operator="equal">
      <formula>0</formula>
    </cfRule>
    <cfRule type="cellIs" dxfId="3690" priority="483" operator="lessThan">
      <formula>0</formula>
    </cfRule>
  </conditionalFormatting>
  <conditionalFormatting sqref="N270:AB270">
    <cfRule type="cellIs" dxfId="3689" priority="2537" operator="equal">
      <formula>0</formula>
    </cfRule>
    <cfRule type="cellIs" dxfId="3688" priority="2538" operator="lessThan">
      <formula>0</formula>
    </cfRule>
  </conditionalFormatting>
  <conditionalFormatting sqref="N272:AB272">
    <cfRule type="cellIs" dxfId="3687" priority="2535" operator="equal">
      <formula>0</formula>
    </cfRule>
    <cfRule type="cellIs" dxfId="3686" priority="2536" operator="lessThan">
      <formula>0</formula>
    </cfRule>
  </conditionalFormatting>
  <conditionalFormatting sqref="N10:AC10">
    <cfRule type="containsText" dxfId="3685" priority="588" operator="containsText" text="wrong">
      <formula>NOT(ISERROR(SEARCH("wrong",N10)))</formula>
    </cfRule>
    <cfRule type="containsText" dxfId="3684" priority="589" operator="containsText" text="ok">
      <formula>NOT(ISERROR(SEARCH("ok",N10)))</formula>
    </cfRule>
  </conditionalFormatting>
  <conditionalFormatting sqref="N15:AC15 N66:AC68 N76:AC77 O93:AC93 N97:O97 Q97:R97 V97 W98:AC98 N99:AC99 L100 L102:L104 N103:AC103 N112:AC113 K148:L159 N153:AC155 L183:L187 K188:L190 N188:AC190">
    <cfRule type="containsText" dxfId="3683" priority="3211" operator="containsText" text="ERROR">
      <formula>NOT(ISERROR(SEARCH("ERROR",K15)))</formula>
    </cfRule>
  </conditionalFormatting>
  <conditionalFormatting sqref="N16:AC20">
    <cfRule type="containsText" dxfId="3682" priority="236" operator="containsText" text="OK">
      <formula>NOT(ISERROR(SEARCH("OK",N16)))</formula>
    </cfRule>
    <cfRule type="containsText" dxfId="3681" priority="237" operator="containsText" text="ERROR">
      <formula>NOT(ISERROR(SEARCH("ERROR",N16)))</formula>
    </cfRule>
  </conditionalFormatting>
  <conditionalFormatting sqref="N23:AC23">
    <cfRule type="containsText" dxfId="3680" priority="232" operator="containsText" text="OK">
      <formula>NOT(ISERROR(SEARCH("OK",N23)))</formula>
    </cfRule>
    <cfRule type="containsText" dxfId="3679" priority="233" operator="containsText" text="ERROR">
      <formula>NOT(ISERROR(SEARCH("ERROR",N23)))</formula>
    </cfRule>
  </conditionalFormatting>
  <conditionalFormatting sqref="N27:AC27">
    <cfRule type="containsText" dxfId="3678" priority="5" operator="containsText" text="OK">
      <formula>NOT(ISERROR(SEARCH("OK",N27)))</formula>
    </cfRule>
    <cfRule type="containsText" dxfId="3677" priority="6" operator="containsText" text="ERROR">
      <formula>NOT(ISERROR(SEARCH("ERROR",N27)))</formula>
    </cfRule>
    <cfRule type="cellIs" dxfId="3676" priority="7" operator="equal">
      <formula>0</formula>
    </cfRule>
    <cfRule type="cellIs" dxfId="3675" priority="8" operator="lessThan">
      <formula>0</formula>
    </cfRule>
  </conditionalFormatting>
  <conditionalFormatting sqref="N30:AC31">
    <cfRule type="containsText" dxfId="3674" priority="2232" operator="containsText" text="OK">
      <formula>NOT(ISERROR(SEARCH("OK",N30)))</formula>
    </cfRule>
    <cfRule type="containsText" dxfId="3673" priority="2233" operator="containsText" text="ERROR">
      <formula>NOT(ISERROR(SEARCH("ERROR",N30)))</formula>
    </cfRule>
    <cfRule type="containsText" dxfId="3672" priority="2559" operator="containsText" text="OK">
      <formula>NOT(ISERROR(SEARCH("OK",N30)))</formula>
    </cfRule>
    <cfRule type="containsText" dxfId="3671" priority="2560" operator="containsText" text="ERROR">
      <formula>NOT(ISERROR(SEARCH("ERROR",N30)))</formula>
    </cfRule>
    <cfRule type="containsText" dxfId="3670" priority="2565" operator="containsText" text="OK">
      <formula>NOT(ISERROR(SEARCH("OK",N30)))</formula>
    </cfRule>
    <cfRule type="containsText" dxfId="3669" priority="2566" operator="containsText" text="ERROR">
      <formula>NOT(ISERROR(SEARCH("ERROR",N30)))</formula>
    </cfRule>
  </conditionalFormatting>
  <conditionalFormatting sqref="N33:AC36 L34:L36">
    <cfRule type="containsText" dxfId="3668" priority="226" operator="containsText" text="OK">
      <formula>NOT(ISERROR(SEARCH("OK",L33)))</formula>
    </cfRule>
    <cfRule type="containsText" dxfId="3667" priority="227" operator="containsText" text="ERROR">
      <formula>NOT(ISERROR(SEARCH("ERROR",L33)))</formula>
    </cfRule>
  </conditionalFormatting>
  <conditionalFormatting sqref="N35:AC35">
    <cfRule type="cellIs" dxfId="3666" priority="182" operator="equal">
      <formula>0</formula>
    </cfRule>
  </conditionalFormatting>
  <conditionalFormatting sqref="N38:AC38">
    <cfRule type="containsText" dxfId="3665" priority="146" operator="containsText" text="OK">
      <formula>NOT(ISERROR(SEARCH("OK",N38)))</formula>
    </cfRule>
    <cfRule type="containsText" dxfId="3664" priority="147" operator="containsText" text="ERROR">
      <formula>NOT(ISERROR(SEARCH("ERROR",N38)))</formula>
    </cfRule>
  </conditionalFormatting>
  <conditionalFormatting sqref="N39:AC39">
    <cfRule type="containsText" dxfId="3663" priority="165" operator="containsText" text="OK">
      <formula>NOT(ISERROR(SEARCH("OK",N39)))</formula>
    </cfRule>
    <cfRule type="containsText" dxfId="3662" priority="166" operator="containsText" text="ERROR">
      <formula>NOT(ISERROR(SEARCH("ERROR",N39)))</formula>
    </cfRule>
  </conditionalFormatting>
  <conditionalFormatting sqref="N40:AC49">
    <cfRule type="containsText" dxfId="3661" priority="153" operator="containsText" text="OK">
      <formula>NOT(ISERROR(SEARCH("OK",N40)))</formula>
    </cfRule>
    <cfRule type="containsText" dxfId="3660" priority="154" operator="containsText" text="ERROR">
      <formula>NOT(ISERROR(SEARCH("ERROR",N40)))</formula>
    </cfRule>
  </conditionalFormatting>
  <conditionalFormatting sqref="N46:AC46">
    <cfRule type="cellIs" dxfId="3659" priority="172" operator="equal">
      <formula>0</formula>
    </cfRule>
    <cfRule type="cellIs" dxfId="3658" priority="173" operator="lessThan">
      <formula>0</formula>
    </cfRule>
  </conditionalFormatting>
  <conditionalFormatting sqref="N51:AC51">
    <cfRule type="cellIs" dxfId="3657" priority="2053" operator="equal">
      <formula>0</formula>
    </cfRule>
    <cfRule type="cellIs" dxfId="3656" priority="2054" operator="lessThan">
      <formula>0</formula>
    </cfRule>
    <cfRule type="containsText" dxfId="3655" priority="2061" operator="containsText" text="OK">
      <formula>NOT(ISERROR(SEARCH("OK",N51)))</formula>
    </cfRule>
    <cfRule type="containsText" dxfId="3654" priority="2062" operator="containsText" text="ERROR">
      <formula>NOT(ISERROR(SEARCH("ERROR",N51)))</formula>
    </cfRule>
  </conditionalFormatting>
  <conditionalFormatting sqref="N67:AC67">
    <cfRule type="cellIs" dxfId="3653" priority="2675" operator="equal">
      <formula>0</formula>
    </cfRule>
    <cfRule type="cellIs" dxfId="3652" priority="2676" operator="lessThan">
      <formula>0</formula>
    </cfRule>
  </conditionalFormatting>
  <conditionalFormatting sqref="N69:AC69">
    <cfRule type="cellIs" dxfId="3651" priority="823" operator="equal">
      <formula>0</formula>
    </cfRule>
    <cfRule type="cellIs" dxfId="3650" priority="824" operator="lessThan">
      <formula>0</formula>
    </cfRule>
  </conditionalFormatting>
  <conditionalFormatting sqref="N69:AC70">
    <cfRule type="containsText" dxfId="3649" priority="871" operator="containsText" text="OK">
      <formula>NOT(ISERROR(SEARCH("OK",N69)))</formula>
    </cfRule>
    <cfRule type="containsText" dxfId="3648" priority="872" operator="containsText" text="ERROR">
      <formula>NOT(ISERROR(SEARCH("ERROR",N69)))</formula>
    </cfRule>
  </conditionalFormatting>
  <conditionalFormatting sqref="N73:AC73">
    <cfRule type="containsText" dxfId="3647" priority="759" operator="containsText" text="OK">
      <formula>NOT(ISERROR(SEARCH("OK",N73)))</formula>
    </cfRule>
    <cfRule type="containsText" dxfId="3646" priority="760" operator="containsText" text="ERROR">
      <formula>NOT(ISERROR(SEARCH("ERROR",N73)))</formula>
    </cfRule>
  </conditionalFormatting>
  <conditionalFormatting sqref="N76:AC76">
    <cfRule type="cellIs" dxfId="3645" priority="2669" operator="equal">
      <formula>0</formula>
    </cfRule>
    <cfRule type="cellIs" dxfId="3644" priority="2670" operator="lessThan">
      <formula>0</formula>
    </cfRule>
  </conditionalFormatting>
  <conditionalFormatting sqref="N79:AC79">
    <cfRule type="cellIs" dxfId="3643" priority="1197" operator="equal">
      <formula>0</formula>
    </cfRule>
    <cfRule type="cellIs" dxfId="3642" priority="1198" operator="lessThan">
      <formula>0</formula>
    </cfRule>
  </conditionalFormatting>
  <conditionalFormatting sqref="N80:AC80">
    <cfRule type="cellIs" dxfId="3641" priority="993" operator="equal">
      <formula>0</formula>
    </cfRule>
    <cfRule type="containsText" dxfId="3640" priority="995" operator="containsText" text="OK">
      <formula>NOT(ISERROR(SEARCH("OK",N80)))</formula>
    </cfRule>
    <cfRule type="containsText" dxfId="3639" priority="996" operator="containsText" text="ERROR">
      <formula>NOT(ISERROR(SEARCH("ERROR",N80)))</formula>
    </cfRule>
  </conditionalFormatting>
  <conditionalFormatting sqref="N80:AC81">
    <cfRule type="cellIs" dxfId="3638" priority="963" operator="lessThan">
      <formula>0</formula>
    </cfRule>
  </conditionalFormatting>
  <conditionalFormatting sqref="N81:AC81">
    <cfRule type="cellIs" dxfId="3637" priority="962" operator="equal">
      <formula>0</formula>
    </cfRule>
  </conditionalFormatting>
  <conditionalFormatting sqref="N82:AC84">
    <cfRule type="cellIs" dxfId="3636" priority="928" operator="equal">
      <formula>0</formula>
    </cfRule>
    <cfRule type="cellIs" dxfId="3635" priority="929" operator="lessThan">
      <formula>0</formula>
    </cfRule>
    <cfRule type="containsText" dxfId="3634" priority="936" operator="containsText" text="OK">
      <formula>NOT(ISERROR(SEARCH("OK",N82)))</formula>
    </cfRule>
    <cfRule type="containsText" dxfId="3633" priority="937" operator="containsText" text="ERROR">
      <formula>NOT(ISERROR(SEARCH("ERROR",N82)))</formula>
    </cfRule>
  </conditionalFormatting>
  <conditionalFormatting sqref="N85:AC85">
    <cfRule type="cellIs" dxfId="3632" priority="1173" operator="equal">
      <formula>0</formula>
    </cfRule>
    <cfRule type="cellIs" dxfId="3631" priority="1174" operator="lessThan">
      <formula>0</formula>
    </cfRule>
  </conditionalFormatting>
  <conditionalFormatting sqref="N88:AC88">
    <cfRule type="cellIs" dxfId="3630" priority="1149" operator="equal">
      <formula>0</formula>
    </cfRule>
    <cfRule type="cellIs" dxfId="3629" priority="1150" operator="lessThan">
      <formula>0</formula>
    </cfRule>
  </conditionalFormatting>
  <conditionalFormatting sqref="N89:AC89">
    <cfRule type="cellIs" dxfId="3628" priority="1115" operator="equal">
      <formula>0</formula>
    </cfRule>
    <cfRule type="cellIs" dxfId="3627" priority="1116" operator="lessThan">
      <formula>0</formula>
    </cfRule>
    <cfRule type="containsText" dxfId="3626" priority="1123" operator="containsText" text="OK">
      <formula>NOT(ISERROR(SEARCH("OK",N89)))</formula>
    </cfRule>
    <cfRule type="containsText" dxfId="3625" priority="1124" operator="containsText" text="ERROR">
      <formula>NOT(ISERROR(SEARCH("ERROR",N89)))</formula>
    </cfRule>
  </conditionalFormatting>
  <conditionalFormatting sqref="N91:AC91">
    <cfRule type="containsText" dxfId="3624" priority="1" operator="containsText" text="OK">
      <formula>NOT(ISERROR(SEARCH("OK",N91)))</formula>
    </cfRule>
    <cfRule type="containsText" dxfId="3623" priority="2" operator="containsText" text="ERROR">
      <formula>NOT(ISERROR(SEARCH("ERROR",N91)))</formula>
    </cfRule>
  </conditionalFormatting>
  <conditionalFormatting sqref="N94:AC94">
    <cfRule type="cellIs" dxfId="3622" priority="86" operator="lessThan">
      <formula>0</formula>
    </cfRule>
    <cfRule type="cellIs" dxfId="3621" priority="87" operator="equal">
      <formula>0</formula>
    </cfRule>
    <cfRule type="containsText" dxfId="3620" priority="88" operator="containsText" text="OK">
      <formula>NOT(ISERROR(SEARCH("OK",N94)))</formula>
    </cfRule>
    <cfRule type="containsText" dxfId="3619" priority="89" operator="containsText" text="ERROR">
      <formula>NOT(ISERROR(SEARCH("ERROR",N94)))</formula>
    </cfRule>
  </conditionalFormatting>
  <conditionalFormatting sqref="N95:AC95">
    <cfRule type="cellIs" dxfId="3618" priority="1101" operator="equal">
      <formula>0</formula>
    </cfRule>
    <cfRule type="cellIs" dxfId="3617" priority="1102" operator="lessThan">
      <formula>0</formula>
    </cfRule>
  </conditionalFormatting>
  <conditionalFormatting sqref="N100:AC100">
    <cfRule type="cellIs" dxfId="3616" priority="1045" operator="equal">
      <formula>0</formula>
    </cfRule>
    <cfRule type="cellIs" dxfId="3615" priority="1046" operator="lessThan">
      <formula>0</formula>
    </cfRule>
  </conditionalFormatting>
  <conditionalFormatting sqref="N105:AC105">
    <cfRule type="cellIs" dxfId="3614" priority="2065" operator="equal">
      <formula>0</formula>
    </cfRule>
    <cfRule type="cellIs" dxfId="3613" priority="2066" operator="lessThan">
      <formula>0</formula>
    </cfRule>
    <cfRule type="containsText" dxfId="3612" priority="2073" operator="containsText" text="OK">
      <formula>NOT(ISERROR(SEARCH("OK",N105)))</formula>
    </cfRule>
    <cfRule type="containsText" dxfId="3611" priority="2074" operator="containsText" text="ERROR">
      <formula>NOT(ISERROR(SEARCH("ERROR",N105)))</formula>
    </cfRule>
  </conditionalFormatting>
  <conditionalFormatting sqref="N108:AC110">
    <cfRule type="containsText" dxfId="3610" priority="2325" operator="containsText" text="OK">
      <formula>NOT(ISERROR(SEARCH("OK",N108)))</formula>
    </cfRule>
    <cfRule type="containsText" dxfId="3609" priority="2326" operator="containsText" text="ERROR">
      <formula>NOT(ISERROR(SEARCH("ERROR",N108)))</formula>
    </cfRule>
    <cfRule type="cellIs" dxfId="3608" priority="2327" operator="equal">
      <formula>0</formula>
    </cfRule>
    <cfRule type="cellIs" dxfId="3607" priority="2328" operator="lessThan">
      <formula>0</formula>
    </cfRule>
  </conditionalFormatting>
  <conditionalFormatting sqref="N111:AC111">
    <cfRule type="cellIs" dxfId="3606" priority="2181" operator="lessThan">
      <formula>0</formula>
    </cfRule>
    <cfRule type="cellIs" dxfId="3605" priority="2292" operator="greaterThan">
      <formula>1000000</formula>
    </cfRule>
    <cfRule type="cellIs" dxfId="3604" priority="2293" operator="between">
      <formula>500000</formula>
      <formula>1000000</formula>
    </cfRule>
  </conditionalFormatting>
  <conditionalFormatting sqref="N116:AC116">
    <cfRule type="containsText" dxfId="3603" priority="1013" operator="containsText" text="OK">
      <formula>NOT(ISERROR(SEARCH("OK",N116)))</formula>
    </cfRule>
    <cfRule type="containsText" dxfId="3602" priority="1014" operator="containsText" text="ERROR">
      <formula>NOT(ISERROR(SEARCH("ERROR",N116)))</formula>
    </cfRule>
  </conditionalFormatting>
  <conditionalFormatting sqref="N124:AC125">
    <cfRule type="containsText" dxfId="3601" priority="2331" operator="containsText" text="OK">
      <formula>NOT(ISERROR(SEARCH("OK",N124)))</formula>
    </cfRule>
    <cfRule type="containsText" dxfId="3600" priority="2332" operator="containsText" text="ERROR">
      <formula>NOT(ISERROR(SEARCH("ERROR",N124)))</formula>
    </cfRule>
  </conditionalFormatting>
  <conditionalFormatting sqref="N133:AC133">
    <cfRule type="containsText" dxfId="3599" priority="1838" operator="containsText" text="OK">
      <formula>NOT(ISERROR(SEARCH("OK",N133)))</formula>
    </cfRule>
    <cfRule type="containsText" dxfId="3598" priority="1839" operator="containsText" text="ERROR">
      <formula>NOT(ISERROR(SEARCH("ERROR",N133)))</formula>
    </cfRule>
    <cfRule type="cellIs" dxfId="3597" priority="1840" operator="equal">
      <formula>0</formula>
    </cfRule>
    <cfRule type="cellIs" dxfId="3596" priority="1841" operator="lessThan">
      <formula>0</formula>
    </cfRule>
  </conditionalFormatting>
  <conditionalFormatting sqref="N142:AC142">
    <cfRule type="cellIs" dxfId="3595" priority="2501" operator="equal">
      <formula>0</formula>
    </cfRule>
    <cfRule type="cellIs" dxfId="3594" priority="2502" operator="lessThan">
      <formula>0</formula>
    </cfRule>
  </conditionalFormatting>
  <conditionalFormatting sqref="N142:AC143">
    <cfRule type="containsText" dxfId="3593" priority="634" operator="containsText" text="OK">
      <formula>NOT(ISERROR(SEARCH("OK",N142)))</formula>
    </cfRule>
    <cfRule type="containsText" dxfId="3592" priority="635" operator="containsText" text="ERROR">
      <formula>NOT(ISERROR(SEARCH("ERROR",N142)))</formula>
    </cfRule>
  </conditionalFormatting>
  <conditionalFormatting sqref="N146:AC146">
    <cfRule type="containsText" dxfId="3591" priority="1719" operator="containsText" text="OK">
      <formula>NOT(ISERROR(SEARCH("OK",N146)))</formula>
    </cfRule>
    <cfRule type="containsText" dxfId="3590" priority="1720" operator="containsText" text="ERROR">
      <formula>NOT(ISERROR(SEARCH("ERROR",N146)))</formula>
    </cfRule>
  </conditionalFormatting>
  <conditionalFormatting sqref="N146:AC147">
    <cfRule type="cellIs" dxfId="3589" priority="1695" operator="equal">
      <formula>0</formula>
    </cfRule>
    <cfRule type="cellIs" dxfId="3588" priority="1696" operator="lessThan">
      <formula>0</formula>
    </cfRule>
  </conditionalFormatting>
  <conditionalFormatting sqref="N147:AC147">
    <cfRule type="containsText" dxfId="3587" priority="1693" operator="containsText" text="OK">
      <formula>NOT(ISERROR(SEARCH("OK",N147)))</formula>
    </cfRule>
    <cfRule type="containsText" dxfId="3586" priority="1694" operator="containsText" text="ERROR">
      <formula>NOT(ISERROR(SEARCH("ERROR",N147)))</formula>
    </cfRule>
  </conditionalFormatting>
  <conditionalFormatting sqref="N159:AC160">
    <cfRule type="containsText" dxfId="3585" priority="1724" operator="containsText" text="OK">
      <formula>NOT(ISERROR(SEARCH("OK",N159)))</formula>
    </cfRule>
    <cfRule type="containsText" dxfId="3584" priority="1725" operator="containsText" text="ERROR">
      <formula>NOT(ISERROR(SEARCH("ERROR",N159)))</formula>
    </cfRule>
  </conditionalFormatting>
  <conditionalFormatting sqref="N160:AC160">
    <cfRule type="cellIs" dxfId="3583" priority="1726" operator="equal">
      <formula>0</formula>
    </cfRule>
    <cfRule type="cellIs" dxfId="3582" priority="1727" operator="lessThan">
      <formula>0</formula>
    </cfRule>
  </conditionalFormatting>
  <conditionalFormatting sqref="N162:AC162">
    <cfRule type="containsText" dxfId="3581" priority="1754" operator="containsText" text="OK">
      <formula>NOT(ISERROR(SEARCH("OK",N162)))</formula>
    </cfRule>
    <cfRule type="containsText" dxfId="3580" priority="1755" operator="containsText" text="ERROR">
      <formula>NOT(ISERROR(SEARCH("ERROR",N162)))</formula>
    </cfRule>
    <cfRule type="cellIs" dxfId="3579" priority="1756" operator="equal">
      <formula>0</formula>
    </cfRule>
    <cfRule type="cellIs" dxfId="3578" priority="1757" operator="lessThan">
      <formula>0</formula>
    </cfRule>
  </conditionalFormatting>
  <conditionalFormatting sqref="N165:AC165">
    <cfRule type="containsText" dxfId="3577" priority="602" operator="containsText" text="OK">
      <formula>NOT(ISERROR(SEARCH("OK",N165)))</formula>
    </cfRule>
    <cfRule type="containsText" dxfId="3576" priority="603" operator="containsText" text="ERROR">
      <formula>NOT(ISERROR(SEARCH("ERROR",N165)))</formula>
    </cfRule>
  </conditionalFormatting>
  <conditionalFormatting sqref="N169:AC169">
    <cfRule type="containsText" dxfId="3575" priority="598" operator="containsText" text="OK">
      <formula>NOT(ISERROR(SEARCH("OK",N169)))</formula>
    </cfRule>
    <cfRule type="containsText" dxfId="3574" priority="599" operator="containsText" text="ERROR">
      <formula>NOT(ISERROR(SEARCH("ERROR",N169)))</formula>
    </cfRule>
  </conditionalFormatting>
  <conditionalFormatting sqref="N171:AC173">
    <cfRule type="containsText" dxfId="3573" priority="1994" operator="containsText" text="OK">
      <formula>NOT(ISERROR(SEARCH("OK",N171)))</formula>
    </cfRule>
    <cfRule type="containsText" dxfId="3572" priority="1995" operator="containsText" text="ERROR">
      <formula>NOT(ISERROR(SEARCH("ERROR",N171)))</formula>
    </cfRule>
  </conditionalFormatting>
  <conditionalFormatting sqref="N173:AC173">
    <cfRule type="cellIs" dxfId="3571" priority="1986" operator="equal">
      <formula>0</formula>
    </cfRule>
    <cfRule type="cellIs" dxfId="3570" priority="1987" operator="lessThan">
      <formula>0</formula>
    </cfRule>
  </conditionalFormatting>
  <conditionalFormatting sqref="N174:AC187">
    <cfRule type="containsText" dxfId="3569" priority="1904" operator="containsText" text="OK">
      <formula>NOT(ISERROR(SEARCH("OK",N174)))</formula>
    </cfRule>
    <cfRule type="containsText" dxfId="3568" priority="1905" operator="containsText" text="ERROR">
      <formula>NOT(ISERROR(SEARCH("ERROR",N174)))</formula>
    </cfRule>
  </conditionalFormatting>
  <conditionalFormatting sqref="N176:AC176">
    <cfRule type="cellIs" dxfId="3567" priority="1906" operator="equal">
      <formula>0</formula>
    </cfRule>
    <cfRule type="cellIs" dxfId="3566" priority="1907" operator="lessThan">
      <formula>0</formula>
    </cfRule>
  </conditionalFormatting>
  <conditionalFormatting sqref="N183:AC191">
    <cfRule type="cellIs" dxfId="3565" priority="1923" operator="lessThan">
      <formula>0</formula>
    </cfRule>
  </conditionalFormatting>
  <conditionalFormatting sqref="N191:AC193">
    <cfRule type="cellIs" dxfId="3564" priority="1810" operator="equal">
      <formula>0</formula>
    </cfRule>
  </conditionalFormatting>
  <conditionalFormatting sqref="N191:AC195">
    <cfRule type="containsText" dxfId="3563" priority="1808" operator="containsText" text="OK">
      <formula>NOT(ISERROR(SEARCH("OK",N191)))</formula>
    </cfRule>
    <cfRule type="containsText" dxfId="3562" priority="1809" operator="containsText" text="ERROR">
      <formula>NOT(ISERROR(SEARCH("ERROR",N191)))</formula>
    </cfRule>
  </conditionalFormatting>
  <conditionalFormatting sqref="N192:AC193">
    <cfRule type="cellIs" dxfId="3561" priority="1811" operator="lessThan">
      <formula>0</formula>
    </cfRule>
  </conditionalFormatting>
  <conditionalFormatting sqref="N195:AC195">
    <cfRule type="cellIs" dxfId="3560" priority="1960" operator="equal">
      <formula>0</formula>
    </cfRule>
    <cfRule type="cellIs" dxfId="3559" priority="1961" operator="lessThan">
      <formula>0</formula>
    </cfRule>
  </conditionalFormatting>
  <conditionalFormatting sqref="N196:AC197">
    <cfRule type="containsText" dxfId="3558" priority="2037" operator="containsText" text="OK">
      <formula>NOT(ISERROR(SEARCH("OK",N196)))</formula>
    </cfRule>
    <cfRule type="containsText" dxfId="3557" priority="2038" operator="containsText" text="ERROR">
      <formula>NOT(ISERROR(SEARCH("ERROR",N196)))</formula>
    </cfRule>
  </conditionalFormatting>
  <conditionalFormatting sqref="N197:AC197">
    <cfRule type="cellIs" dxfId="3556" priority="2029" operator="equal">
      <formula>0</formula>
    </cfRule>
    <cfRule type="cellIs" dxfId="3555" priority="2030" operator="lessThan">
      <formula>0</formula>
    </cfRule>
  </conditionalFormatting>
  <conditionalFormatting sqref="N220:AC221">
    <cfRule type="containsText" dxfId="3554" priority="2665" operator="containsText" text="wrong">
      <formula>NOT(ISERROR(SEARCH("wrong",N220)))</formula>
    </cfRule>
  </conditionalFormatting>
  <conditionalFormatting sqref="N243:AC243">
    <cfRule type="cellIs" dxfId="3553" priority="2018" operator="lessThan">
      <formula>0</formula>
    </cfRule>
    <cfRule type="containsText" dxfId="3552" priority="2025" operator="containsText" text="OK">
      <formula>NOT(ISERROR(SEARCH("OK",N243)))</formula>
    </cfRule>
    <cfRule type="containsText" dxfId="3551" priority="2026" operator="containsText" text="ERROR">
      <formula>NOT(ISERROR(SEARCH("ERROR",N243)))</formula>
    </cfRule>
  </conditionalFormatting>
  <conditionalFormatting sqref="N245:AC245">
    <cfRule type="cellIs" dxfId="3550" priority="2569" operator="equal">
      <formula>0</formula>
    </cfRule>
    <cfRule type="cellIs" dxfId="3549" priority="2570" operator="lessThan">
      <formula>0</formula>
    </cfRule>
  </conditionalFormatting>
  <conditionalFormatting sqref="N249:AC250">
    <cfRule type="cellIs" dxfId="3548" priority="2617" operator="equal">
      <formula>0</formula>
    </cfRule>
    <cfRule type="cellIs" dxfId="3547" priority="2618" operator="lessThan">
      <formula>0</formula>
    </cfRule>
  </conditionalFormatting>
  <conditionalFormatting sqref="N253:AC255">
    <cfRule type="cellIs" dxfId="3546" priority="2167" operator="equal">
      <formula>0</formula>
    </cfRule>
    <cfRule type="cellIs" dxfId="3545" priority="2168" operator="lessThan">
      <formula>0</formula>
    </cfRule>
  </conditionalFormatting>
  <conditionalFormatting sqref="N258:AC258">
    <cfRule type="cellIs" dxfId="3544" priority="739" operator="equal">
      <formula>0</formula>
    </cfRule>
    <cfRule type="cellIs" dxfId="3543" priority="740" operator="lessThan">
      <formula>0</formula>
    </cfRule>
    <cfRule type="containsText" dxfId="3542" priority="747" operator="containsText" text="OK">
      <formula>NOT(ISERROR(SEARCH("OK",N258)))</formula>
    </cfRule>
    <cfRule type="containsText" dxfId="3541" priority="748" operator="containsText" text="ERROR">
      <formula>NOT(ISERROR(SEARCH("ERROR",N258)))</formula>
    </cfRule>
    <cfRule type="cellIs" dxfId="3540" priority="749" operator="equal">
      <formula>0</formula>
    </cfRule>
    <cfRule type="cellIs" dxfId="3539" priority="750" operator="lessThan">
      <formula>0</formula>
    </cfRule>
  </conditionalFormatting>
  <conditionalFormatting sqref="N260:AC260 N264:AC264">
    <cfRule type="cellIs" dxfId="3538" priority="2591" operator="equal">
      <formula>0</formula>
    </cfRule>
    <cfRule type="cellIs" dxfId="3537" priority="2592" operator="lessThan">
      <formula>0</formula>
    </cfRule>
  </conditionalFormatting>
  <conditionalFormatting sqref="N269:AC269">
    <cfRule type="cellIs" dxfId="3536" priority="2547" operator="equal">
      <formula>0</formula>
    </cfRule>
    <cfRule type="cellIs" dxfId="3535" priority="2548" operator="lessThan">
      <formula>0</formula>
    </cfRule>
  </conditionalFormatting>
  <conditionalFormatting sqref="N271:AC271">
    <cfRule type="cellIs" dxfId="3534" priority="2553" operator="equal">
      <formula>0</formula>
    </cfRule>
    <cfRule type="cellIs" dxfId="3533" priority="2554" operator="lessThan">
      <formula>0</formula>
    </cfRule>
  </conditionalFormatting>
  <conditionalFormatting sqref="N305:AC305">
    <cfRule type="containsText" dxfId="3532" priority="3109" operator="containsText" text="wrong">
      <formula>NOT(ISERROR(SEARCH("wrong",N305)))</formula>
    </cfRule>
    <cfRule type="cellIs" dxfId="3531" priority="3110" operator="equal">
      <formula>0</formula>
    </cfRule>
    <cfRule type="cellIs" dxfId="3530" priority="3111" operator="lessThan">
      <formula>0</formula>
    </cfRule>
  </conditionalFormatting>
  <conditionalFormatting sqref="N318:AC318">
    <cfRule type="cellIs" dxfId="3529" priority="2005" operator="equal">
      <formula>0</formula>
    </cfRule>
    <cfRule type="cellIs" dxfId="3528" priority="2006" operator="lessThan">
      <formula>0</formula>
    </cfRule>
    <cfRule type="containsText" dxfId="3527" priority="2013" operator="containsText" text="OK">
      <formula>NOT(ISERROR(SEARCH("OK",N318)))</formula>
    </cfRule>
    <cfRule type="containsText" dxfId="3526" priority="2014" operator="containsText" text="ERROR">
      <formula>NOT(ISERROR(SEARCH("ERROR",N318)))</formula>
    </cfRule>
  </conditionalFormatting>
  <conditionalFormatting sqref="N350:AC350">
    <cfRule type="cellIs" dxfId="3525" priority="1636" operator="equal">
      <formula>0</formula>
    </cfRule>
    <cfRule type="cellIs" dxfId="3524" priority="1637" operator="lessThan">
      <formula>0</formula>
    </cfRule>
    <cfRule type="containsText" dxfId="3523" priority="1644" operator="containsText" text="OK">
      <formula>NOT(ISERROR(SEARCH("OK",N350)))</formula>
    </cfRule>
    <cfRule type="containsText" dxfId="3522" priority="1645" operator="containsText" text="ERROR">
      <formula>NOT(ISERROR(SEARCH("ERROR",N350)))</formula>
    </cfRule>
  </conditionalFormatting>
  <conditionalFormatting sqref="N368:AC368">
    <cfRule type="cellIs" dxfId="3521" priority="395" operator="equal">
      <formula>0</formula>
    </cfRule>
    <cfRule type="cellIs" dxfId="3520" priority="396" operator="lessThan">
      <formula>0</formula>
    </cfRule>
  </conditionalFormatting>
  <conditionalFormatting sqref="N371:AC373 L372:L376 N389:AC392 L390:L392">
    <cfRule type="containsText" dxfId="3519" priority="529" operator="containsText" text="ERROR">
      <formula>NOT(ISERROR(SEARCH("ERROR",L371)))</formula>
    </cfRule>
  </conditionalFormatting>
  <conditionalFormatting sqref="N374:AC376 N378:V379">
    <cfRule type="containsText" dxfId="3518" priority="359" operator="containsText" text="ERROR">
      <formula>NOT(ISERROR(SEARCH("ERROR",N374)))</formula>
    </cfRule>
  </conditionalFormatting>
  <conditionalFormatting sqref="N383:AC383 N386:AC387">
    <cfRule type="containsText" dxfId="3517" priority="427" operator="containsText" text="ERROR">
      <formula>NOT(ISERROR(SEARCH("ERROR",N383)))</formula>
    </cfRule>
    <cfRule type="containsText" dxfId="3516" priority="432" operator="containsText" text="OK">
      <formula>NOT(ISERROR(SEARCH("OK",N383)))</formula>
    </cfRule>
    <cfRule type="containsText" dxfId="3515" priority="433" operator="containsText" text="ERROR">
      <formula>NOT(ISERROR(SEARCH("ERROR",N383)))</formula>
    </cfRule>
  </conditionalFormatting>
  <conditionalFormatting sqref="N386:AC387 N383:AC383">
    <cfRule type="containsText" dxfId="3514" priority="426" operator="containsText" text="OK">
      <formula>NOT(ISERROR(SEARCH("OK",N383)))</formula>
    </cfRule>
  </conditionalFormatting>
  <conditionalFormatting sqref="N386:AC387">
    <cfRule type="containsText" dxfId="3513" priority="412" operator="containsText" text="OK">
      <formula>NOT(ISERROR(SEARCH("OK",N386)))</formula>
    </cfRule>
    <cfRule type="containsText" dxfId="3512" priority="413" operator="containsText" text="ERROR">
      <formula>NOT(ISERROR(SEARCH("ERROR",N386)))</formula>
    </cfRule>
    <cfRule type="cellIs" dxfId="3511" priority="414" operator="equal">
      <formula>0</formula>
    </cfRule>
    <cfRule type="cellIs" dxfId="3510" priority="415" operator="lessThan">
      <formula>0</formula>
    </cfRule>
  </conditionalFormatting>
  <conditionalFormatting sqref="N389:AC392 L372:L376 L390:L392 N371:AC373">
    <cfRule type="containsText" dxfId="3509" priority="528" operator="containsText" text="OK">
      <formula>NOT(ISERROR(SEARCH("OK",L371)))</formula>
    </cfRule>
  </conditionalFormatting>
  <conditionalFormatting sqref="N391:AC391">
    <cfRule type="cellIs" dxfId="3508" priority="454" operator="equal">
      <formula>0</formula>
    </cfRule>
  </conditionalFormatting>
  <conditionalFormatting sqref="N394:AC394">
    <cfRule type="containsText" dxfId="3507" priority="378" operator="containsText" text="OK">
      <formula>NOT(ISERROR(SEARCH("OK",N394)))</formula>
    </cfRule>
    <cfRule type="containsText" dxfId="3506" priority="379" operator="containsText" text="ERROR">
      <formula>NOT(ISERROR(SEARCH("ERROR",N394)))</formula>
    </cfRule>
  </conditionalFormatting>
  <conditionalFormatting sqref="N395:AC395">
    <cfRule type="cellIs" dxfId="3505" priority="399" operator="equal">
      <formula>0</formula>
    </cfRule>
    <cfRule type="cellIs" dxfId="3504" priority="400" operator="lessThan">
      <formula>0</formula>
    </cfRule>
    <cfRule type="containsText" dxfId="3503" priority="401" operator="containsText" text="OK">
      <formula>NOT(ISERROR(SEARCH("OK",N395)))</formula>
    </cfRule>
    <cfRule type="containsText" dxfId="3502" priority="402" operator="containsText" text="ERROR">
      <formula>NOT(ISERROR(SEARCH("ERROR",N395)))</formula>
    </cfRule>
  </conditionalFormatting>
  <conditionalFormatting sqref="N396:AC405">
    <cfRule type="containsText" dxfId="3501" priority="385" operator="containsText" text="OK">
      <formula>NOT(ISERROR(SEARCH("OK",N396)))</formula>
    </cfRule>
    <cfRule type="containsText" dxfId="3500" priority="386" operator="containsText" text="ERROR">
      <formula>NOT(ISERROR(SEARCH("ERROR",N396)))</formula>
    </cfRule>
  </conditionalFormatting>
  <conditionalFormatting sqref="N402:AC402">
    <cfRule type="cellIs" dxfId="3499" priority="422" operator="equal">
      <formula>0</formula>
    </cfRule>
    <cfRule type="cellIs" dxfId="3498" priority="423" operator="lessThan">
      <formula>0</formula>
    </cfRule>
  </conditionalFormatting>
  <conditionalFormatting sqref="N30:XFD31">
    <cfRule type="cellIs" dxfId="3497" priority="2234" operator="equal">
      <formula>0</formula>
    </cfRule>
    <cfRule type="cellIs" dxfId="3496" priority="2235" operator="lessThan">
      <formula>0</formula>
    </cfRule>
  </conditionalFormatting>
  <conditionalFormatting sqref="N39:XFD39">
    <cfRule type="cellIs" dxfId="3495" priority="163" operator="equal">
      <formula>0</formula>
    </cfRule>
    <cfRule type="cellIs" dxfId="3494" priority="164" operator="lessThan">
      <formula>0</formula>
    </cfRule>
  </conditionalFormatting>
  <conditionalFormatting sqref="N51:XFD51 H51:L51">
    <cfRule type="cellIs" dxfId="3493" priority="2063" operator="equal">
      <formula>0</formula>
    </cfRule>
    <cfRule type="cellIs" dxfId="3492" priority="2064" operator="lessThan">
      <formula>0</formula>
    </cfRule>
  </conditionalFormatting>
  <conditionalFormatting sqref="N105:XFD105">
    <cfRule type="cellIs" dxfId="3491" priority="2075" operator="equal">
      <formula>0</formula>
    </cfRule>
    <cfRule type="cellIs" dxfId="3490" priority="2076" operator="lessThan">
      <formula>0</formula>
    </cfRule>
  </conditionalFormatting>
  <conditionalFormatting sqref="N124:XFD125">
    <cfRule type="cellIs" dxfId="3489" priority="2333" operator="equal">
      <formula>0</formula>
    </cfRule>
    <cfRule type="cellIs" dxfId="3488" priority="2334" operator="lessThan">
      <formula>0</formula>
    </cfRule>
  </conditionalFormatting>
  <conditionalFormatting sqref="N146:XFD146">
    <cfRule type="cellIs" dxfId="3487" priority="1721" operator="equal">
      <formula>0</formula>
    </cfRule>
    <cfRule type="cellIs" dxfId="3486" priority="1722" operator="lessThan">
      <formula>0</formula>
    </cfRule>
  </conditionalFormatting>
  <conditionalFormatting sqref="N173:XFD173">
    <cfRule type="cellIs" dxfId="3485" priority="1996" operator="equal">
      <formula>0</formula>
    </cfRule>
    <cfRule type="cellIs" dxfId="3484" priority="1997" operator="lessThan">
      <formula>0</formula>
    </cfRule>
  </conditionalFormatting>
  <conditionalFormatting sqref="N174:XFD175 H173:H175">
    <cfRule type="cellIs" dxfId="3483" priority="1982" operator="equal">
      <formula>0</formula>
    </cfRule>
    <cfRule type="cellIs" dxfId="3482" priority="1983" operator="lessThan">
      <formula>0</formula>
    </cfRule>
  </conditionalFormatting>
  <conditionalFormatting sqref="N182:XFD182">
    <cfRule type="cellIs" dxfId="3481" priority="1947" operator="lessThan">
      <formula>0</formula>
    </cfRule>
  </conditionalFormatting>
  <conditionalFormatting sqref="N182:XFD190">
    <cfRule type="cellIs" dxfId="3480" priority="1922" operator="equal">
      <formula>0</formula>
    </cfRule>
  </conditionalFormatting>
  <conditionalFormatting sqref="N197:XFD197 H197">
    <cfRule type="cellIs" dxfId="3479" priority="2039" operator="equal">
      <formula>0</formula>
    </cfRule>
    <cfRule type="cellIs" dxfId="3478" priority="2040" operator="lessThan">
      <formula>0</formula>
    </cfRule>
  </conditionalFormatting>
  <conditionalFormatting sqref="N243:XFD243 H243:L243">
    <cfRule type="cellIs" dxfId="3477" priority="2027" operator="equal">
      <formula>0</formula>
    </cfRule>
    <cfRule type="cellIs" dxfId="3476" priority="2028" operator="lessThan">
      <formula>0</formula>
    </cfRule>
  </conditionalFormatting>
  <conditionalFormatting sqref="N318:XFD318 H318:L318">
    <cfRule type="cellIs" dxfId="3475" priority="2015" operator="equal">
      <formula>0</formula>
    </cfRule>
    <cfRule type="cellIs" dxfId="3474" priority="2016" operator="lessThan">
      <formula>0</formula>
    </cfRule>
  </conditionalFormatting>
  <conditionalFormatting sqref="N350:XFD350 H350:L350">
    <cfRule type="cellIs" dxfId="3473" priority="1646" operator="equal">
      <formula>0</formula>
    </cfRule>
    <cfRule type="cellIs" dxfId="3472" priority="1647" operator="lessThan">
      <formula>0</formula>
    </cfRule>
  </conditionalFormatting>
  <conditionalFormatting sqref="O97">
    <cfRule type="cellIs" dxfId="3471" priority="1552" operator="greaterThan">
      <formula>60%</formula>
    </cfRule>
    <cfRule type="cellIs" dxfId="3470" priority="1553" operator="between">
      <formula>19.999%</formula>
      <formula>49.99%</formula>
    </cfRule>
    <cfRule type="cellIs" dxfId="3469" priority="1554" operator="between">
      <formula>10.001%</formula>
      <formula>19.999%</formula>
    </cfRule>
    <cfRule type="cellIs" dxfId="3468" priority="1555" operator="lessThanOrEqual">
      <formula>10%</formula>
    </cfRule>
  </conditionalFormatting>
  <conditionalFormatting sqref="O26:V26">
    <cfRule type="containsText" dxfId="3467" priority="288" operator="containsText" text="OK">
      <formula>NOT(ISERROR(SEARCH("OK",O26)))</formula>
    </cfRule>
    <cfRule type="containsText" dxfId="3466" priority="289" operator="containsText" text="ERROR">
      <formula>NOT(ISERROR(SEARCH("ERROR",O26)))</formula>
    </cfRule>
  </conditionalFormatting>
  <conditionalFormatting sqref="O329:V329">
    <cfRule type="cellIs" dxfId="3465" priority="3168" operator="lessThan">
      <formula>0</formula>
    </cfRule>
  </conditionalFormatting>
  <conditionalFormatting sqref="O12:AC12">
    <cfRule type="cellIs" dxfId="3464" priority="1521" operator="equal">
      <formula>0</formula>
    </cfRule>
    <cfRule type="cellIs" dxfId="3463" priority="1522" operator="lessThan">
      <formula>0</formula>
    </cfRule>
  </conditionalFormatting>
  <conditionalFormatting sqref="O26:AC26">
    <cfRule type="containsText" dxfId="3462" priority="270" operator="containsText" text="OK">
      <formula>NOT(ISERROR(SEARCH("OK",O26)))</formula>
    </cfRule>
    <cfRule type="containsText" dxfId="3461" priority="271" operator="containsText" text="ERROR">
      <formula>NOT(ISERROR(SEARCH("ERROR",O26)))</formula>
    </cfRule>
  </conditionalFormatting>
  <conditionalFormatting sqref="O27:AC27">
    <cfRule type="containsText" dxfId="3460" priority="262" operator="containsText" text="OK">
      <formula>NOT(ISERROR(SEARCH("OK",O27)))</formula>
    </cfRule>
    <cfRule type="containsText" dxfId="3459" priority="263" operator="containsText" text="ERROR">
      <formula>NOT(ISERROR(SEARCH("ERROR",O27)))</formula>
    </cfRule>
  </conditionalFormatting>
  <conditionalFormatting sqref="O326:AC326">
    <cfRule type="cellIs" dxfId="3458" priority="2677" operator="equal">
      <formula>0</formula>
    </cfRule>
    <cfRule type="cellIs" dxfId="3457" priority="3190" operator="lessThan">
      <formula>0</formula>
    </cfRule>
  </conditionalFormatting>
  <conditionalFormatting sqref="O329:AC329">
    <cfRule type="cellIs" dxfId="3456" priority="2671" operator="equal">
      <formula>0</formula>
    </cfRule>
  </conditionalFormatting>
  <conditionalFormatting sqref="P107">
    <cfRule type="cellIs" dxfId="3455" priority="1027" operator="equal">
      <formula>0</formula>
    </cfRule>
    <cfRule type="cellIs" dxfId="3454" priority="1028" operator="lessThan">
      <formula>0</formula>
    </cfRule>
    <cfRule type="containsText" dxfId="3453" priority="1029" operator="containsText" text="OK">
      <formula>NOT(ISERROR(SEARCH("OK",P107)))</formula>
    </cfRule>
    <cfRule type="containsText" dxfId="3452" priority="1030" operator="containsText" text="ERROR">
      <formula>NOT(ISERROR(SEARCH("ERROR",P107)))</formula>
    </cfRule>
    <cfRule type="containsText" dxfId="3451" priority="1031" operator="containsText" text="OK">
      <formula>NOT(ISERROR(SEARCH("OK",P107)))</formula>
    </cfRule>
    <cfRule type="containsText" dxfId="3450" priority="1032" operator="containsText" text="ERROR">
      <formula>NOT(ISERROR(SEARCH("ERROR",P107)))</formula>
    </cfRule>
    <cfRule type="cellIs" dxfId="3449" priority="1033" operator="equal">
      <formula>0</formula>
    </cfRule>
    <cfRule type="cellIs" dxfId="3448" priority="1034" operator="lessThan">
      <formula>0</formula>
    </cfRule>
  </conditionalFormatting>
  <conditionalFormatting sqref="P347:P348">
    <cfRule type="cellIs" dxfId="3447" priority="873" operator="equal">
      <formula>0</formula>
    </cfRule>
    <cfRule type="cellIs" dxfId="3446" priority="874" operator="lessThan">
      <formula>0</formula>
    </cfRule>
  </conditionalFormatting>
  <conditionalFormatting sqref="P352:P359">
    <cfRule type="containsText" dxfId="3445" priority="336" operator="containsText" text="wrong">
      <formula>NOT(ISERROR(SEARCH("wrong",P352)))</formula>
    </cfRule>
  </conditionalFormatting>
  <conditionalFormatting sqref="P353:P359">
    <cfRule type="cellIs" dxfId="3444" priority="319" operator="equal">
      <formula>0</formula>
    </cfRule>
    <cfRule type="cellIs" dxfId="3443" priority="320" operator="lessThan">
      <formula>0</formula>
    </cfRule>
  </conditionalFormatting>
  <conditionalFormatting sqref="P78:Q78">
    <cfRule type="cellIs" dxfId="3442" priority="715" operator="equal">
      <formula>0</formula>
    </cfRule>
    <cfRule type="containsText" dxfId="3441" priority="723" operator="containsText" text="OK">
      <formula>NOT(ISERROR(SEARCH("OK",P78)))</formula>
    </cfRule>
    <cfRule type="containsText" dxfId="3440" priority="724" operator="containsText" text="ERROR">
      <formula>NOT(ISERROR(SEARCH("ERROR",P78)))</formula>
    </cfRule>
  </conditionalFormatting>
  <conditionalFormatting sqref="P78:AC79">
    <cfRule type="cellIs" dxfId="3439" priority="725" operator="equal">
      <formula>0</formula>
    </cfRule>
    <cfRule type="cellIs" dxfId="3438" priority="726" operator="lessThan">
      <formula>0</formula>
    </cfRule>
  </conditionalFormatting>
  <conditionalFormatting sqref="P79:AC79">
    <cfRule type="containsText" dxfId="3437" priority="1195" operator="containsText" text="OK">
      <formula>NOT(ISERROR(SEARCH("OK",P79)))</formula>
    </cfRule>
    <cfRule type="containsText" dxfId="3436" priority="1196" operator="containsText" text="ERROR">
      <formula>NOT(ISERROR(SEARCH("ERROR",P79)))</formula>
    </cfRule>
  </conditionalFormatting>
  <conditionalFormatting sqref="P81:AC81">
    <cfRule type="containsText" dxfId="3435" priority="960" operator="containsText" text="OK">
      <formula>NOT(ISERROR(SEARCH("OK",P81)))</formula>
    </cfRule>
    <cfRule type="containsText" dxfId="3434" priority="961" operator="containsText" text="ERROR">
      <formula>NOT(ISERROR(SEARCH("ERROR",P81)))</formula>
    </cfRule>
  </conditionalFormatting>
  <conditionalFormatting sqref="P81:AC85">
    <cfRule type="cellIs" dxfId="3433" priority="938" operator="equal">
      <formula>0</formula>
    </cfRule>
    <cfRule type="cellIs" dxfId="3432" priority="939" operator="lessThan">
      <formula>0</formula>
    </cfRule>
  </conditionalFormatting>
  <conditionalFormatting sqref="P85:AC85">
    <cfRule type="containsText" dxfId="3431" priority="1171" operator="containsText" text="OK">
      <formula>NOT(ISERROR(SEARCH("OK",P85)))</formula>
    </cfRule>
    <cfRule type="containsText" dxfId="3430" priority="1172" operator="containsText" text="ERROR">
      <formula>NOT(ISERROR(SEARCH("ERROR",P85)))</formula>
    </cfRule>
  </conditionalFormatting>
  <conditionalFormatting sqref="P88:AC88">
    <cfRule type="containsText" dxfId="3429" priority="1147" operator="containsText" text="OK">
      <formula>NOT(ISERROR(SEARCH("OK",P88)))</formula>
    </cfRule>
    <cfRule type="containsText" dxfId="3428" priority="1148" operator="containsText" text="ERROR">
      <formula>NOT(ISERROR(SEARCH("ERROR",P88)))</formula>
    </cfRule>
  </conditionalFormatting>
  <conditionalFormatting sqref="P88:AC89">
    <cfRule type="cellIs" dxfId="3427" priority="1125" operator="equal">
      <formula>0</formula>
    </cfRule>
    <cfRule type="cellIs" dxfId="3426" priority="1126" operator="lessThan">
      <formula>0</formula>
    </cfRule>
  </conditionalFormatting>
  <conditionalFormatting sqref="P95:AC95">
    <cfRule type="cellIs" dxfId="3425" priority="1091" operator="equal">
      <formula>0</formula>
    </cfRule>
    <cfRule type="cellIs" dxfId="3424" priority="1092" operator="lessThan">
      <formula>0</formula>
    </cfRule>
    <cfRule type="containsText" dxfId="3423" priority="1099" operator="containsText" text="OK">
      <formula>NOT(ISERROR(SEARCH("OK",P95)))</formula>
    </cfRule>
    <cfRule type="containsText" dxfId="3422" priority="1100" operator="containsText" text="ERROR">
      <formula>NOT(ISERROR(SEARCH("ERROR",P95)))</formula>
    </cfRule>
  </conditionalFormatting>
  <conditionalFormatting sqref="P100:AC100">
    <cfRule type="cellIs" dxfId="3421" priority="1035" operator="equal">
      <formula>0</formula>
    </cfRule>
    <cfRule type="cellIs" dxfId="3420" priority="1036" operator="lessThan">
      <formula>0</formula>
    </cfRule>
    <cfRule type="containsText" dxfId="3419" priority="1043" operator="containsText" text="OK">
      <formula>NOT(ISERROR(SEARCH("OK",P100)))</formula>
    </cfRule>
    <cfRule type="containsText" dxfId="3418" priority="1044" operator="containsText" text="ERROR">
      <formula>NOT(ISERROR(SEARCH("ERROR",P100)))</formula>
    </cfRule>
  </conditionalFormatting>
  <conditionalFormatting sqref="Q352:Q359">
    <cfRule type="cellIs" dxfId="3417" priority="334" operator="equal">
      <formula>0</formula>
    </cfRule>
    <cfRule type="cellIs" dxfId="3416" priority="335" operator="lessThan">
      <formula>0</formula>
    </cfRule>
  </conditionalFormatting>
  <conditionalFormatting sqref="R97">
    <cfRule type="cellIs" dxfId="3415" priority="3242" operator="between">
      <formula>0</formula>
      <formula>$P$357</formula>
    </cfRule>
    <cfRule type="cellIs" dxfId="3414" priority="3243" operator="greaterThan">
      <formula>$P$357*3</formula>
    </cfRule>
    <cfRule type="cellIs" dxfId="3413" priority="3244" operator="between">
      <formula>$P$357</formula>
      <formula>$P$357*2.999</formula>
    </cfRule>
    <cfRule type="cellIs" dxfId="3412" priority="3245" operator="lessThan">
      <formula>0</formula>
    </cfRule>
  </conditionalFormatting>
  <conditionalFormatting sqref="R69:AC69">
    <cfRule type="cellIs" dxfId="3411" priority="825" operator="equal">
      <formula>0</formula>
    </cfRule>
  </conditionalFormatting>
  <conditionalFormatting sqref="R78:AC78">
    <cfRule type="cellIs" dxfId="3410" priority="1223" operator="equal">
      <formula>0</formula>
    </cfRule>
    <cfRule type="containsText" dxfId="3409" priority="1261" operator="containsText" text="OK">
      <formula>NOT(ISERROR(SEARCH("OK",R78)))</formula>
    </cfRule>
    <cfRule type="containsText" dxfId="3408" priority="1262" operator="containsText" text="ERROR">
      <formula>NOT(ISERROR(SEARCH("ERROR",R78)))</formula>
    </cfRule>
  </conditionalFormatting>
  <conditionalFormatting sqref="R78:XFD78">
    <cfRule type="cellIs" dxfId="3407" priority="1263" operator="equal">
      <formula>0</formula>
    </cfRule>
    <cfRule type="cellIs" dxfId="3406" priority="1264" operator="lessThan">
      <formula>0</formula>
    </cfRule>
  </conditionalFormatting>
  <conditionalFormatting sqref="S352:S355">
    <cfRule type="cellIs" dxfId="3405" priority="312" operator="equal">
      <formula>0</formula>
    </cfRule>
    <cfRule type="cellIs" dxfId="3404" priority="313" operator="lessThan">
      <formula>0</formula>
    </cfRule>
  </conditionalFormatting>
  <conditionalFormatting sqref="S352:S359 Z352:Z359">
    <cfRule type="cellIs" dxfId="3403" priority="332" operator="equal">
      <formula>0</formula>
    </cfRule>
    <cfRule type="cellIs" dxfId="3402" priority="333" operator="lessThan">
      <formula>0</formula>
    </cfRule>
  </conditionalFormatting>
  <conditionalFormatting sqref="S356:S357">
    <cfRule type="cellIs" dxfId="3401" priority="314" operator="lessThan">
      <formula>0.25</formula>
    </cfRule>
    <cfRule type="cellIs" dxfId="3400" priority="315" operator="greaterThanOrEqual">
      <formula>0.25</formula>
    </cfRule>
  </conditionalFormatting>
  <conditionalFormatting sqref="S358">
    <cfRule type="cellIs" dxfId="3399" priority="310" operator="equal">
      <formula>0</formula>
    </cfRule>
    <cfRule type="cellIs" dxfId="3398" priority="311" operator="lessThan">
      <formula>0</formula>
    </cfRule>
  </conditionalFormatting>
  <conditionalFormatting sqref="S359">
    <cfRule type="cellIs" dxfId="3397" priority="316" operator="greaterThan">
      <formula>3</formula>
    </cfRule>
    <cfRule type="cellIs" dxfId="3396" priority="317" operator="between">
      <formula>2</formula>
      <formula>2.999</formula>
    </cfRule>
    <cfRule type="cellIs" dxfId="3395" priority="318" operator="lessThan">
      <formula>2</formula>
    </cfRule>
  </conditionalFormatting>
  <conditionalFormatting sqref="U97">
    <cfRule type="cellIs" dxfId="3394" priority="1548" operator="greaterThan">
      <formula>3</formula>
    </cfRule>
    <cfRule type="cellIs" dxfId="3393" priority="1549" operator="between">
      <formula>2</formula>
      <formula>2.999</formula>
    </cfRule>
    <cfRule type="cellIs" dxfId="3392" priority="1550" operator="between">
      <formula>1</formula>
      <formula>1.999</formula>
    </cfRule>
    <cfRule type="cellIs" dxfId="3391" priority="1551" operator="lessThan">
      <formula>1</formula>
    </cfRule>
  </conditionalFormatting>
  <conditionalFormatting sqref="U334">
    <cfRule type="cellIs" dxfId="3390" priority="876" operator="lessThan">
      <formula>0</formula>
    </cfRule>
  </conditionalFormatting>
  <conditionalFormatting sqref="U334:V334">
    <cfRule type="cellIs" dxfId="3389" priority="875" operator="equal">
      <formula>0</formula>
    </cfRule>
  </conditionalFormatting>
  <conditionalFormatting sqref="V333">
    <cfRule type="cellIs" dxfId="3388" priority="3187" operator="equal">
      <formula>0</formula>
    </cfRule>
  </conditionalFormatting>
  <conditionalFormatting sqref="V333:V334">
    <cfRule type="cellIs" dxfId="3387" priority="3188" operator="lessThan">
      <formula>0</formula>
    </cfRule>
  </conditionalFormatting>
  <conditionalFormatting sqref="V335:V349 V351">
    <cfRule type="containsText" dxfId="3386" priority="3118" operator="containsText" text="wrong">
      <formula>NOT(ISERROR(SEARCH("wrong",V335)))</formula>
    </cfRule>
  </conditionalFormatting>
  <conditionalFormatting sqref="V353:V359">
    <cfRule type="cellIs" dxfId="3385" priority="330" operator="equal">
      <formula>0</formula>
    </cfRule>
    <cfRule type="cellIs" dxfId="3384" priority="331" operator="lessThan">
      <formula>0</formula>
    </cfRule>
  </conditionalFormatting>
  <conditionalFormatting sqref="W24:AA25">
    <cfRule type="cellIs" dxfId="3383" priority="23" operator="equal">
      <formula>0</formula>
    </cfRule>
    <cfRule type="containsText" dxfId="3382" priority="25" operator="containsText" text="OK">
      <formula>NOT(ISERROR(SEARCH("OK",W24)))</formula>
    </cfRule>
  </conditionalFormatting>
  <conditionalFormatting sqref="W35:AA35">
    <cfRule type="containsText" dxfId="3381" priority="204" operator="containsText" text="OK">
      <formula>NOT(ISERROR(SEARCH("OK",W35)))</formula>
    </cfRule>
    <cfRule type="containsText" dxfId="3380" priority="205" operator="containsText" text="ERROR">
      <formula>NOT(ISERROR(SEARCH("ERROR",W35)))</formula>
    </cfRule>
    <cfRule type="cellIs" dxfId="3379" priority="206" operator="equal">
      <formula>0</formula>
    </cfRule>
  </conditionalFormatting>
  <conditionalFormatting sqref="W37:AA37">
    <cfRule type="containsText" dxfId="3378" priority="198" operator="containsText" text="OK">
      <formula>NOT(ISERROR(SEARCH("OK",W37)))</formula>
    </cfRule>
    <cfRule type="containsText" dxfId="3377" priority="199" operator="containsText" text="ERROR">
      <formula>NOT(ISERROR(SEARCH("ERROR",W37)))</formula>
    </cfRule>
    <cfRule type="containsText" dxfId="3376" priority="200" operator="containsText" text="OK">
      <formula>NOT(ISERROR(SEARCH("OK",W37)))</formula>
    </cfRule>
    <cfRule type="containsText" dxfId="3375" priority="201" operator="containsText" text="ERROR">
      <formula>NOT(ISERROR(SEARCH("ERROR",W37)))</formula>
    </cfRule>
  </conditionalFormatting>
  <conditionalFormatting sqref="W97:AA99 N103:AC103">
    <cfRule type="cellIs" dxfId="3374" priority="2872" operator="lessThan">
      <formula>0</formula>
    </cfRule>
  </conditionalFormatting>
  <conditionalFormatting sqref="W97:AA99 W103:AA103">
    <cfRule type="containsText" dxfId="3373" priority="2869" operator="containsText" text="OK">
      <formula>NOT(ISERROR(SEARCH("OK",W97)))</formula>
    </cfRule>
    <cfRule type="containsText" dxfId="3372" priority="2870" operator="containsText" text="ERROR">
      <formula>NOT(ISERROR(SEARCH("ERROR",W97)))</formula>
    </cfRule>
    <cfRule type="cellIs" dxfId="3371" priority="2871" operator="equal">
      <formula>0</formula>
    </cfRule>
  </conditionalFormatting>
  <conditionalFormatting sqref="W379:AA381">
    <cfRule type="containsText" dxfId="3370" priority="354" operator="containsText" text="OK">
      <formula>NOT(ISERROR(SEARCH("OK",W379)))</formula>
    </cfRule>
    <cfRule type="containsText" dxfId="3369" priority="355" operator="containsText" text="ERROR">
      <formula>NOT(ISERROR(SEARCH("ERROR",W379)))</formula>
    </cfRule>
  </conditionalFormatting>
  <conditionalFormatting sqref="W380:AA381">
    <cfRule type="cellIs" dxfId="3368" priority="360" operator="equal">
      <formula>0</formula>
    </cfRule>
    <cfRule type="cellIs" dxfId="3367" priority="361" operator="lessThan">
      <formula>0</formula>
    </cfRule>
  </conditionalFormatting>
  <conditionalFormatting sqref="W391:AA391">
    <cfRule type="containsText" dxfId="3366" priority="484" operator="containsText" text="OK">
      <formula>NOT(ISERROR(SEARCH("OK",W391)))</formula>
    </cfRule>
    <cfRule type="containsText" dxfId="3365" priority="485" operator="containsText" text="ERROR">
      <formula>NOT(ISERROR(SEARCH("ERROR",W391)))</formula>
    </cfRule>
    <cfRule type="cellIs" dxfId="3364" priority="486" operator="equal">
      <formula>0</formula>
    </cfRule>
  </conditionalFormatting>
  <conditionalFormatting sqref="W393:AA393">
    <cfRule type="containsText" dxfId="3363" priority="478" operator="containsText" text="OK">
      <formula>NOT(ISERROR(SEARCH("OK",W393)))</formula>
    </cfRule>
    <cfRule type="containsText" dxfId="3362" priority="479" operator="containsText" text="ERROR">
      <formula>NOT(ISERROR(SEARCH("ERROR",W393)))</formula>
    </cfRule>
    <cfRule type="containsText" dxfId="3361" priority="480" operator="containsText" text="OK">
      <formula>NOT(ISERROR(SEARCH("OK",W393)))</formula>
    </cfRule>
    <cfRule type="containsText" dxfId="3360" priority="481" operator="containsText" text="ERROR">
      <formula>NOT(ISERROR(SEARCH("ERROR",W393)))</formula>
    </cfRule>
  </conditionalFormatting>
  <conditionalFormatting sqref="W35:AB35">
    <cfRule type="cellIs" dxfId="3359" priority="197" operator="lessThan">
      <formula>0</formula>
    </cfRule>
  </conditionalFormatting>
  <conditionalFormatting sqref="W37:AB37">
    <cfRule type="cellIs" dxfId="3358" priority="192" operator="equal">
      <formula>0</formula>
    </cfRule>
    <cfRule type="cellIs" dxfId="3357" priority="193" operator="lessThan">
      <formula>0</formula>
    </cfRule>
  </conditionalFormatting>
  <conditionalFormatting sqref="W52:AB65">
    <cfRule type="cellIs" dxfId="3356" priority="2760" operator="equal">
      <formula>0</formula>
    </cfRule>
  </conditionalFormatting>
  <conditionalFormatting sqref="W63:AB64">
    <cfRule type="containsText" dxfId="3355" priority="2779" operator="containsText" text="OK">
      <formula>NOT(ISERROR(SEARCH("OK",W63)))</formula>
    </cfRule>
    <cfRule type="containsText" dxfId="3354" priority="2780" operator="containsText" text="ERROR">
      <formula>NOT(ISERROR(SEARCH("ERROR",W63)))</formula>
    </cfRule>
  </conditionalFormatting>
  <conditionalFormatting sqref="W97:AB99 W103:AB103 W275:AB275">
    <cfRule type="cellIs" dxfId="3353" priority="2776" operator="lessThan">
      <formula>0</formula>
    </cfRule>
  </conditionalFormatting>
  <conditionalFormatting sqref="W101:AB102">
    <cfRule type="cellIs" dxfId="3352" priority="1298" operator="lessThan">
      <formula>0</formula>
    </cfRule>
  </conditionalFormatting>
  <conditionalFormatting sqref="W275:AB277">
    <cfRule type="cellIs" dxfId="3351" priority="1505" operator="equal">
      <formula>0</formula>
    </cfRule>
  </conditionalFormatting>
  <conditionalFormatting sqref="W391:AB391">
    <cfRule type="cellIs" dxfId="3350" priority="475" operator="lessThan">
      <formula>0</formula>
    </cfRule>
  </conditionalFormatting>
  <conditionalFormatting sqref="W393:AB393">
    <cfRule type="cellIs" dxfId="3349" priority="470" operator="equal">
      <formula>0</formula>
    </cfRule>
    <cfRule type="cellIs" dxfId="3348" priority="471" operator="lessThan">
      <formula>0</formula>
    </cfRule>
  </conditionalFormatting>
  <conditionalFormatting sqref="W18:AC20">
    <cfRule type="cellIs" dxfId="3347" priority="278" operator="equal">
      <formula>0</formula>
    </cfRule>
    <cfRule type="cellIs" dxfId="3346" priority="279" operator="lessThan">
      <formula>0</formula>
    </cfRule>
  </conditionalFormatting>
  <conditionalFormatting sqref="W21:AC22">
    <cfRule type="cellIs" dxfId="3345" priority="72" operator="equal">
      <formula>0</formula>
    </cfRule>
    <cfRule type="cellIs" dxfId="3344" priority="73" operator="lessThan">
      <formula>0</formula>
    </cfRule>
    <cfRule type="containsText" dxfId="3343" priority="74" operator="containsText" text="OK">
      <formula>NOT(ISERROR(SEARCH("OK",W21)))</formula>
    </cfRule>
    <cfRule type="containsText" dxfId="3342" priority="75" operator="containsText" text="ERROR">
      <formula>NOT(ISERROR(SEARCH("ERROR",W21)))</formula>
    </cfRule>
  </conditionalFormatting>
  <conditionalFormatting sqref="W24:AC25">
    <cfRule type="containsText" dxfId="3341" priority="3246" operator="containsText" text="ERROR">
      <formula>NOT(ISERROR(SEARCH("ERROR",W24)))</formula>
    </cfRule>
    <cfRule type="cellIs" dxfId="3340" priority="3246" operator="lessThan">
      <formula>0</formula>
    </cfRule>
  </conditionalFormatting>
  <conditionalFormatting sqref="W26:AC26">
    <cfRule type="containsText" dxfId="3339" priority="266" operator="containsText" text="OK">
      <formula>NOT(ISERROR(SEARCH("OK",W26)))</formula>
    </cfRule>
    <cfRule type="containsText" dxfId="3338" priority="267" operator="containsText" text="ERROR">
      <formula>NOT(ISERROR(SEARCH("ERROR",W26)))</formula>
    </cfRule>
    <cfRule type="cellIs" dxfId="3337" priority="268" operator="equal">
      <formula>0</formula>
    </cfRule>
    <cfRule type="cellIs" dxfId="3336" priority="269" operator="lessThan">
      <formula>0</formula>
    </cfRule>
  </conditionalFormatting>
  <conditionalFormatting sqref="W52:AC64 AB97:AC99 AB103:AC103 W114:AC114 W138:AC138 W32:AC32 W256:AC257 AC273:XFD275 W360:AC360 W866:AC1048576">
    <cfRule type="cellIs" dxfId="3335" priority="2684" operator="lessThan">
      <formula>0</formula>
    </cfRule>
  </conditionalFormatting>
  <conditionalFormatting sqref="W53:AC62 AC97:AC99 AC103 J114:AC114 N138:AC138">
    <cfRule type="containsText" dxfId="3334" priority="2682" operator="containsText" text="ERROR">
      <formula>NOT(ISERROR(SEARCH("ERROR",J53)))</formula>
    </cfRule>
  </conditionalFormatting>
  <conditionalFormatting sqref="W65:AC65">
    <cfRule type="containsText" dxfId="3333" priority="2666" operator="containsText" text="OK">
      <formula>NOT(ISERROR(SEARCH("OK",W65)))</formula>
    </cfRule>
    <cfRule type="containsText" dxfId="3332" priority="2667" operator="containsText" text="ERROR">
      <formula>NOT(ISERROR(SEARCH("ERROR",W65)))</formula>
    </cfRule>
  </conditionalFormatting>
  <conditionalFormatting sqref="W70:AC72">
    <cfRule type="cellIs" dxfId="3331" priority="1371" operator="equal">
      <formula>0</formula>
    </cfRule>
    <cfRule type="cellIs" dxfId="3330" priority="1372" operator="lessThan">
      <formula>0</formula>
    </cfRule>
  </conditionalFormatting>
  <conditionalFormatting sqref="W73:AC73">
    <cfRule type="cellIs" dxfId="3329" priority="761" operator="equal">
      <formula>0</formula>
    </cfRule>
    <cfRule type="cellIs" dxfId="3328" priority="762" operator="lessThan">
      <formula>0</formula>
    </cfRule>
  </conditionalFormatting>
  <conditionalFormatting sqref="W74:AC75">
    <cfRule type="cellIs" dxfId="3327" priority="532" operator="equal">
      <formula>0</formula>
    </cfRule>
    <cfRule type="cellIs" dxfId="3326" priority="533" operator="lessThan">
      <formula>0</formula>
    </cfRule>
  </conditionalFormatting>
  <conditionalFormatting sqref="W97:AC99 W103:AC103">
    <cfRule type="cellIs" dxfId="3325" priority="2679" operator="equal">
      <formula>0</formula>
    </cfRule>
  </conditionalFormatting>
  <conditionalFormatting sqref="W101:AC102">
    <cfRule type="cellIs" dxfId="3324" priority="1295" operator="equal">
      <formula>0</formula>
    </cfRule>
  </conditionalFormatting>
  <conditionalFormatting sqref="W115:AC115">
    <cfRule type="cellIs" dxfId="3323" priority="997" operator="equal">
      <formula>0</formula>
    </cfRule>
    <cfRule type="cellIs" dxfId="3322" priority="998" operator="lessThan">
      <formula>0</formula>
    </cfRule>
  </conditionalFormatting>
  <conditionalFormatting sqref="W117:AC123">
    <cfRule type="cellIs" dxfId="3321" priority="1015" operator="equal">
      <formula>0</formula>
    </cfRule>
    <cfRule type="cellIs" dxfId="3320" priority="1016" operator="lessThan">
      <formula>0</formula>
    </cfRule>
  </conditionalFormatting>
  <conditionalFormatting sqref="W126:AC132 W134:AC137 W139:AC141">
    <cfRule type="cellIs" dxfId="3319" priority="1307" operator="equal">
      <formula>0</formula>
    </cfRule>
    <cfRule type="cellIs" dxfId="3318" priority="1308" operator="lessThan">
      <formula>0</formula>
    </cfRule>
  </conditionalFormatting>
  <conditionalFormatting sqref="W148:AC152 W156:XFD158 W161:AC161 W167:AC168 W170:AC170">
    <cfRule type="cellIs" dxfId="3317" priority="1313" operator="equal">
      <formula>0</formula>
    </cfRule>
    <cfRule type="cellIs" dxfId="3316" priority="1314" operator="lessThan">
      <formula>0</formula>
    </cfRule>
  </conditionalFormatting>
  <conditionalFormatting sqref="W153:AC155">
    <cfRule type="containsText" dxfId="3315" priority="2603" operator="containsText" text="OK">
      <formula>NOT(ISERROR(SEARCH("OK",W153)))</formula>
    </cfRule>
    <cfRule type="containsText" dxfId="3314" priority="2604" operator="containsText" text="ERROR">
      <formula>NOT(ISERROR(SEARCH("ERROR",W153)))</formula>
    </cfRule>
    <cfRule type="cellIs" dxfId="3313" priority="2605" operator="equal">
      <formula>0</formula>
    </cfRule>
    <cfRule type="cellIs" dxfId="3312" priority="2606" operator="lessThan">
      <formula>0</formula>
    </cfRule>
  </conditionalFormatting>
  <conditionalFormatting sqref="W164:AC165">
    <cfRule type="cellIs" dxfId="3311" priority="604" operator="equal">
      <formula>0</formula>
    </cfRule>
    <cfRule type="cellIs" dxfId="3310" priority="605" operator="lessThan">
      <formula>0</formula>
    </cfRule>
  </conditionalFormatting>
  <conditionalFormatting sqref="W198:AC217">
    <cfRule type="cellIs" dxfId="3309" priority="1319" operator="equal">
      <formula>0</formula>
    </cfRule>
  </conditionalFormatting>
  <conditionalFormatting sqref="W198:AC240">
    <cfRule type="cellIs" dxfId="3308" priority="752" operator="lessThan">
      <formula>0</formula>
    </cfRule>
  </conditionalFormatting>
  <conditionalFormatting sqref="W225:AC243">
    <cfRule type="cellIs" dxfId="3307" priority="751" operator="equal">
      <formula>0</formula>
    </cfRule>
  </conditionalFormatting>
  <conditionalFormatting sqref="W246:AC248 W251:AC252">
    <cfRule type="cellIs" dxfId="3306" priority="1337" operator="equal">
      <formula>0</formula>
    </cfRule>
    <cfRule type="cellIs" dxfId="3305" priority="1338" operator="lessThan">
      <formula>0</formula>
    </cfRule>
  </conditionalFormatting>
  <conditionalFormatting sqref="W259:AC268">
    <cfRule type="cellIs" dxfId="3304" priority="1331" operator="equal">
      <formula>0</formula>
    </cfRule>
    <cfRule type="cellIs" dxfId="3303" priority="1332" operator="lessThan">
      <formula>0</formula>
    </cfRule>
  </conditionalFormatting>
  <conditionalFormatting sqref="W277:AC277">
    <cfRule type="cellIs" dxfId="3302" priority="1504" operator="lessThan">
      <formula>0</formula>
    </cfRule>
  </conditionalFormatting>
  <conditionalFormatting sqref="W294:AC294">
    <cfRule type="cellIs" dxfId="3301" priority="1283" operator="equal">
      <formula>0</formula>
    </cfRule>
    <cfRule type="cellIs" dxfId="3300" priority="1284" operator="lessThan">
      <formula>0</formula>
    </cfRule>
  </conditionalFormatting>
  <conditionalFormatting sqref="W304:AC304">
    <cfRule type="cellIs" dxfId="3299" priority="1277" operator="equal">
      <formula>0</formula>
    </cfRule>
    <cfRule type="cellIs" dxfId="3298" priority="1278" operator="lessThan">
      <formula>0</formula>
    </cfRule>
  </conditionalFormatting>
  <conditionalFormatting sqref="W306:AC307">
    <cfRule type="cellIs" dxfId="3297" priority="1497" operator="equal">
      <formula>0</formula>
    </cfRule>
    <cfRule type="cellIs" dxfId="3296" priority="1498" operator="lessThan">
      <formula>0</formula>
    </cfRule>
  </conditionalFormatting>
  <conditionalFormatting sqref="W311:AC317">
    <cfRule type="cellIs" dxfId="3295" priority="2623" operator="equal">
      <formula>0</formula>
    </cfRule>
    <cfRule type="cellIs" dxfId="3294" priority="2624" operator="lessThan">
      <formula>0</formula>
    </cfRule>
  </conditionalFormatting>
  <conditionalFormatting sqref="W319:AC323">
    <cfRule type="cellIs" dxfId="3293" priority="1271" operator="equal">
      <formula>0</formula>
    </cfRule>
    <cfRule type="cellIs" dxfId="3292" priority="1272" operator="lessThan">
      <formula>0</formula>
    </cfRule>
  </conditionalFormatting>
  <conditionalFormatting sqref="W325:AC349">
    <cfRule type="cellIs" dxfId="3291" priority="2672" operator="lessThan">
      <formula>0</formula>
    </cfRule>
  </conditionalFormatting>
  <conditionalFormatting sqref="W351:AC351">
    <cfRule type="cellIs" dxfId="3290" priority="2595" operator="equal">
      <formula>0</formula>
    </cfRule>
    <cfRule type="cellIs" dxfId="3289" priority="2596" operator="lessThan">
      <formula>0</formula>
    </cfRule>
  </conditionalFormatting>
  <conditionalFormatting sqref="W362:AC362">
    <cfRule type="cellIs" dxfId="3288" priority="339" operator="equal">
      <formula>0</formula>
    </cfRule>
    <cfRule type="cellIs" dxfId="3287" priority="340" operator="lessThan">
      <formula>0</formula>
    </cfRule>
  </conditionalFormatting>
  <conditionalFormatting sqref="W374:AC376 W388:AC388">
    <cfRule type="cellIs" dxfId="3286" priority="462" operator="equal">
      <formula>0</formula>
    </cfRule>
    <cfRule type="cellIs" dxfId="3285" priority="463" operator="lessThan">
      <formula>0</formula>
    </cfRule>
  </conditionalFormatting>
  <conditionalFormatting sqref="W377:AC378">
    <cfRule type="cellIs" dxfId="3284" priority="64" operator="equal">
      <formula>0</formula>
    </cfRule>
    <cfRule type="cellIs" dxfId="3283" priority="65" operator="lessThan">
      <formula>0</formula>
    </cfRule>
    <cfRule type="containsText" dxfId="3282" priority="66" operator="containsText" text="OK">
      <formula>NOT(ISERROR(SEARCH("OK",W377)))</formula>
    </cfRule>
    <cfRule type="containsText" dxfId="3281" priority="67" operator="containsText" text="ERROR">
      <formula>NOT(ISERROR(SEARCH("ERROR",W377)))</formula>
    </cfRule>
  </conditionalFormatting>
  <conditionalFormatting sqref="W382:AC382">
    <cfRule type="containsText" dxfId="3280" priority="436" operator="containsText" text="OK">
      <formula>NOT(ISERROR(SEARCH("OK",W382)))</formula>
    </cfRule>
    <cfRule type="containsText" dxfId="3279" priority="437" operator="containsText" text="ERROR">
      <formula>NOT(ISERROR(SEARCH("ERROR",W382)))</formula>
    </cfRule>
    <cfRule type="cellIs" dxfId="3278" priority="438" operator="equal">
      <formula>0</formula>
    </cfRule>
    <cfRule type="cellIs" dxfId="3277" priority="439" operator="lessThan">
      <formula>0</formula>
    </cfRule>
  </conditionalFormatting>
  <conditionalFormatting sqref="W407:AC407">
    <cfRule type="cellIs" dxfId="3276" priority="51" operator="equal">
      <formula>0</formula>
    </cfRule>
    <cfRule type="cellIs" dxfId="3275" priority="52" operator="lessThan">
      <formula>0</formula>
    </cfRule>
  </conditionalFormatting>
  <conditionalFormatting sqref="W455:AC455">
    <cfRule type="cellIs" dxfId="3274" priority="342" operator="equal">
      <formula>0</formula>
    </cfRule>
    <cfRule type="cellIs" dxfId="3273" priority="343" operator="lessThan">
      <formula>0</formula>
    </cfRule>
  </conditionalFormatting>
  <conditionalFormatting sqref="X259:AC259">
    <cfRule type="cellIs" dxfId="3272" priority="2593" operator="equal">
      <formula>0</formula>
    </cfRule>
    <cfRule type="cellIs" dxfId="3271" priority="2594" operator="lessThan">
      <formula>0</formula>
    </cfRule>
  </conditionalFormatting>
  <conditionalFormatting sqref="Y352:Y355">
    <cfRule type="cellIs" dxfId="3270" priority="323" operator="equal">
      <formula>0</formula>
    </cfRule>
    <cfRule type="cellIs" dxfId="3269" priority="324" operator="lessThan">
      <formula>0</formula>
    </cfRule>
  </conditionalFormatting>
  <conditionalFormatting sqref="Y356:Y357">
    <cfRule type="cellIs" dxfId="3268" priority="325" operator="lessThan">
      <formula>0.25</formula>
    </cfRule>
    <cfRule type="cellIs" dxfId="3267" priority="326" operator="greaterThanOrEqual">
      <formula>0.25</formula>
    </cfRule>
  </conditionalFormatting>
  <conditionalFormatting sqref="Y358">
    <cfRule type="cellIs" dxfId="3266" priority="321" operator="equal">
      <formula>0</formula>
    </cfRule>
    <cfRule type="cellIs" dxfId="3265" priority="322" operator="lessThan">
      <formula>0</formula>
    </cfRule>
  </conditionalFormatting>
  <conditionalFormatting sqref="Y359">
    <cfRule type="cellIs" dxfId="3264" priority="327" operator="greaterThan">
      <formula>3</formula>
    </cfRule>
    <cfRule type="cellIs" dxfId="3263" priority="328" operator="between">
      <formula>2</formula>
      <formula>2.999</formula>
    </cfRule>
    <cfRule type="cellIs" dxfId="3262" priority="329" operator="lessThan">
      <formula>2</formula>
    </cfRule>
  </conditionalFormatting>
  <conditionalFormatting sqref="AB35">
    <cfRule type="containsText" dxfId="3261" priority="194" operator="containsText" text="OK">
      <formula>NOT(ISERROR(SEARCH("OK",AB35)))</formula>
    </cfRule>
    <cfRule type="containsText" dxfId="3260" priority="195" operator="containsText" text="ERROR">
      <formula>NOT(ISERROR(SEARCH("ERROR",AB35)))</formula>
    </cfRule>
    <cfRule type="cellIs" dxfId="3259" priority="196" operator="equal">
      <formula>0</formula>
    </cfRule>
  </conditionalFormatting>
  <conditionalFormatting sqref="AB37">
    <cfRule type="containsText" dxfId="3258" priority="188" operator="containsText" text="OK">
      <formula>NOT(ISERROR(SEARCH("OK",AB37)))</formula>
    </cfRule>
    <cfRule type="containsText" dxfId="3257" priority="189" operator="containsText" text="ERROR">
      <formula>NOT(ISERROR(SEARCH("ERROR",AB37)))</formula>
    </cfRule>
    <cfRule type="containsText" dxfId="3256" priority="190" operator="containsText" text="OK">
      <formula>NOT(ISERROR(SEARCH("OK",AB37)))</formula>
    </cfRule>
    <cfRule type="containsText" dxfId="3255" priority="191" operator="containsText" text="ERROR">
      <formula>NOT(ISERROR(SEARCH("ERROR",AB37)))</formula>
    </cfRule>
  </conditionalFormatting>
  <conditionalFormatting sqref="AB97:AB99 AB103">
    <cfRule type="containsText" dxfId="3254" priority="2773" operator="containsText" text="OK">
      <formula>NOT(ISERROR(SEARCH("OK",AB97)))</formula>
    </cfRule>
    <cfRule type="containsText" dxfId="3253" priority="2774" operator="containsText" text="ERROR">
      <formula>NOT(ISERROR(SEARCH("ERROR",AB97)))</formula>
    </cfRule>
    <cfRule type="cellIs" dxfId="3252" priority="2775" operator="equal">
      <formula>0</formula>
    </cfRule>
  </conditionalFormatting>
  <conditionalFormatting sqref="AB391">
    <cfRule type="containsText" dxfId="3251" priority="472" operator="containsText" text="OK">
      <formula>NOT(ISERROR(SEARCH("OK",AB391)))</formula>
    </cfRule>
    <cfRule type="containsText" dxfId="3250" priority="473" operator="containsText" text="ERROR">
      <formula>NOT(ISERROR(SEARCH("ERROR",AB391)))</formula>
    </cfRule>
    <cfRule type="cellIs" dxfId="3249" priority="474" operator="equal">
      <formula>0</formula>
    </cfRule>
  </conditionalFormatting>
  <conditionalFormatting sqref="AB393">
    <cfRule type="containsText" dxfId="3248" priority="466" operator="containsText" text="OK">
      <formula>NOT(ISERROR(SEARCH("OK",AB393)))</formula>
    </cfRule>
    <cfRule type="containsText" dxfId="3247" priority="467" operator="containsText" text="ERROR">
      <formula>NOT(ISERROR(SEARCH("ERROR",AB393)))</formula>
    </cfRule>
    <cfRule type="containsText" dxfId="3246" priority="468" operator="containsText" text="OK">
      <formula>NOT(ISERROR(SEARCH("OK",AB393)))</formula>
    </cfRule>
    <cfRule type="containsText" dxfId="3245" priority="469" operator="containsText" text="ERROR">
      <formula>NOT(ISERROR(SEARCH("ERROR",AB393)))</formula>
    </cfRule>
  </conditionalFormatting>
  <conditionalFormatting sqref="AB23:AC23">
    <cfRule type="containsText" dxfId="3244" priority="275" operator="containsText" text="ERROR">
      <formula>NOT(ISERROR(SEARCH("ERROR",AB23)))</formula>
    </cfRule>
  </conditionalFormatting>
  <conditionalFormatting sqref="AB23:AC25">
    <cfRule type="cellIs" dxfId="3243" priority="272" operator="equal">
      <formula>0</formula>
    </cfRule>
    <cfRule type="containsText" dxfId="3242" priority="274" operator="containsText" text="OK">
      <formula>NOT(ISERROR(SEARCH("OK",AB23)))</formula>
    </cfRule>
  </conditionalFormatting>
  <conditionalFormatting sqref="AB24:AC25">
    <cfRule type="containsText" dxfId="3241" priority="32" operator="containsText" text="ERROR">
      <formula>NOT(ISERROR(SEARCH("ERROR",AB24)))</formula>
    </cfRule>
  </conditionalFormatting>
  <conditionalFormatting sqref="AB35:AC35">
    <cfRule type="cellIs" dxfId="3240" priority="187" operator="lessThan">
      <formula>0</formula>
    </cfRule>
  </conditionalFormatting>
  <conditionalFormatting sqref="AB379:AC381">
    <cfRule type="cellIs" dxfId="3239" priority="442" operator="equal">
      <formula>0</formula>
    </cfRule>
    <cfRule type="cellIs" dxfId="3238" priority="443" operator="lessThan">
      <formula>0</formula>
    </cfRule>
    <cfRule type="containsText" dxfId="3237" priority="444" operator="containsText" text="OK">
      <formula>NOT(ISERROR(SEARCH("OK",AB379)))</formula>
    </cfRule>
    <cfRule type="containsText" dxfId="3236" priority="445" operator="containsText" text="ERROR">
      <formula>NOT(ISERROR(SEARCH("ERROR",AB379)))</formula>
    </cfRule>
  </conditionalFormatting>
  <conditionalFormatting sqref="AB379:AC382">
    <cfRule type="containsText" dxfId="3235" priority="440" operator="containsText" text="OK">
      <formula>NOT(ISERROR(SEARCH("OK",AB379)))</formula>
    </cfRule>
    <cfRule type="containsText" dxfId="3234" priority="441" operator="containsText" text="ERROR">
      <formula>NOT(ISERROR(SEARCH("ERROR",AB379)))</formula>
    </cfRule>
  </conditionalFormatting>
  <conditionalFormatting sqref="AB391:AC391">
    <cfRule type="cellIs" dxfId="3233" priority="459" operator="lessThan">
      <formula>0</formula>
    </cfRule>
  </conditionalFormatting>
  <conditionalFormatting sqref="AB393:AC393">
    <cfRule type="cellIs" dxfId="3232" priority="452" operator="equal">
      <formula>0</formula>
    </cfRule>
    <cfRule type="cellIs" dxfId="3231" priority="453" operator="lessThan">
      <formula>0</formula>
    </cfRule>
  </conditionalFormatting>
  <conditionalFormatting sqref="AB23:XFD23">
    <cfRule type="cellIs" dxfId="3230" priority="273" operator="lessThan">
      <formula>0</formula>
    </cfRule>
  </conditionalFormatting>
  <conditionalFormatting sqref="AB37:XFD37">
    <cfRule type="cellIs" dxfId="3229" priority="180" operator="equal">
      <formula>0</formula>
    </cfRule>
    <cfRule type="cellIs" dxfId="3228" priority="181" operator="lessThan">
      <formula>0</formula>
    </cfRule>
  </conditionalFormatting>
  <conditionalFormatting sqref="AC35">
    <cfRule type="cellIs" dxfId="3227" priority="183" operator="lessThan">
      <formula>0</formula>
    </cfRule>
    <cfRule type="containsText" dxfId="3226" priority="184" operator="containsText" text="OK">
      <formula>NOT(ISERROR(SEARCH("OK",AC35)))</formula>
    </cfRule>
    <cfRule type="containsText" dxfId="3225" priority="185" operator="containsText" text="ERROR">
      <formula>NOT(ISERROR(SEARCH("ERROR",AC35)))</formula>
    </cfRule>
    <cfRule type="cellIs" dxfId="3224" priority="186" operator="equal">
      <formula>0</formula>
    </cfRule>
  </conditionalFormatting>
  <conditionalFormatting sqref="AC37">
    <cfRule type="cellIs" dxfId="3223" priority="174" operator="equal">
      <formula>0</formula>
    </cfRule>
    <cfRule type="cellIs" dxfId="3222" priority="175" operator="lessThan">
      <formula>0</formula>
    </cfRule>
    <cfRule type="containsText" dxfId="3221" priority="176" operator="containsText" text="OK">
      <formula>NOT(ISERROR(SEARCH("OK",AC37)))</formula>
    </cfRule>
    <cfRule type="containsText" dxfId="3220" priority="177" operator="containsText" text="ERROR">
      <formula>NOT(ISERROR(SEARCH("ERROR",AC37)))</formula>
    </cfRule>
    <cfRule type="containsText" dxfId="3219" priority="178" operator="containsText" text="OK">
      <formula>NOT(ISERROR(SEARCH("OK",AC37)))</formula>
    </cfRule>
    <cfRule type="containsText" dxfId="3218" priority="179" operator="containsText" text="ERROR">
      <formula>NOT(ISERROR(SEARCH("ERROR",AC37)))</formula>
    </cfRule>
  </conditionalFormatting>
  <conditionalFormatting sqref="AC52:AC64 AC97:AC99 AC103 W114:AC114 W138:AC138 W218:AC224 W32:AC32 W256:AC257 AC273:XFD275 W325:AC325 W327:AC328 W330:AC349 W360:AC360 W866:AC1048576">
    <cfRule type="cellIs" dxfId="3217" priority="2683" operator="equal">
      <formula>0</formula>
    </cfRule>
  </conditionalFormatting>
  <conditionalFormatting sqref="AC63:AC64">
    <cfRule type="containsText" dxfId="3216" priority="2687" operator="containsText" text="OK">
      <formula>NOT(ISERROR(SEARCH("OK",AC63)))</formula>
    </cfRule>
    <cfRule type="containsText" dxfId="3215" priority="2688" operator="containsText" text="ERROR">
      <formula>NOT(ISERROR(SEARCH("ERROR",AC63)))</formula>
    </cfRule>
  </conditionalFormatting>
  <conditionalFormatting sqref="AC97:AC99 AC103 W53:AC62 J114:AC114 N138:AC138">
    <cfRule type="containsText" dxfId="3214" priority="2681" operator="containsText" text="OK">
      <formula>NOT(ISERROR(SEARCH("OK",J53)))</formula>
    </cfRule>
  </conditionalFormatting>
  <conditionalFormatting sqref="AC97:AC99">
    <cfRule type="cellIs" dxfId="3213" priority="2680" operator="lessThan">
      <formula>0</formula>
    </cfRule>
  </conditionalFormatting>
  <conditionalFormatting sqref="AC101:AC103">
    <cfRule type="cellIs" dxfId="3212" priority="1296" operator="lessThan">
      <formula>0</formula>
    </cfRule>
  </conditionalFormatting>
  <conditionalFormatting sqref="AC269:AC272">
    <cfRule type="cellIs" dxfId="3211" priority="2527" operator="equal">
      <formula>0</formula>
    </cfRule>
    <cfRule type="cellIs" dxfId="3210" priority="2528" operator="lessThan">
      <formula>0</formula>
    </cfRule>
  </conditionalFormatting>
  <conditionalFormatting sqref="AC276:AC277">
    <cfRule type="cellIs" dxfId="3209" priority="1503" operator="equal">
      <formula>0</formula>
    </cfRule>
  </conditionalFormatting>
  <conditionalFormatting sqref="AC391">
    <cfRule type="cellIs" dxfId="3208" priority="455" operator="lessThan">
      <formula>0</formula>
    </cfRule>
    <cfRule type="containsText" dxfId="3207" priority="456" operator="containsText" text="OK">
      <formula>NOT(ISERROR(SEARCH("OK",AC391)))</formula>
    </cfRule>
    <cfRule type="containsText" dxfId="3206" priority="457" operator="containsText" text="ERROR">
      <formula>NOT(ISERROR(SEARCH("ERROR",AC391)))</formula>
    </cfRule>
    <cfRule type="cellIs" dxfId="3205" priority="458" operator="equal">
      <formula>0</formula>
    </cfRule>
  </conditionalFormatting>
  <conditionalFormatting sqref="AC393">
    <cfRule type="cellIs" dxfId="3204" priority="446" operator="equal">
      <formula>0</formula>
    </cfRule>
    <cfRule type="cellIs" dxfId="3203" priority="447" operator="lessThan">
      <formula>0</formula>
    </cfRule>
    <cfRule type="containsText" dxfId="3202" priority="448" operator="containsText" text="OK">
      <formula>NOT(ISERROR(SEARCH("OK",AC393)))</formula>
    </cfRule>
    <cfRule type="containsText" dxfId="3201" priority="449" operator="containsText" text="ERROR">
      <formula>NOT(ISERROR(SEARCH("ERROR",AC393)))</formula>
    </cfRule>
    <cfRule type="containsText" dxfId="3200" priority="450" operator="containsText" text="OK">
      <formula>NOT(ISERROR(SEARCH("OK",AC393)))</formula>
    </cfRule>
    <cfRule type="containsText" dxfId="3199" priority="451" operator="containsText" text="ERROR">
      <formula>NOT(ISERROR(SEARCH("ERROR",AC393)))</formula>
    </cfRule>
  </conditionalFormatting>
  <conditionalFormatting sqref="AC65:XFD65">
    <cfRule type="cellIs" dxfId="3198" priority="2668" operator="equal">
      <formula>0</formula>
    </cfRule>
  </conditionalFormatting>
  <conditionalFormatting sqref="AD23:XFD23">
    <cfRule type="cellIs" dxfId="3197" priority="3003" operator="equal">
      <formula>0</formula>
    </cfRule>
  </conditionalFormatting>
  <conditionalFormatting sqref="AD245:XFD272">
    <cfRule type="cellIs" dxfId="3196" priority="2177" operator="equal">
      <formula>0</formula>
    </cfRule>
    <cfRule type="cellIs" dxfId="3195" priority="2178" operator="lessThan">
      <formula>0</formula>
    </cfRule>
  </conditionalFormatting>
  <conditionalFormatting sqref="AH86:AH87">
    <cfRule type="cellIs" dxfId="3194" priority="2899" operator="equal">
      <formula>0</formula>
    </cfRule>
    <cfRule type="cellIs" dxfId="3193" priority="2900" operator="lessThan">
      <formula>0</formula>
    </cfRule>
  </conditionalFormatting>
  <conditionalFormatting sqref="AQ352:BB359">
    <cfRule type="cellIs" dxfId="3192" priority="337" operator="equal">
      <formula>0</formula>
    </cfRule>
    <cfRule type="cellIs" dxfId="3191" priority="338" operator="lessThan">
      <formula>0</formula>
    </cfRule>
  </conditionalFormatting>
  <conditionalFormatting sqref="AQ361:BB362">
    <cfRule type="cellIs" dxfId="3190" priority="530" operator="equal">
      <formula>0</formula>
    </cfRule>
    <cfRule type="cellIs" dxfId="3189" priority="531" operator="lessThan">
      <formula>0</formula>
    </cfRule>
  </conditionalFormatting>
  <conditionalFormatting sqref="AQ407:BB407">
    <cfRule type="cellIs" dxfId="3188" priority="54" operator="equal">
      <formula>0</formula>
    </cfRule>
    <cfRule type="cellIs" dxfId="3187" priority="55" operator="lessThan">
      <formula>0</formula>
    </cfRule>
  </conditionalFormatting>
  <dataValidations count="8">
    <dataValidation type="list" allowBlank="1" showInputMessage="1" showErrorMessage="1" sqref="N12" xr:uid="{8405E2BF-1B2B-4547-A253-D1B062A85EFE}">
      <formula1>"Calendar Year, Fiscal Year"</formula1>
    </dataValidation>
    <dataValidation type="list" allowBlank="1" showInputMessage="1" showErrorMessage="1" sqref="P107" xr:uid="{B2AB391A-9ABB-4A50-94E6-E241BE491452}">
      <formula1>"No, Yes"</formula1>
    </dataValidation>
    <dataValidation allowBlank="1" showInputMessage="1" showErrorMessage="1" errorTitle="Error in data entered" error="Data entered has errors. Correction needed. e.g. Div 0!_x000a__x000a_This will cause errors in the calculations and financial model output. " sqref="N69:AC69" xr:uid="{272465FF-F577-44E8-B6B4-3EDE8AD653F5}"/>
    <dataValidation type="decimal" errorStyle="warning" operator="lessThan" allowBlank="1" showInputMessage="1" showErrorMessage="1" errorTitle="Input Value" error="Enter negative (-) % for cost" sqref="K183:K187" xr:uid="{D1D5C5B2-E968-48D9-875E-6827EA53E0B1}">
      <formula1>0</formula1>
    </dataValidation>
    <dataValidation type="decimal" errorStyle="warning" operator="greaterThan" allowBlank="1" showInputMessage="1" showErrorMessage="1" errorTitle="Input Value" error="COPA is typically postive (+) value" sqref="K182" xr:uid="{FB2695FC-A354-4018-B3A0-B0E7B19791AF}">
      <formula1>0</formula1>
    </dataValidation>
    <dataValidation type="decimal" errorStyle="warning" operator="greaterThan" allowBlank="1" showInputMessage="1" showErrorMessage="1" errorTitle="Error in data entered" error="Capex, Tooling Invetsment and Asset Transfers are normally postive (+) values" sqref="N70:AC70" xr:uid="{1618E76C-05A0-4C80-8D5E-3384A3DEB4EE}">
      <formula1>0</formula1>
    </dataValidation>
    <dataValidation type="whole" operator="greaterThanOrEqual" showInputMessage="1" showErrorMessage="1" errorTitle="Mandatory Input" error="Must NOT be zero or blank" promptTitle="MUST enter SOP Month &amp; Year" prompt="This is a mandatory field for this worksheet_x000a_Enter Month of SOP (MM), and_x000a_Enter Year of SOP (YYYY)" sqref="L11:L12" xr:uid="{83D6D7FB-91BE-44AC-86AB-F3771AF8D587}">
      <formula1>1</formula1>
    </dataValidation>
    <dataValidation type="whole" allowBlank="1" showInputMessage="1" showErrorMessage="1" sqref="N78:Q78" xr:uid="{B57A853A-44AF-40FB-9105-5383B5029224}">
      <formula1>0</formula1>
      <formula2>9999</formula2>
    </dataValidation>
  </dataValidations>
  <pageMargins left="0.70866141732283472" right="0.51181102362204722" top="0.55118110236220474" bottom="0.35433070866141736" header="0.31496062992125984" footer="0.31496062992125984"/>
  <pageSetup paperSize="8" scale="20" fitToHeight="2" orientation="portrait" r:id="rId1"/>
  <rowBreaks count="1" manualBreakCount="1">
    <brk id="221" min="7" max="20" man="1"/>
  </rowBreak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3C5D-9CEE-4C35-8FBD-1ADFE285F157}">
  <sheetPr>
    <tabColor theme="5" tint="0.59999389629810485"/>
  </sheetPr>
  <dimension ref="I1:AC453"/>
  <sheetViews>
    <sheetView topLeftCell="A32" zoomScale="80" zoomScaleNormal="80" workbookViewId="0">
      <selection activeCell="L19" sqref="L19"/>
    </sheetView>
  </sheetViews>
  <sheetFormatPr defaultRowHeight="12.75" outlineLevelRow="1" x14ac:dyDescent="0.2"/>
  <cols>
    <col min="10" max="10" width="58.28515625" customWidth="1"/>
  </cols>
  <sheetData>
    <row r="1" spans="14:29" hidden="1" x14ac:dyDescent="0.2"/>
    <row r="2" spans="14:29" hidden="1" x14ac:dyDescent="0.2"/>
    <row r="3" spans="14:29" hidden="1" x14ac:dyDescent="0.2"/>
    <row r="4" spans="14:29" hidden="1" x14ac:dyDescent="0.2"/>
    <row r="5" spans="14:29" hidden="1" x14ac:dyDescent="0.2"/>
    <row r="6" spans="14:29" hidden="1" x14ac:dyDescent="0.2"/>
    <row r="13" spans="14:29" ht="13.5" thickBot="1" x14ac:dyDescent="0.25"/>
    <row r="14" spans="14:29" x14ac:dyDescent="0.2">
      <c r="N14" s="969"/>
      <c r="O14" s="970"/>
      <c r="P14" s="970"/>
      <c r="Q14" s="970"/>
      <c r="R14" s="970"/>
      <c r="S14" s="970"/>
      <c r="T14" s="970"/>
      <c r="U14" s="970"/>
      <c r="V14" s="970"/>
      <c r="W14" s="970"/>
      <c r="X14" s="970"/>
      <c r="Y14" s="970"/>
      <c r="Z14" s="970"/>
      <c r="AA14" s="970"/>
      <c r="AB14" s="970"/>
      <c r="AC14" s="971"/>
    </row>
    <row r="15" spans="14:29" x14ac:dyDescent="0.2">
      <c r="N15" s="972"/>
      <c r="AC15" s="973"/>
    </row>
    <row r="16" spans="14:29" x14ac:dyDescent="0.2">
      <c r="N16" s="972"/>
      <c r="AC16" s="973"/>
    </row>
    <row r="17" spans="14:29" x14ac:dyDescent="0.2">
      <c r="N17" s="972"/>
      <c r="AC17" s="973"/>
    </row>
    <row r="18" spans="14:29" x14ac:dyDescent="0.2">
      <c r="N18" s="972"/>
      <c r="AC18" s="973"/>
    </row>
    <row r="19" spans="14:29" x14ac:dyDescent="0.2">
      <c r="N19" s="972"/>
      <c r="AC19" s="973"/>
    </row>
    <row r="20" spans="14:29" x14ac:dyDescent="0.2">
      <c r="N20" s="972"/>
      <c r="AC20" s="973"/>
    </row>
    <row r="21" spans="14:29" x14ac:dyDescent="0.2">
      <c r="N21" s="972"/>
      <c r="AC21" s="973"/>
    </row>
    <row r="22" spans="14:29" x14ac:dyDescent="0.2">
      <c r="N22" s="972"/>
      <c r="AC22" s="973"/>
    </row>
    <row r="23" spans="14:29" x14ac:dyDescent="0.2">
      <c r="N23" s="972"/>
      <c r="AC23" s="973"/>
    </row>
    <row r="24" spans="14:29" x14ac:dyDescent="0.2">
      <c r="N24" s="972"/>
      <c r="AC24" s="973"/>
    </row>
    <row r="25" spans="14:29" x14ac:dyDescent="0.2">
      <c r="N25" s="972"/>
      <c r="AC25" s="973"/>
    </row>
    <row r="26" spans="14:29" x14ac:dyDescent="0.2">
      <c r="N26" s="972"/>
      <c r="AC26" s="973"/>
    </row>
    <row r="27" spans="14:29" ht="13.5" thickBot="1" x14ac:dyDescent="0.25">
      <c r="N27" s="974"/>
      <c r="O27" s="975"/>
      <c r="P27" s="975"/>
      <c r="Q27" s="975"/>
      <c r="R27" s="975"/>
      <c r="S27" s="975"/>
      <c r="T27" s="975"/>
      <c r="U27" s="975"/>
      <c r="V27" s="975"/>
      <c r="W27" s="975"/>
      <c r="X27" s="975"/>
      <c r="Y27" s="975"/>
      <c r="Z27" s="975"/>
      <c r="AA27" s="975"/>
      <c r="AB27" s="975"/>
      <c r="AC27" s="976"/>
    </row>
    <row r="69" ht="19.5" customHeight="1" x14ac:dyDescent="0.2"/>
    <row r="73" ht="19.5" customHeight="1" x14ac:dyDescent="0.2"/>
    <row r="74" ht="19.5" customHeight="1" x14ac:dyDescent="0.2"/>
    <row r="114" ht="21.4" customHeight="1" x14ac:dyDescent="0.2"/>
    <row r="116" ht="22.5" customHeight="1" x14ac:dyDescent="0.2"/>
    <row r="117" ht="7.9" customHeight="1" x14ac:dyDescent="0.2"/>
    <row r="363" ht="15.4" customHeight="1" x14ac:dyDescent="0.2"/>
    <row r="366" ht="6" customHeight="1" x14ac:dyDescent="0.2"/>
    <row r="367" ht="16.5" customHeight="1" x14ac:dyDescent="0.2"/>
    <row r="368" ht="21" customHeight="1" x14ac:dyDescent="0.2"/>
    <row r="384" outlineLevel="1" x14ac:dyDescent="0.2"/>
    <row r="385" outlineLevel="1" x14ac:dyDescent="0.2"/>
    <row r="386" outlineLevel="1" x14ac:dyDescent="0.2"/>
    <row r="387" outlineLevel="1" x14ac:dyDescent="0.2"/>
    <row r="388" outlineLevel="1" x14ac:dyDescent="0.2"/>
    <row r="391" ht="16.5" customHeight="1" x14ac:dyDescent="0.2"/>
    <row r="392" ht="23.25" customHeight="1" x14ac:dyDescent="0.2"/>
    <row r="393" ht="23.25" customHeight="1" x14ac:dyDescent="0.2"/>
    <row r="394" ht="23.25" customHeight="1" x14ac:dyDescent="0.2"/>
    <row r="398" ht="24.75" customHeight="1" x14ac:dyDescent="0.2"/>
    <row r="403" spans="9:10" ht="26.25" customHeight="1" x14ac:dyDescent="0.2"/>
    <row r="404" spans="9:10" ht="24" customHeight="1" x14ac:dyDescent="0.2"/>
    <row r="406" spans="9:10" outlineLevel="1" x14ac:dyDescent="0.2"/>
    <row r="407" spans="9:10" x14ac:dyDescent="0.2">
      <c r="I407">
        <v>10</v>
      </c>
      <c r="J407" t="s">
        <v>426</v>
      </c>
    </row>
    <row r="408" spans="9:10" outlineLevel="1" x14ac:dyDescent="0.2"/>
    <row r="409" spans="9:10" outlineLevel="1" x14ac:dyDescent="0.2"/>
    <row r="410" spans="9:10" outlineLevel="1" x14ac:dyDescent="0.2"/>
    <row r="411" spans="9:10" outlineLevel="1" x14ac:dyDescent="0.2"/>
    <row r="412" spans="9:10" outlineLevel="1" x14ac:dyDescent="0.2"/>
    <row r="413" spans="9:10" outlineLevel="1" x14ac:dyDescent="0.2"/>
    <row r="414" spans="9:10" outlineLevel="1" x14ac:dyDescent="0.2"/>
    <row r="415" spans="9:10" outlineLevel="1" x14ac:dyDescent="0.2"/>
    <row r="416" spans="9:10" outlineLevel="1" x14ac:dyDescent="0.2"/>
    <row r="417" outlineLevel="1" x14ac:dyDescent="0.2"/>
    <row r="418" outlineLevel="1" x14ac:dyDescent="0.2"/>
    <row r="419" outlineLevel="1" x14ac:dyDescent="0.2"/>
    <row r="420" outlineLevel="1" x14ac:dyDescent="0.2"/>
    <row r="421" outlineLevel="1" x14ac:dyDescent="0.2"/>
    <row r="422" outlineLevel="1" x14ac:dyDescent="0.2"/>
    <row r="423" outlineLevel="1" x14ac:dyDescent="0.2"/>
    <row r="424" outlineLevel="1" x14ac:dyDescent="0.2"/>
    <row r="425" outlineLevel="1" x14ac:dyDescent="0.2"/>
    <row r="426" outlineLevel="1" x14ac:dyDescent="0.2"/>
    <row r="427" outlineLevel="1" x14ac:dyDescent="0.2"/>
    <row r="428" outlineLevel="1" x14ac:dyDescent="0.2"/>
    <row r="429" outlineLevel="1" x14ac:dyDescent="0.2"/>
    <row r="430" outlineLevel="1" x14ac:dyDescent="0.2"/>
    <row r="431" outlineLevel="1" x14ac:dyDescent="0.2"/>
    <row r="432" outlineLevel="1" x14ac:dyDescent="0.2"/>
    <row r="433" spans="10:29" ht="15" outlineLevel="1" x14ac:dyDescent="0.35">
      <c r="J433" s="966" t="s">
        <v>429</v>
      </c>
      <c r="N433">
        <f>N11</f>
        <v>0</v>
      </c>
      <c r="O433">
        <f t="shared" ref="O433:AC433" si="0">O11</f>
        <v>0</v>
      </c>
      <c r="P433">
        <f t="shared" si="0"/>
        <v>0</v>
      </c>
      <c r="Q433">
        <f t="shared" si="0"/>
        <v>0</v>
      </c>
      <c r="R433">
        <f t="shared" si="0"/>
        <v>0</v>
      </c>
      <c r="S433">
        <f t="shared" si="0"/>
        <v>0</v>
      </c>
      <c r="T433">
        <f t="shared" si="0"/>
        <v>0</v>
      </c>
      <c r="U433">
        <f t="shared" si="0"/>
        <v>0</v>
      </c>
      <c r="V433">
        <f t="shared" si="0"/>
        <v>0</v>
      </c>
      <c r="W433">
        <f t="shared" si="0"/>
        <v>0</v>
      </c>
      <c r="X433">
        <f t="shared" si="0"/>
        <v>0</v>
      </c>
      <c r="Y433">
        <f t="shared" si="0"/>
        <v>0</v>
      </c>
      <c r="Z433">
        <f t="shared" si="0"/>
        <v>0</v>
      </c>
      <c r="AA433">
        <f t="shared" si="0"/>
        <v>0</v>
      </c>
      <c r="AB433">
        <f t="shared" si="0"/>
        <v>0</v>
      </c>
      <c r="AC433">
        <f t="shared" si="0"/>
        <v>0</v>
      </c>
    </row>
    <row r="434" spans="10:29" ht="15.75" outlineLevel="1" x14ac:dyDescent="0.25">
      <c r="J434" s="463"/>
      <c r="K434" s="965"/>
      <c r="N434">
        <f>N372</f>
        <v>0</v>
      </c>
      <c r="O434">
        <f t="shared" ref="O434:AC434" si="1">O372</f>
        <v>0</v>
      </c>
      <c r="P434">
        <f t="shared" si="1"/>
        <v>0</v>
      </c>
      <c r="Q434">
        <f t="shared" si="1"/>
        <v>0</v>
      </c>
      <c r="R434">
        <f t="shared" si="1"/>
        <v>0</v>
      </c>
      <c r="S434">
        <f t="shared" si="1"/>
        <v>0</v>
      </c>
      <c r="T434">
        <f t="shared" si="1"/>
        <v>0</v>
      </c>
      <c r="U434">
        <f t="shared" si="1"/>
        <v>0</v>
      </c>
      <c r="V434">
        <f t="shared" si="1"/>
        <v>0</v>
      </c>
      <c r="W434">
        <f t="shared" si="1"/>
        <v>0</v>
      </c>
      <c r="X434">
        <f t="shared" si="1"/>
        <v>0</v>
      </c>
      <c r="Y434">
        <f t="shared" si="1"/>
        <v>0</v>
      </c>
      <c r="Z434">
        <f t="shared" si="1"/>
        <v>0</v>
      </c>
      <c r="AA434">
        <f t="shared" si="1"/>
        <v>0</v>
      </c>
      <c r="AB434">
        <f t="shared" si="1"/>
        <v>0</v>
      </c>
      <c r="AC434">
        <f t="shared" si="1"/>
        <v>0</v>
      </c>
    </row>
    <row r="435" spans="10:29" ht="15.75" outlineLevel="1" x14ac:dyDescent="0.25">
      <c r="J435" s="463"/>
      <c r="K435" s="965"/>
      <c r="N435">
        <f>N376</f>
        <v>0</v>
      </c>
      <c r="O435">
        <f t="shared" ref="O435:AC435" si="2">O376</f>
        <v>0</v>
      </c>
      <c r="P435">
        <f t="shared" si="2"/>
        <v>0</v>
      </c>
      <c r="Q435">
        <f t="shared" si="2"/>
        <v>0</v>
      </c>
      <c r="R435">
        <f t="shared" si="2"/>
        <v>0</v>
      </c>
      <c r="S435">
        <f t="shared" si="2"/>
        <v>0</v>
      </c>
      <c r="T435">
        <f t="shared" si="2"/>
        <v>0</v>
      </c>
      <c r="U435">
        <f t="shared" si="2"/>
        <v>0</v>
      </c>
      <c r="V435">
        <f t="shared" si="2"/>
        <v>0</v>
      </c>
      <c r="W435">
        <f t="shared" si="2"/>
        <v>0</v>
      </c>
      <c r="X435">
        <f t="shared" si="2"/>
        <v>0</v>
      </c>
      <c r="Y435">
        <f t="shared" si="2"/>
        <v>0</v>
      </c>
      <c r="Z435">
        <f t="shared" si="2"/>
        <v>0</v>
      </c>
      <c r="AA435">
        <f t="shared" si="2"/>
        <v>0</v>
      </c>
      <c r="AB435">
        <f t="shared" si="2"/>
        <v>0</v>
      </c>
      <c r="AC435">
        <f t="shared" si="2"/>
        <v>0</v>
      </c>
    </row>
    <row r="436" spans="10:29" ht="15.75" outlineLevel="1" x14ac:dyDescent="0.25">
      <c r="J436" s="463"/>
      <c r="K436" s="965"/>
      <c r="N436">
        <f>N377</f>
        <v>0</v>
      </c>
      <c r="O436">
        <f t="shared" ref="O436:AC436" si="3">O377</f>
        <v>0</v>
      </c>
      <c r="P436">
        <f t="shared" si="3"/>
        <v>0</v>
      </c>
      <c r="Q436">
        <f t="shared" si="3"/>
        <v>0</v>
      </c>
      <c r="R436">
        <f t="shared" si="3"/>
        <v>0</v>
      </c>
      <c r="S436">
        <f t="shared" si="3"/>
        <v>0</v>
      </c>
      <c r="T436">
        <f t="shared" si="3"/>
        <v>0</v>
      </c>
      <c r="U436">
        <f t="shared" si="3"/>
        <v>0</v>
      </c>
      <c r="V436">
        <f t="shared" si="3"/>
        <v>0</v>
      </c>
      <c r="W436">
        <f t="shared" si="3"/>
        <v>0</v>
      </c>
      <c r="X436">
        <f t="shared" si="3"/>
        <v>0</v>
      </c>
      <c r="Y436">
        <f t="shared" si="3"/>
        <v>0</v>
      </c>
      <c r="Z436">
        <f t="shared" si="3"/>
        <v>0</v>
      </c>
      <c r="AA436">
        <f t="shared" si="3"/>
        <v>0</v>
      </c>
      <c r="AB436">
        <f t="shared" si="3"/>
        <v>0</v>
      </c>
      <c r="AC436">
        <f t="shared" si="3"/>
        <v>0</v>
      </c>
    </row>
    <row r="437" spans="10:29" ht="15.75" outlineLevel="1" x14ac:dyDescent="0.25">
      <c r="J437" s="463"/>
      <c r="K437" s="965"/>
      <c r="N437">
        <f>N378</f>
        <v>0</v>
      </c>
      <c r="O437">
        <f t="shared" ref="O437:AC437" si="4">O378</f>
        <v>0</v>
      </c>
      <c r="P437">
        <f t="shared" si="4"/>
        <v>0</v>
      </c>
      <c r="Q437">
        <f t="shared" si="4"/>
        <v>0</v>
      </c>
      <c r="R437">
        <f t="shared" si="4"/>
        <v>0</v>
      </c>
      <c r="S437">
        <f t="shared" si="4"/>
        <v>0</v>
      </c>
      <c r="T437">
        <f t="shared" si="4"/>
        <v>0</v>
      </c>
      <c r="U437">
        <f t="shared" si="4"/>
        <v>0</v>
      </c>
      <c r="V437">
        <f t="shared" si="4"/>
        <v>0</v>
      </c>
      <c r="W437">
        <f t="shared" si="4"/>
        <v>0</v>
      </c>
      <c r="X437">
        <f t="shared" si="4"/>
        <v>0</v>
      </c>
      <c r="Y437">
        <f t="shared" si="4"/>
        <v>0</v>
      </c>
      <c r="Z437">
        <f t="shared" si="4"/>
        <v>0</v>
      </c>
      <c r="AA437">
        <f t="shared" si="4"/>
        <v>0</v>
      </c>
      <c r="AB437">
        <f t="shared" si="4"/>
        <v>0</v>
      </c>
      <c r="AC437">
        <f t="shared" si="4"/>
        <v>0</v>
      </c>
    </row>
    <row r="438" spans="10:29" ht="15.75" outlineLevel="1" x14ac:dyDescent="0.25">
      <c r="K438" s="965"/>
    </row>
    <row r="439" spans="10:29" ht="15" x14ac:dyDescent="0.35">
      <c r="J439" s="966" t="s">
        <v>428</v>
      </c>
    </row>
    <row r="440" spans="10:29" ht="15.75" outlineLevel="1" x14ac:dyDescent="0.25">
      <c r="J440" s="463" t="s">
        <v>179</v>
      </c>
      <c r="K440" s="965"/>
      <c r="N440" t="e">
        <f>N228/$N$365</f>
        <v>#DIV/0!</v>
      </c>
      <c r="O440" t="e">
        <f t="shared" ref="O440:AC440" si="5">O228/$N$365</f>
        <v>#DIV/0!</v>
      </c>
      <c r="P440" t="e">
        <f t="shared" si="5"/>
        <v>#DIV/0!</v>
      </c>
      <c r="Q440" t="e">
        <f t="shared" si="5"/>
        <v>#DIV/0!</v>
      </c>
      <c r="R440" t="e">
        <f t="shared" si="5"/>
        <v>#DIV/0!</v>
      </c>
      <c r="S440" t="e">
        <f t="shared" si="5"/>
        <v>#DIV/0!</v>
      </c>
      <c r="T440" t="e">
        <f t="shared" si="5"/>
        <v>#DIV/0!</v>
      </c>
      <c r="U440" t="e">
        <f t="shared" si="5"/>
        <v>#DIV/0!</v>
      </c>
      <c r="V440" t="e">
        <f t="shared" si="5"/>
        <v>#DIV/0!</v>
      </c>
      <c r="W440" t="e">
        <f t="shared" si="5"/>
        <v>#DIV/0!</v>
      </c>
      <c r="X440" t="e">
        <f t="shared" si="5"/>
        <v>#DIV/0!</v>
      </c>
      <c r="Y440" t="e">
        <f t="shared" si="5"/>
        <v>#DIV/0!</v>
      </c>
      <c r="Z440" t="e">
        <f t="shared" si="5"/>
        <v>#DIV/0!</v>
      </c>
      <c r="AA440" t="e">
        <f t="shared" si="5"/>
        <v>#DIV/0!</v>
      </c>
      <c r="AB440" t="e">
        <f t="shared" si="5"/>
        <v>#DIV/0!</v>
      </c>
      <c r="AC440" t="e">
        <f t="shared" si="5"/>
        <v>#DIV/0!</v>
      </c>
    </row>
    <row r="441" spans="10:29" ht="15.75" outlineLevel="1" x14ac:dyDescent="0.25">
      <c r="J441" s="463" t="s">
        <v>183</v>
      </c>
      <c r="K441" s="965"/>
      <c r="N441" t="e">
        <f>N232/$N$365</f>
        <v>#DIV/0!</v>
      </c>
      <c r="O441" t="e">
        <f t="shared" ref="O441:AC441" si="6">O232/$N$365</f>
        <v>#DIV/0!</v>
      </c>
      <c r="P441" t="e">
        <f t="shared" si="6"/>
        <v>#DIV/0!</v>
      </c>
      <c r="Q441" t="e">
        <f t="shared" si="6"/>
        <v>#DIV/0!</v>
      </c>
      <c r="R441" t="e">
        <f t="shared" si="6"/>
        <v>#DIV/0!</v>
      </c>
      <c r="S441" t="e">
        <f t="shared" si="6"/>
        <v>#DIV/0!</v>
      </c>
      <c r="T441" t="e">
        <f t="shared" si="6"/>
        <v>#DIV/0!</v>
      </c>
      <c r="U441" t="e">
        <f t="shared" si="6"/>
        <v>#DIV/0!</v>
      </c>
      <c r="V441" t="e">
        <f t="shared" si="6"/>
        <v>#DIV/0!</v>
      </c>
      <c r="W441" t="e">
        <f t="shared" si="6"/>
        <v>#DIV/0!</v>
      </c>
      <c r="X441" t="e">
        <f t="shared" si="6"/>
        <v>#DIV/0!</v>
      </c>
      <c r="Y441" t="e">
        <f t="shared" si="6"/>
        <v>#DIV/0!</v>
      </c>
      <c r="Z441" t="e">
        <f t="shared" si="6"/>
        <v>#DIV/0!</v>
      </c>
      <c r="AA441" t="e">
        <f t="shared" si="6"/>
        <v>#DIV/0!</v>
      </c>
      <c r="AB441" t="e">
        <f t="shared" si="6"/>
        <v>#DIV/0!</v>
      </c>
      <c r="AC441" t="e">
        <f t="shared" si="6"/>
        <v>#DIV/0!</v>
      </c>
    </row>
    <row r="442" spans="10:29" ht="15.75" outlineLevel="1" x14ac:dyDescent="0.25">
      <c r="J442" s="463" t="s">
        <v>186</v>
      </c>
      <c r="K442" s="965"/>
      <c r="N442" t="e">
        <f>N237/$N$365</f>
        <v>#DIV/0!</v>
      </c>
      <c r="O442" t="e">
        <f t="shared" ref="O442:AC442" si="7">O237/$N$365</f>
        <v>#DIV/0!</v>
      </c>
      <c r="P442" t="e">
        <f t="shared" si="7"/>
        <v>#DIV/0!</v>
      </c>
      <c r="Q442" t="e">
        <f t="shared" si="7"/>
        <v>#DIV/0!</v>
      </c>
      <c r="R442" t="e">
        <f t="shared" si="7"/>
        <v>#DIV/0!</v>
      </c>
      <c r="S442" t="e">
        <f t="shared" si="7"/>
        <v>#DIV/0!</v>
      </c>
      <c r="T442" t="e">
        <f t="shared" si="7"/>
        <v>#DIV/0!</v>
      </c>
      <c r="U442" t="e">
        <f t="shared" si="7"/>
        <v>#DIV/0!</v>
      </c>
      <c r="V442" t="e">
        <f t="shared" si="7"/>
        <v>#DIV/0!</v>
      </c>
      <c r="W442" t="e">
        <f t="shared" si="7"/>
        <v>#DIV/0!</v>
      </c>
      <c r="X442" t="e">
        <f t="shared" si="7"/>
        <v>#DIV/0!</v>
      </c>
      <c r="Y442" t="e">
        <f t="shared" si="7"/>
        <v>#DIV/0!</v>
      </c>
      <c r="Z442" t="e">
        <f t="shared" si="7"/>
        <v>#DIV/0!</v>
      </c>
      <c r="AA442" t="e">
        <f t="shared" si="7"/>
        <v>#DIV/0!</v>
      </c>
      <c r="AB442" t="e">
        <f t="shared" si="7"/>
        <v>#DIV/0!</v>
      </c>
      <c r="AC442" t="e">
        <f t="shared" si="7"/>
        <v>#DIV/0!</v>
      </c>
    </row>
    <row r="443" spans="10:29" ht="15.75" outlineLevel="1" x14ac:dyDescent="0.25">
      <c r="J443" s="463" t="s">
        <v>425</v>
      </c>
      <c r="K443" s="965"/>
      <c r="N443" t="e">
        <f>SUM($N440:N441)</f>
        <v>#DIV/0!</v>
      </c>
      <c r="O443" t="e">
        <f>SUM($N440:O441)</f>
        <v>#DIV/0!</v>
      </c>
      <c r="P443" t="e">
        <f>SUM($N440:P441)</f>
        <v>#DIV/0!</v>
      </c>
      <c r="Q443" t="e">
        <f>SUM($N440:Q441)</f>
        <v>#DIV/0!</v>
      </c>
      <c r="R443" t="e">
        <f>SUM($N440:R441)</f>
        <v>#DIV/0!</v>
      </c>
      <c r="S443" t="e">
        <f>SUM($N440:S441)</f>
        <v>#DIV/0!</v>
      </c>
      <c r="T443" t="e">
        <f>SUM($N440:T441)</f>
        <v>#DIV/0!</v>
      </c>
      <c r="U443" t="e">
        <f>SUM($N440:U441)</f>
        <v>#DIV/0!</v>
      </c>
      <c r="V443" t="e">
        <f>SUM($N440:V441)</f>
        <v>#DIV/0!</v>
      </c>
      <c r="W443" t="e">
        <f>SUM($N440:W441)</f>
        <v>#DIV/0!</v>
      </c>
      <c r="X443" t="e">
        <f>SUM($N440:X441)</f>
        <v>#DIV/0!</v>
      </c>
      <c r="Y443" t="e">
        <f>SUM($N440:Y441)</f>
        <v>#DIV/0!</v>
      </c>
      <c r="Z443" t="e">
        <f>SUM($N440:Z441)</f>
        <v>#DIV/0!</v>
      </c>
      <c r="AA443" t="e">
        <f>SUM($N440:AA441)</f>
        <v>#DIV/0!</v>
      </c>
      <c r="AB443" t="e">
        <f>SUM($N440:AB441)</f>
        <v>#DIV/0!</v>
      </c>
      <c r="AC443" t="e">
        <f>SUM($N440:AC441)</f>
        <v>#DIV/0!</v>
      </c>
    </row>
    <row r="444" spans="10:29" ht="14.25" outlineLevel="1" x14ac:dyDescent="0.2">
      <c r="J444" s="463"/>
    </row>
    <row r="445" spans="10:29" ht="19.5" outlineLevel="1" x14ac:dyDescent="0.55000000000000004">
      <c r="J445" s="967" t="s">
        <v>430</v>
      </c>
    </row>
    <row r="446" spans="10:29" ht="14.25" x14ac:dyDescent="0.2">
      <c r="J446" s="463"/>
      <c r="N446" t="e">
        <f>N40/$N$365</f>
        <v>#DIV/0!</v>
      </c>
      <c r="O446" t="e">
        <f t="shared" ref="O446:AC446" si="8">O40/$N$365</f>
        <v>#DIV/0!</v>
      </c>
      <c r="P446" t="e">
        <f t="shared" si="8"/>
        <v>#DIV/0!</v>
      </c>
      <c r="Q446" t="e">
        <f t="shared" si="8"/>
        <v>#DIV/0!</v>
      </c>
      <c r="R446" t="e">
        <f t="shared" si="8"/>
        <v>#DIV/0!</v>
      </c>
      <c r="S446" t="e">
        <f t="shared" si="8"/>
        <v>#DIV/0!</v>
      </c>
      <c r="T446" t="e">
        <f t="shared" si="8"/>
        <v>#DIV/0!</v>
      </c>
      <c r="U446" t="e">
        <f t="shared" si="8"/>
        <v>#DIV/0!</v>
      </c>
      <c r="V446" t="e">
        <f t="shared" si="8"/>
        <v>#DIV/0!</v>
      </c>
      <c r="W446" t="e">
        <f t="shared" si="8"/>
        <v>#DIV/0!</v>
      </c>
      <c r="X446" t="e">
        <f t="shared" si="8"/>
        <v>#DIV/0!</v>
      </c>
      <c r="Y446" t="e">
        <f t="shared" si="8"/>
        <v>#DIV/0!</v>
      </c>
      <c r="Z446" t="e">
        <f t="shared" si="8"/>
        <v>#DIV/0!</v>
      </c>
      <c r="AA446" t="e">
        <f t="shared" si="8"/>
        <v>#DIV/0!</v>
      </c>
      <c r="AB446" t="e">
        <f t="shared" si="8"/>
        <v>#DIV/0!</v>
      </c>
      <c r="AC446" t="e">
        <f t="shared" si="8"/>
        <v>#DIV/0!</v>
      </c>
    </row>
    <row r="447" spans="10:29" ht="14.25" outlineLevel="1" x14ac:dyDescent="0.2">
      <c r="J447" s="463"/>
      <c r="N447" t="e">
        <f>N41/$N$365</f>
        <v>#DIV/0!</v>
      </c>
      <c r="O447" t="e">
        <f t="shared" ref="O447:AC447" si="9">O41/$N$365</f>
        <v>#DIV/0!</v>
      </c>
      <c r="P447" t="e">
        <f t="shared" si="9"/>
        <v>#DIV/0!</v>
      </c>
      <c r="Q447" t="e">
        <f t="shared" si="9"/>
        <v>#DIV/0!</v>
      </c>
      <c r="R447" t="e">
        <f t="shared" si="9"/>
        <v>#DIV/0!</v>
      </c>
      <c r="S447" t="e">
        <f t="shared" si="9"/>
        <v>#DIV/0!</v>
      </c>
      <c r="T447" t="e">
        <f t="shared" si="9"/>
        <v>#DIV/0!</v>
      </c>
      <c r="U447" t="e">
        <f t="shared" si="9"/>
        <v>#DIV/0!</v>
      </c>
      <c r="V447" t="e">
        <f t="shared" si="9"/>
        <v>#DIV/0!</v>
      </c>
      <c r="W447" t="e">
        <f t="shared" si="9"/>
        <v>#DIV/0!</v>
      </c>
      <c r="X447" t="e">
        <f t="shared" si="9"/>
        <v>#DIV/0!</v>
      </c>
      <c r="Y447" t="e">
        <f t="shared" si="9"/>
        <v>#DIV/0!</v>
      </c>
      <c r="Z447" t="e">
        <f t="shared" si="9"/>
        <v>#DIV/0!</v>
      </c>
      <c r="AA447" t="e">
        <f t="shared" si="9"/>
        <v>#DIV/0!</v>
      </c>
      <c r="AB447" t="e">
        <f t="shared" si="9"/>
        <v>#DIV/0!</v>
      </c>
      <c r="AC447" t="e">
        <f t="shared" si="9"/>
        <v>#DIV/0!</v>
      </c>
    </row>
    <row r="448" spans="10:29" ht="14.25" outlineLevel="1" x14ac:dyDescent="0.2">
      <c r="J448" s="463"/>
      <c r="N448" t="e">
        <f>N46/$N$365</f>
        <v>#DIV/0!</v>
      </c>
      <c r="O448" t="e">
        <f t="shared" ref="O448:AC448" si="10">O46/$N$365</f>
        <v>#DIV/0!</v>
      </c>
      <c r="P448" t="e">
        <f t="shared" si="10"/>
        <v>#DIV/0!</v>
      </c>
      <c r="Q448" t="e">
        <f t="shared" si="10"/>
        <v>#DIV/0!</v>
      </c>
      <c r="R448" t="e">
        <f t="shared" si="10"/>
        <v>#DIV/0!</v>
      </c>
      <c r="S448" t="e">
        <f t="shared" si="10"/>
        <v>#DIV/0!</v>
      </c>
      <c r="T448" t="e">
        <f t="shared" si="10"/>
        <v>#DIV/0!</v>
      </c>
      <c r="U448" t="e">
        <f t="shared" si="10"/>
        <v>#DIV/0!</v>
      </c>
      <c r="V448" t="e">
        <f t="shared" si="10"/>
        <v>#DIV/0!</v>
      </c>
      <c r="W448" t="e">
        <f t="shared" si="10"/>
        <v>#DIV/0!</v>
      </c>
      <c r="X448" t="e">
        <f t="shared" si="10"/>
        <v>#DIV/0!</v>
      </c>
      <c r="Y448" t="e">
        <f t="shared" si="10"/>
        <v>#DIV/0!</v>
      </c>
      <c r="Z448" t="e">
        <f t="shared" si="10"/>
        <v>#DIV/0!</v>
      </c>
      <c r="AA448" t="e">
        <f t="shared" si="10"/>
        <v>#DIV/0!</v>
      </c>
      <c r="AB448" t="e">
        <f t="shared" si="10"/>
        <v>#DIV/0!</v>
      </c>
      <c r="AC448" t="e">
        <f t="shared" si="10"/>
        <v>#DIV/0!</v>
      </c>
    </row>
    <row r="449" spans="10:29" ht="14.25" x14ac:dyDescent="0.2">
      <c r="J449" s="463"/>
      <c r="N449" t="e">
        <f>N47/$N$365</f>
        <v>#DIV/0!</v>
      </c>
      <c r="O449" t="e">
        <f t="shared" ref="O449:AC449" si="11">O47/$N$365</f>
        <v>#DIV/0!</v>
      </c>
      <c r="P449" t="e">
        <f t="shared" si="11"/>
        <v>#DIV/0!</v>
      </c>
      <c r="Q449" t="e">
        <f t="shared" si="11"/>
        <v>#DIV/0!</v>
      </c>
      <c r="R449" t="e">
        <f t="shared" si="11"/>
        <v>#DIV/0!</v>
      </c>
      <c r="S449" t="e">
        <f t="shared" si="11"/>
        <v>#DIV/0!</v>
      </c>
      <c r="T449" t="e">
        <f t="shared" si="11"/>
        <v>#DIV/0!</v>
      </c>
      <c r="U449" t="e">
        <f t="shared" si="11"/>
        <v>#DIV/0!</v>
      </c>
      <c r="V449" t="e">
        <f t="shared" si="11"/>
        <v>#DIV/0!</v>
      </c>
      <c r="W449" t="e">
        <f t="shared" si="11"/>
        <v>#DIV/0!</v>
      </c>
      <c r="X449" t="e">
        <f t="shared" si="11"/>
        <v>#DIV/0!</v>
      </c>
      <c r="Y449" t="e">
        <f t="shared" si="11"/>
        <v>#DIV/0!</v>
      </c>
      <c r="Z449" t="e">
        <f t="shared" si="11"/>
        <v>#DIV/0!</v>
      </c>
      <c r="AA449" t="e">
        <f t="shared" si="11"/>
        <v>#DIV/0!</v>
      </c>
      <c r="AB449" t="e">
        <f t="shared" si="11"/>
        <v>#DIV/0!</v>
      </c>
      <c r="AC449" t="e">
        <f t="shared" si="11"/>
        <v>#DIV/0!</v>
      </c>
    </row>
    <row r="450" spans="10:29" ht="14.25" outlineLevel="1" x14ac:dyDescent="0.2">
      <c r="J450" s="463"/>
      <c r="N450" t="e">
        <f>N48/$N$365</f>
        <v>#DIV/0!</v>
      </c>
      <c r="O450" t="e">
        <f t="shared" ref="O450:AC450" si="12">O48/$N$365</f>
        <v>#DIV/0!</v>
      </c>
      <c r="P450" t="e">
        <f t="shared" si="12"/>
        <v>#DIV/0!</v>
      </c>
      <c r="Q450" t="e">
        <f t="shared" si="12"/>
        <v>#DIV/0!</v>
      </c>
      <c r="R450" t="e">
        <f t="shared" si="12"/>
        <v>#DIV/0!</v>
      </c>
      <c r="S450" t="e">
        <f t="shared" si="12"/>
        <v>#DIV/0!</v>
      </c>
      <c r="T450" t="e">
        <f t="shared" si="12"/>
        <v>#DIV/0!</v>
      </c>
      <c r="U450" t="e">
        <f t="shared" si="12"/>
        <v>#DIV/0!</v>
      </c>
      <c r="V450" t="e">
        <f t="shared" si="12"/>
        <v>#DIV/0!</v>
      </c>
      <c r="W450" t="e">
        <f t="shared" si="12"/>
        <v>#DIV/0!</v>
      </c>
      <c r="X450" t="e">
        <f t="shared" si="12"/>
        <v>#DIV/0!</v>
      </c>
      <c r="Y450" t="e">
        <f t="shared" si="12"/>
        <v>#DIV/0!</v>
      </c>
      <c r="Z450" t="e">
        <f t="shared" si="12"/>
        <v>#DIV/0!</v>
      </c>
      <c r="AA450" t="e">
        <f t="shared" si="12"/>
        <v>#DIV/0!</v>
      </c>
      <c r="AB450" t="e">
        <f t="shared" si="12"/>
        <v>#DIV/0!</v>
      </c>
      <c r="AC450" t="e">
        <f t="shared" si="12"/>
        <v>#DIV/0!</v>
      </c>
    </row>
    <row r="451" spans="10:29" ht="14.25" outlineLevel="1" x14ac:dyDescent="0.2">
      <c r="J451" s="463"/>
      <c r="N451" t="e">
        <f>N49/$N$365</f>
        <v>#DIV/0!</v>
      </c>
      <c r="O451" t="e">
        <f t="shared" ref="O451:AC451" si="13">O49/$N$365</f>
        <v>#DIV/0!</v>
      </c>
      <c r="P451" t="e">
        <f t="shared" si="13"/>
        <v>#DIV/0!</v>
      </c>
      <c r="Q451" t="e">
        <f t="shared" si="13"/>
        <v>#DIV/0!</v>
      </c>
      <c r="R451" t="e">
        <f t="shared" si="13"/>
        <v>#DIV/0!</v>
      </c>
      <c r="S451" t="e">
        <f t="shared" si="13"/>
        <v>#DIV/0!</v>
      </c>
      <c r="T451" t="e">
        <f t="shared" si="13"/>
        <v>#DIV/0!</v>
      </c>
      <c r="U451" t="e">
        <f t="shared" si="13"/>
        <v>#DIV/0!</v>
      </c>
      <c r="V451" t="e">
        <f t="shared" si="13"/>
        <v>#DIV/0!</v>
      </c>
      <c r="W451" t="e">
        <f t="shared" si="13"/>
        <v>#DIV/0!</v>
      </c>
      <c r="X451" t="e">
        <f t="shared" si="13"/>
        <v>#DIV/0!</v>
      </c>
      <c r="Y451" t="e">
        <f t="shared" si="13"/>
        <v>#DIV/0!</v>
      </c>
      <c r="Z451" t="e">
        <f t="shared" si="13"/>
        <v>#DIV/0!</v>
      </c>
      <c r="AA451" t="e">
        <f t="shared" si="13"/>
        <v>#DIV/0!</v>
      </c>
      <c r="AB451" t="e">
        <f t="shared" si="13"/>
        <v>#DIV/0!</v>
      </c>
      <c r="AC451" t="e">
        <f t="shared" si="13"/>
        <v>#DIV/0!</v>
      </c>
    </row>
    <row r="452" spans="10:29" ht="15.75" outlineLevel="1" x14ac:dyDescent="0.25">
      <c r="J452" s="463" t="s">
        <v>427</v>
      </c>
      <c r="K452" s="965"/>
      <c r="N452" t="e">
        <f>N38/$N$365</f>
        <v>#DIV/0!</v>
      </c>
      <c r="O452" t="e">
        <f t="shared" ref="O452:AC452" si="14">O38/$N$365</f>
        <v>#DIV/0!</v>
      </c>
      <c r="P452" t="e">
        <f t="shared" si="14"/>
        <v>#DIV/0!</v>
      </c>
      <c r="Q452" t="e">
        <f t="shared" si="14"/>
        <v>#DIV/0!</v>
      </c>
      <c r="R452" t="e">
        <f t="shared" si="14"/>
        <v>#DIV/0!</v>
      </c>
      <c r="S452" t="e">
        <f t="shared" si="14"/>
        <v>#DIV/0!</v>
      </c>
      <c r="T452" t="e">
        <f t="shared" si="14"/>
        <v>#DIV/0!</v>
      </c>
      <c r="U452" t="e">
        <f t="shared" si="14"/>
        <v>#DIV/0!</v>
      </c>
      <c r="V452" t="e">
        <f t="shared" si="14"/>
        <v>#DIV/0!</v>
      </c>
      <c r="W452" t="e">
        <f t="shared" si="14"/>
        <v>#DIV/0!</v>
      </c>
      <c r="X452" t="e">
        <f t="shared" si="14"/>
        <v>#DIV/0!</v>
      </c>
      <c r="Y452" t="e">
        <f t="shared" si="14"/>
        <v>#DIV/0!</v>
      </c>
      <c r="Z452" t="e">
        <f t="shared" si="14"/>
        <v>#DIV/0!</v>
      </c>
      <c r="AA452" t="e">
        <f t="shared" si="14"/>
        <v>#DIV/0!</v>
      </c>
      <c r="AB452" t="e">
        <f t="shared" si="14"/>
        <v>#DIV/0!</v>
      </c>
      <c r="AC452" t="e">
        <f t="shared" si="14"/>
        <v>#DIV/0!</v>
      </c>
    </row>
    <row r="453" spans="10:29" outlineLevel="1" x14ac:dyDescent="0.2">
      <c r="N453" s="968">
        <f>N39</f>
        <v>0</v>
      </c>
      <c r="O453" s="968">
        <f t="shared" ref="O453:AC453" si="15">O39</f>
        <v>0</v>
      </c>
      <c r="P453" s="968">
        <f t="shared" si="15"/>
        <v>0</v>
      </c>
      <c r="Q453" s="968">
        <f t="shared" si="15"/>
        <v>0</v>
      </c>
      <c r="R453" s="968">
        <f t="shared" si="15"/>
        <v>0</v>
      </c>
      <c r="S453" s="968">
        <f t="shared" si="15"/>
        <v>0</v>
      </c>
      <c r="T453" s="968">
        <f t="shared" si="15"/>
        <v>0</v>
      </c>
      <c r="U453" s="968">
        <f t="shared" si="15"/>
        <v>0</v>
      </c>
      <c r="V453" s="968">
        <f t="shared" si="15"/>
        <v>0</v>
      </c>
      <c r="W453" s="968">
        <f t="shared" si="15"/>
        <v>0</v>
      </c>
      <c r="X453" s="968">
        <f t="shared" si="15"/>
        <v>0</v>
      </c>
      <c r="Y453" s="968">
        <f t="shared" si="15"/>
        <v>0</v>
      </c>
      <c r="Z453" s="968">
        <f t="shared" si="15"/>
        <v>0</v>
      </c>
      <c r="AA453" s="968">
        <f t="shared" si="15"/>
        <v>0</v>
      </c>
      <c r="AB453" s="968">
        <f t="shared" si="15"/>
        <v>0</v>
      </c>
      <c r="AC453" s="968">
        <f t="shared" si="15"/>
        <v>0</v>
      </c>
    </row>
  </sheetData>
  <phoneticPr fontId="154" type="noConversion"/>
  <conditionalFormatting sqref="K434:K438 K440:K443 K452">
    <cfRule type="cellIs" dxfId="3186" priority="5" operator="equal">
      <formula>0</formula>
    </cfRule>
    <cfRule type="cellIs" dxfId="3185" priority="6" operator="lessThan">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67593-E2A5-4A2B-8C91-AA20DA71E8D6}">
  <sheetPr>
    <tabColor theme="5" tint="0.59999389629810485"/>
  </sheetPr>
  <dimension ref="I1:AC453"/>
  <sheetViews>
    <sheetView topLeftCell="A11" zoomScale="80" zoomScaleNormal="80" workbookViewId="0">
      <selection activeCell="L19" sqref="L19"/>
    </sheetView>
  </sheetViews>
  <sheetFormatPr defaultRowHeight="12.75" outlineLevelRow="1" x14ac:dyDescent="0.2"/>
  <cols>
    <col min="10" max="10" width="58.28515625" customWidth="1"/>
  </cols>
  <sheetData>
    <row r="1" hidden="1" x14ac:dyDescent="0.2"/>
    <row r="2" hidden="1" x14ac:dyDescent="0.2"/>
    <row r="3" hidden="1" x14ac:dyDescent="0.2"/>
    <row r="4" hidden="1" x14ac:dyDescent="0.2"/>
    <row r="5" hidden="1" x14ac:dyDescent="0.2"/>
    <row r="6" hidden="1" x14ac:dyDescent="0.2"/>
    <row r="69" ht="19.5" customHeight="1" x14ac:dyDescent="0.2"/>
    <row r="73" ht="19.5" customHeight="1" x14ac:dyDescent="0.2"/>
    <row r="74" ht="19.5" customHeight="1" x14ac:dyDescent="0.2"/>
    <row r="114" ht="21.4" customHeight="1" x14ac:dyDescent="0.2"/>
    <row r="117" ht="7.9" customHeight="1" x14ac:dyDescent="0.2"/>
    <row r="363" ht="15.4" customHeight="1" x14ac:dyDescent="0.2"/>
    <row r="366" ht="6" customHeight="1" x14ac:dyDescent="0.2"/>
    <row r="367" ht="16.5" customHeight="1" x14ac:dyDescent="0.2"/>
    <row r="368" ht="21" customHeight="1" x14ac:dyDescent="0.2"/>
    <row r="384" outlineLevel="1" x14ac:dyDescent="0.2"/>
    <row r="385" outlineLevel="1" x14ac:dyDescent="0.2"/>
    <row r="386" outlineLevel="1" x14ac:dyDescent="0.2"/>
    <row r="387" outlineLevel="1" x14ac:dyDescent="0.2"/>
    <row r="388" outlineLevel="1" x14ac:dyDescent="0.2"/>
    <row r="391" ht="16.5" customHeight="1" x14ac:dyDescent="0.2"/>
    <row r="392" ht="23.25" customHeight="1" x14ac:dyDescent="0.2"/>
    <row r="393" ht="23.25" customHeight="1" x14ac:dyDescent="0.2"/>
    <row r="394" ht="23.25" customHeight="1" x14ac:dyDescent="0.2"/>
    <row r="398" ht="24.75" customHeight="1" x14ac:dyDescent="0.2"/>
    <row r="403" spans="9:10" ht="26.25" customHeight="1" x14ac:dyDescent="0.2"/>
    <row r="404" spans="9:10" ht="24" customHeight="1" x14ac:dyDescent="0.2"/>
    <row r="406" spans="9:10" outlineLevel="1" x14ac:dyDescent="0.2"/>
    <row r="407" spans="9:10" x14ac:dyDescent="0.2">
      <c r="I407">
        <v>10</v>
      </c>
      <c r="J407" t="s">
        <v>426</v>
      </c>
    </row>
    <row r="408" spans="9:10" outlineLevel="1" x14ac:dyDescent="0.2"/>
    <row r="409" spans="9:10" outlineLevel="1" x14ac:dyDescent="0.2"/>
    <row r="410" spans="9:10" outlineLevel="1" x14ac:dyDescent="0.2"/>
    <row r="411" spans="9:10" outlineLevel="1" x14ac:dyDescent="0.2"/>
    <row r="412" spans="9:10" outlineLevel="1" x14ac:dyDescent="0.2"/>
    <row r="413" spans="9:10" outlineLevel="1" x14ac:dyDescent="0.2"/>
    <row r="414" spans="9:10" outlineLevel="1" x14ac:dyDescent="0.2"/>
    <row r="415" spans="9:10" outlineLevel="1" x14ac:dyDescent="0.2"/>
    <row r="416" spans="9:10" outlineLevel="1" x14ac:dyDescent="0.2"/>
    <row r="417" outlineLevel="1" x14ac:dyDescent="0.2"/>
    <row r="418" outlineLevel="1" x14ac:dyDescent="0.2"/>
    <row r="419" outlineLevel="1" x14ac:dyDescent="0.2"/>
    <row r="420" outlineLevel="1" x14ac:dyDescent="0.2"/>
    <row r="421" outlineLevel="1" x14ac:dyDescent="0.2"/>
    <row r="422" outlineLevel="1" x14ac:dyDescent="0.2"/>
    <row r="423" outlineLevel="1" x14ac:dyDescent="0.2"/>
    <row r="424" outlineLevel="1" x14ac:dyDescent="0.2"/>
    <row r="425" outlineLevel="1" x14ac:dyDescent="0.2"/>
    <row r="426" outlineLevel="1" x14ac:dyDescent="0.2"/>
    <row r="427" outlineLevel="1" x14ac:dyDescent="0.2"/>
    <row r="428" outlineLevel="1" x14ac:dyDescent="0.2"/>
    <row r="429" outlineLevel="1" x14ac:dyDescent="0.2"/>
    <row r="430" outlineLevel="1" x14ac:dyDescent="0.2"/>
    <row r="431" outlineLevel="1" x14ac:dyDescent="0.2"/>
    <row r="432" outlineLevel="1" x14ac:dyDescent="0.2"/>
    <row r="433" spans="10:29" ht="15" outlineLevel="1" x14ac:dyDescent="0.35">
      <c r="J433" s="966" t="s">
        <v>429</v>
      </c>
      <c r="N433">
        <f>N11</f>
        <v>0</v>
      </c>
      <c r="O433">
        <f t="shared" ref="O433:AC433" si="0">O11</f>
        <v>0</v>
      </c>
      <c r="P433">
        <f t="shared" si="0"/>
        <v>0</v>
      </c>
      <c r="Q433">
        <f t="shared" si="0"/>
        <v>0</v>
      </c>
      <c r="R433">
        <f t="shared" si="0"/>
        <v>0</v>
      </c>
      <c r="S433">
        <f t="shared" si="0"/>
        <v>0</v>
      </c>
      <c r="T433">
        <f t="shared" si="0"/>
        <v>0</v>
      </c>
      <c r="U433">
        <f t="shared" si="0"/>
        <v>0</v>
      </c>
      <c r="V433">
        <f t="shared" si="0"/>
        <v>0</v>
      </c>
      <c r="W433">
        <f t="shared" si="0"/>
        <v>0</v>
      </c>
      <c r="X433">
        <f t="shared" si="0"/>
        <v>0</v>
      </c>
      <c r="Y433">
        <f t="shared" si="0"/>
        <v>0</v>
      </c>
      <c r="Z433">
        <f t="shared" si="0"/>
        <v>0</v>
      </c>
      <c r="AA433">
        <f t="shared" si="0"/>
        <v>0</v>
      </c>
      <c r="AB433">
        <f t="shared" si="0"/>
        <v>0</v>
      </c>
      <c r="AC433">
        <f t="shared" si="0"/>
        <v>0</v>
      </c>
    </row>
    <row r="434" spans="10:29" ht="15.75" outlineLevel="1" x14ac:dyDescent="0.25">
      <c r="J434" s="463"/>
      <c r="K434" s="965"/>
      <c r="N434">
        <f>N372</f>
        <v>0</v>
      </c>
      <c r="O434">
        <f t="shared" ref="O434:AC434" si="1">O372</f>
        <v>0</v>
      </c>
      <c r="P434">
        <f t="shared" si="1"/>
        <v>0</v>
      </c>
      <c r="Q434">
        <f t="shared" si="1"/>
        <v>0</v>
      </c>
      <c r="R434">
        <f t="shared" si="1"/>
        <v>0</v>
      </c>
      <c r="S434">
        <f t="shared" si="1"/>
        <v>0</v>
      </c>
      <c r="T434">
        <f t="shared" si="1"/>
        <v>0</v>
      </c>
      <c r="U434">
        <f t="shared" si="1"/>
        <v>0</v>
      </c>
      <c r="V434">
        <f t="shared" si="1"/>
        <v>0</v>
      </c>
      <c r="W434">
        <f t="shared" si="1"/>
        <v>0</v>
      </c>
      <c r="X434">
        <f t="shared" si="1"/>
        <v>0</v>
      </c>
      <c r="Y434">
        <f t="shared" si="1"/>
        <v>0</v>
      </c>
      <c r="Z434">
        <f t="shared" si="1"/>
        <v>0</v>
      </c>
      <c r="AA434">
        <f t="shared" si="1"/>
        <v>0</v>
      </c>
      <c r="AB434">
        <f t="shared" si="1"/>
        <v>0</v>
      </c>
      <c r="AC434">
        <f t="shared" si="1"/>
        <v>0</v>
      </c>
    </row>
    <row r="435" spans="10:29" ht="15.75" outlineLevel="1" x14ac:dyDescent="0.25">
      <c r="J435" s="463"/>
      <c r="K435" s="965"/>
      <c r="N435">
        <f>N376</f>
        <v>0</v>
      </c>
      <c r="O435">
        <f t="shared" ref="O435:AC435" si="2">O376</f>
        <v>0</v>
      </c>
      <c r="P435">
        <f t="shared" si="2"/>
        <v>0</v>
      </c>
      <c r="Q435">
        <f t="shared" si="2"/>
        <v>0</v>
      </c>
      <c r="R435">
        <f t="shared" si="2"/>
        <v>0</v>
      </c>
      <c r="S435">
        <f t="shared" si="2"/>
        <v>0</v>
      </c>
      <c r="T435">
        <f t="shared" si="2"/>
        <v>0</v>
      </c>
      <c r="U435">
        <f t="shared" si="2"/>
        <v>0</v>
      </c>
      <c r="V435">
        <f t="shared" si="2"/>
        <v>0</v>
      </c>
      <c r="W435">
        <f t="shared" si="2"/>
        <v>0</v>
      </c>
      <c r="X435">
        <f t="shared" si="2"/>
        <v>0</v>
      </c>
      <c r="Y435">
        <f t="shared" si="2"/>
        <v>0</v>
      </c>
      <c r="Z435">
        <f t="shared" si="2"/>
        <v>0</v>
      </c>
      <c r="AA435">
        <f t="shared" si="2"/>
        <v>0</v>
      </c>
      <c r="AB435">
        <f t="shared" si="2"/>
        <v>0</v>
      </c>
      <c r="AC435">
        <f t="shared" si="2"/>
        <v>0</v>
      </c>
    </row>
    <row r="436" spans="10:29" ht="15.75" outlineLevel="1" x14ac:dyDescent="0.25">
      <c r="J436" s="463"/>
      <c r="K436" s="965"/>
      <c r="N436">
        <f>N377</f>
        <v>0</v>
      </c>
      <c r="O436">
        <f t="shared" ref="O436:AC436" si="3">O377</f>
        <v>0</v>
      </c>
      <c r="P436">
        <f t="shared" si="3"/>
        <v>0</v>
      </c>
      <c r="Q436">
        <f t="shared" si="3"/>
        <v>0</v>
      </c>
      <c r="R436">
        <f t="shared" si="3"/>
        <v>0</v>
      </c>
      <c r="S436">
        <f t="shared" si="3"/>
        <v>0</v>
      </c>
      <c r="T436">
        <f t="shared" si="3"/>
        <v>0</v>
      </c>
      <c r="U436">
        <f t="shared" si="3"/>
        <v>0</v>
      </c>
      <c r="V436">
        <f t="shared" si="3"/>
        <v>0</v>
      </c>
      <c r="W436">
        <f t="shared" si="3"/>
        <v>0</v>
      </c>
      <c r="X436">
        <f t="shared" si="3"/>
        <v>0</v>
      </c>
      <c r="Y436">
        <f t="shared" si="3"/>
        <v>0</v>
      </c>
      <c r="Z436">
        <f t="shared" si="3"/>
        <v>0</v>
      </c>
      <c r="AA436">
        <f t="shared" si="3"/>
        <v>0</v>
      </c>
      <c r="AB436">
        <f t="shared" si="3"/>
        <v>0</v>
      </c>
      <c r="AC436">
        <f t="shared" si="3"/>
        <v>0</v>
      </c>
    </row>
    <row r="437" spans="10:29" ht="15.75" outlineLevel="1" x14ac:dyDescent="0.25">
      <c r="J437" s="463"/>
      <c r="K437" s="965"/>
      <c r="N437">
        <f>N378</f>
        <v>0</v>
      </c>
      <c r="O437">
        <f t="shared" ref="O437:AC437" si="4">O378</f>
        <v>0</v>
      </c>
      <c r="P437">
        <f t="shared" si="4"/>
        <v>0</v>
      </c>
      <c r="Q437">
        <f t="shared" si="4"/>
        <v>0</v>
      </c>
      <c r="R437">
        <f t="shared" si="4"/>
        <v>0</v>
      </c>
      <c r="S437">
        <f t="shared" si="4"/>
        <v>0</v>
      </c>
      <c r="T437">
        <f t="shared" si="4"/>
        <v>0</v>
      </c>
      <c r="U437">
        <f t="shared" si="4"/>
        <v>0</v>
      </c>
      <c r="V437">
        <f t="shared" si="4"/>
        <v>0</v>
      </c>
      <c r="W437">
        <f t="shared" si="4"/>
        <v>0</v>
      </c>
      <c r="X437">
        <f t="shared" si="4"/>
        <v>0</v>
      </c>
      <c r="Y437">
        <f t="shared" si="4"/>
        <v>0</v>
      </c>
      <c r="Z437">
        <f t="shared" si="4"/>
        <v>0</v>
      </c>
      <c r="AA437">
        <f t="shared" si="4"/>
        <v>0</v>
      </c>
      <c r="AB437">
        <f t="shared" si="4"/>
        <v>0</v>
      </c>
      <c r="AC437">
        <f t="shared" si="4"/>
        <v>0</v>
      </c>
    </row>
    <row r="438" spans="10:29" ht="15.75" outlineLevel="1" x14ac:dyDescent="0.25">
      <c r="K438" s="965"/>
    </row>
    <row r="439" spans="10:29" ht="15" x14ac:dyDescent="0.35">
      <c r="J439" s="966" t="s">
        <v>428</v>
      </c>
    </row>
    <row r="440" spans="10:29" ht="15.75" outlineLevel="1" x14ac:dyDescent="0.25">
      <c r="J440" s="463" t="s">
        <v>179</v>
      </c>
      <c r="K440" s="965"/>
      <c r="N440" t="e">
        <f>N228/$N$365</f>
        <v>#DIV/0!</v>
      </c>
      <c r="O440" t="e">
        <f t="shared" ref="O440:AC440" si="5">O228/$N$365</f>
        <v>#DIV/0!</v>
      </c>
      <c r="P440" t="e">
        <f t="shared" si="5"/>
        <v>#DIV/0!</v>
      </c>
      <c r="Q440" t="e">
        <f t="shared" si="5"/>
        <v>#DIV/0!</v>
      </c>
      <c r="R440" t="e">
        <f t="shared" si="5"/>
        <v>#DIV/0!</v>
      </c>
      <c r="S440" t="e">
        <f t="shared" si="5"/>
        <v>#DIV/0!</v>
      </c>
      <c r="T440" t="e">
        <f t="shared" si="5"/>
        <v>#DIV/0!</v>
      </c>
      <c r="U440" t="e">
        <f t="shared" si="5"/>
        <v>#DIV/0!</v>
      </c>
      <c r="V440" t="e">
        <f t="shared" si="5"/>
        <v>#DIV/0!</v>
      </c>
      <c r="W440" t="e">
        <f t="shared" si="5"/>
        <v>#DIV/0!</v>
      </c>
      <c r="X440" t="e">
        <f t="shared" si="5"/>
        <v>#DIV/0!</v>
      </c>
      <c r="Y440" t="e">
        <f t="shared" si="5"/>
        <v>#DIV/0!</v>
      </c>
      <c r="Z440" t="e">
        <f t="shared" si="5"/>
        <v>#DIV/0!</v>
      </c>
      <c r="AA440" t="e">
        <f t="shared" si="5"/>
        <v>#DIV/0!</v>
      </c>
      <c r="AB440" t="e">
        <f t="shared" si="5"/>
        <v>#DIV/0!</v>
      </c>
      <c r="AC440" t="e">
        <f t="shared" si="5"/>
        <v>#DIV/0!</v>
      </c>
    </row>
    <row r="441" spans="10:29" ht="15.75" outlineLevel="1" x14ac:dyDescent="0.25">
      <c r="J441" s="463" t="s">
        <v>183</v>
      </c>
      <c r="K441" s="965"/>
      <c r="N441" t="e">
        <f>N232/$N$365</f>
        <v>#DIV/0!</v>
      </c>
      <c r="O441" t="e">
        <f t="shared" ref="O441:AC441" si="6">O232/$N$365</f>
        <v>#DIV/0!</v>
      </c>
      <c r="P441" t="e">
        <f t="shared" si="6"/>
        <v>#DIV/0!</v>
      </c>
      <c r="Q441" t="e">
        <f t="shared" si="6"/>
        <v>#DIV/0!</v>
      </c>
      <c r="R441" t="e">
        <f t="shared" si="6"/>
        <v>#DIV/0!</v>
      </c>
      <c r="S441" t="e">
        <f t="shared" si="6"/>
        <v>#DIV/0!</v>
      </c>
      <c r="T441" t="e">
        <f t="shared" si="6"/>
        <v>#DIV/0!</v>
      </c>
      <c r="U441" t="e">
        <f t="shared" si="6"/>
        <v>#DIV/0!</v>
      </c>
      <c r="V441" t="e">
        <f t="shared" si="6"/>
        <v>#DIV/0!</v>
      </c>
      <c r="W441" t="e">
        <f t="shared" si="6"/>
        <v>#DIV/0!</v>
      </c>
      <c r="X441" t="e">
        <f t="shared" si="6"/>
        <v>#DIV/0!</v>
      </c>
      <c r="Y441" t="e">
        <f t="shared" si="6"/>
        <v>#DIV/0!</v>
      </c>
      <c r="Z441" t="e">
        <f t="shared" si="6"/>
        <v>#DIV/0!</v>
      </c>
      <c r="AA441" t="e">
        <f t="shared" si="6"/>
        <v>#DIV/0!</v>
      </c>
      <c r="AB441" t="e">
        <f t="shared" si="6"/>
        <v>#DIV/0!</v>
      </c>
      <c r="AC441" t="e">
        <f t="shared" si="6"/>
        <v>#DIV/0!</v>
      </c>
    </row>
    <row r="442" spans="10:29" ht="15.75" outlineLevel="1" x14ac:dyDescent="0.25">
      <c r="J442" s="463" t="s">
        <v>186</v>
      </c>
      <c r="K442" s="965"/>
      <c r="N442" t="e">
        <f>N237/$N$365</f>
        <v>#DIV/0!</v>
      </c>
      <c r="O442" t="e">
        <f t="shared" ref="O442:AC442" si="7">O237/$N$365</f>
        <v>#DIV/0!</v>
      </c>
      <c r="P442" t="e">
        <f t="shared" si="7"/>
        <v>#DIV/0!</v>
      </c>
      <c r="Q442" t="e">
        <f t="shared" si="7"/>
        <v>#DIV/0!</v>
      </c>
      <c r="R442" t="e">
        <f t="shared" si="7"/>
        <v>#DIV/0!</v>
      </c>
      <c r="S442" t="e">
        <f t="shared" si="7"/>
        <v>#DIV/0!</v>
      </c>
      <c r="T442" t="e">
        <f t="shared" si="7"/>
        <v>#DIV/0!</v>
      </c>
      <c r="U442" t="e">
        <f t="shared" si="7"/>
        <v>#DIV/0!</v>
      </c>
      <c r="V442" t="e">
        <f t="shared" si="7"/>
        <v>#DIV/0!</v>
      </c>
      <c r="W442" t="e">
        <f t="shared" si="7"/>
        <v>#DIV/0!</v>
      </c>
      <c r="X442" t="e">
        <f t="shared" si="7"/>
        <v>#DIV/0!</v>
      </c>
      <c r="Y442" t="e">
        <f t="shared" si="7"/>
        <v>#DIV/0!</v>
      </c>
      <c r="Z442" t="e">
        <f t="shared" si="7"/>
        <v>#DIV/0!</v>
      </c>
      <c r="AA442" t="e">
        <f t="shared" si="7"/>
        <v>#DIV/0!</v>
      </c>
      <c r="AB442" t="e">
        <f t="shared" si="7"/>
        <v>#DIV/0!</v>
      </c>
      <c r="AC442" t="e">
        <f t="shared" si="7"/>
        <v>#DIV/0!</v>
      </c>
    </row>
    <row r="443" spans="10:29" ht="15.75" outlineLevel="1" x14ac:dyDescent="0.25">
      <c r="J443" s="463" t="s">
        <v>425</v>
      </c>
      <c r="K443" s="965"/>
      <c r="N443" t="e">
        <f>SUM($N440:N441)</f>
        <v>#DIV/0!</v>
      </c>
      <c r="O443" t="e">
        <f>SUM($N440:O441)</f>
        <v>#DIV/0!</v>
      </c>
      <c r="P443" t="e">
        <f>SUM($N440:P441)</f>
        <v>#DIV/0!</v>
      </c>
      <c r="Q443" t="e">
        <f>SUM($N440:Q441)</f>
        <v>#DIV/0!</v>
      </c>
      <c r="R443" t="e">
        <f>SUM($N440:R441)</f>
        <v>#DIV/0!</v>
      </c>
      <c r="S443" t="e">
        <f>SUM($N440:S441)</f>
        <v>#DIV/0!</v>
      </c>
      <c r="T443" t="e">
        <f>SUM($N440:T441)</f>
        <v>#DIV/0!</v>
      </c>
      <c r="U443" t="e">
        <f>SUM($N440:U441)</f>
        <v>#DIV/0!</v>
      </c>
      <c r="V443" t="e">
        <f>SUM($N440:V441)</f>
        <v>#DIV/0!</v>
      </c>
      <c r="W443" t="e">
        <f>SUM($N440:W441)</f>
        <v>#DIV/0!</v>
      </c>
      <c r="X443" t="e">
        <f>SUM($N440:X441)</f>
        <v>#DIV/0!</v>
      </c>
      <c r="Y443" t="e">
        <f>SUM($N440:Y441)</f>
        <v>#DIV/0!</v>
      </c>
      <c r="Z443" t="e">
        <f>SUM($N440:Z441)</f>
        <v>#DIV/0!</v>
      </c>
      <c r="AA443" t="e">
        <f>SUM($N440:AA441)</f>
        <v>#DIV/0!</v>
      </c>
      <c r="AB443" t="e">
        <f>SUM($N440:AB441)</f>
        <v>#DIV/0!</v>
      </c>
      <c r="AC443" t="e">
        <f>SUM($N440:AC441)</f>
        <v>#DIV/0!</v>
      </c>
    </row>
    <row r="444" spans="10:29" ht="14.25" outlineLevel="1" x14ac:dyDescent="0.2">
      <c r="J444" s="463"/>
    </row>
    <row r="445" spans="10:29" ht="19.5" outlineLevel="1" x14ac:dyDescent="0.55000000000000004">
      <c r="J445" s="967" t="s">
        <v>430</v>
      </c>
    </row>
    <row r="446" spans="10:29" ht="14.25" x14ac:dyDescent="0.2">
      <c r="J446" s="463"/>
      <c r="N446" t="e">
        <f>N40/$N$365</f>
        <v>#DIV/0!</v>
      </c>
      <c r="O446" t="e">
        <f t="shared" ref="O446:AC446" si="8">O40/$N$365</f>
        <v>#DIV/0!</v>
      </c>
      <c r="P446" t="e">
        <f t="shared" si="8"/>
        <v>#DIV/0!</v>
      </c>
      <c r="Q446" t="e">
        <f t="shared" si="8"/>
        <v>#DIV/0!</v>
      </c>
      <c r="R446" t="e">
        <f t="shared" si="8"/>
        <v>#DIV/0!</v>
      </c>
      <c r="S446" t="e">
        <f t="shared" si="8"/>
        <v>#DIV/0!</v>
      </c>
      <c r="T446" t="e">
        <f t="shared" si="8"/>
        <v>#DIV/0!</v>
      </c>
      <c r="U446" t="e">
        <f t="shared" si="8"/>
        <v>#DIV/0!</v>
      </c>
      <c r="V446" t="e">
        <f t="shared" si="8"/>
        <v>#DIV/0!</v>
      </c>
      <c r="W446" t="e">
        <f t="shared" si="8"/>
        <v>#DIV/0!</v>
      </c>
      <c r="X446" t="e">
        <f t="shared" si="8"/>
        <v>#DIV/0!</v>
      </c>
      <c r="Y446" t="e">
        <f t="shared" si="8"/>
        <v>#DIV/0!</v>
      </c>
      <c r="Z446" t="e">
        <f t="shared" si="8"/>
        <v>#DIV/0!</v>
      </c>
      <c r="AA446" t="e">
        <f t="shared" si="8"/>
        <v>#DIV/0!</v>
      </c>
      <c r="AB446" t="e">
        <f t="shared" si="8"/>
        <v>#DIV/0!</v>
      </c>
      <c r="AC446" t="e">
        <f t="shared" si="8"/>
        <v>#DIV/0!</v>
      </c>
    </row>
    <row r="447" spans="10:29" ht="14.25" outlineLevel="1" x14ac:dyDescent="0.2">
      <c r="J447" s="463"/>
      <c r="N447" t="e">
        <f>N41/$N$365</f>
        <v>#DIV/0!</v>
      </c>
      <c r="O447" t="e">
        <f t="shared" ref="O447:AC447" si="9">O41/$N$365</f>
        <v>#DIV/0!</v>
      </c>
      <c r="P447" t="e">
        <f t="shared" si="9"/>
        <v>#DIV/0!</v>
      </c>
      <c r="Q447" t="e">
        <f t="shared" si="9"/>
        <v>#DIV/0!</v>
      </c>
      <c r="R447" t="e">
        <f t="shared" si="9"/>
        <v>#DIV/0!</v>
      </c>
      <c r="S447" t="e">
        <f t="shared" si="9"/>
        <v>#DIV/0!</v>
      </c>
      <c r="T447" t="e">
        <f t="shared" si="9"/>
        <v>#DIV/0!</v>
      </c>
      <c r="U447" t="e">
        <f t="shared" si="9"/>
        <v>#DIV/0!</v>
      </c>
      <c r="V447" t="e">
        <f t="shared" si="9"/>
        <v>#DIV/0!</v>
      </c>
      <c r="W447" t="e">
        <f t="shared" si="9"/>
        <v>#DIV/0!</v>
      </c>
      <c r="X447" t="e">
        <f t="shared" si="9"/>
        <v>#DIV/0!</v>
      </c>
      <c r="Y447" t="e">
        <f t="shared" si="9"/>
        <v>#DIV/0!</v>
      </c>
      <c r="Z447" t="e">
        <f t="shared" si="9"/>
        <v>#DIV/0!</v>
      </c>
      <c r="AA447" t="e">
        <f t="shared" si="9"/>
        <v>#DIV/0!</v>
      </c>
      <c r="AB447" t="e">
        <f t="shared" si="9"/>
        <v>#DIV/0!</v>
      </c>
      <c r="AC447" t="e">
        <f t="shared" si="9"/>
        <v>#DIV/0!</v>
      </c>
    </row>
    <row r="448" spans="10:29" ht="14.25" outlineLevel="1" x14ac:dyDescent="0.2">
      <c r="J448" s="463"/>
      <c r="N448" t="e">
        <f>N46/$N$365</f>
        <v>#DIV/0!</v>
      </c>
      <c r="O448" t="e">
        <f t="shared" ref="O448:AC448" si="10">O46/$N$365</f>
        <v>#DIV/0!</v>
      </c>
      <c r="P448" t="e">
        <f t="shared" si="10"/>
        <v>#DIV/0!</v>
      </c>
      <c r="Q448" t="e">
        <f t="shared" si="10"/>
        <v>#DIV/0!</v>
      </c>
      <c r="R448" t="e">
        <f t="shared" si="10"/>
        <v>#DIV/0!</v>
      </c>
      <c r="S448" t="e">
        <f t="shared" si="10"/>
        <v>#DIV/0!</v>
      </c>
      <c r="T448" t="e">
        <f t="shared" si="10"/>
        <v>#DIV/0!</v>
      </c>
      <c r="U448" t="e">
        <f t="shared" si="10"/>
        <v>#DIV/0!</v>
      </c>
      <c r="V448" t="e">
        <f t="shared" si="10"/>
        <v>#DIV/0!</v>
      </c>
      <c r="W448" t="e">
        <f t="shared" si="10"/>
        <v>#DIV/0!</v>
      </c>
      <c r="X448" t="e">
        <f t="shared" si="10"/>
        <v>#DIV/0!</v>
      </c>
      <c r="Y448" t="e">
        <f t="shared" si="10"/>
        <v>#DIV/0!</v>
      </c>
      <c r="Z448" t="e">
        <f t="shared" si="10"/>
        <v>#DIV/0!</v>
      </c>
      <c r="AA448" t="e">
        <f t="shared" si="10"/>
        <v>#DIV/0!</v>
      </c>
      <c r="AB448" t="e">
        <f t="shared" si="10"/>
        <v>#DIV/0!</v>
      </c>
      <c r="AC448" t="e">
        <f t="shared" si="10"/>
        <v>#DIV/0!</v>
      </c>
    </row>
    <row r="449" spans="10:29" ht="14.25" x14ac:dyDescent="0.2">
      <c r="J449" s="463"/>
      <c r="N449" t="e">
        <f>N47/$N$365</f>
        <v>#DIV/0!</v>
      </c>
      <c r="O449" t="e">
        <f t="shared" ref="O449:AC449" si="11">O47/$N$365</f>
        <v>#DIV/0!</v>
      </c>
      <c r="P449" t="e">
        <f t="shared" si="11"/>
        <v>#DIV/0!</v>
      </c>
      <c r="Q449" t="e">
        <f t="shared" si="11"/>
        <v>#DIV/0!</v>
      </c>
      <c r="R449" t="e">
        <f t="shared" si="11"/>
        <v>#DIV/0!</v>
      </c>
      <c r="S449" t="e">
        <f t="shared" si="11"/>
        <v>#DIV/0!</v>
      </c>
      <c r="T449" t="e">
        <f t="shared" si="11"/>
        <v>#DIV/0!</v>
      </c>
      <c r="U449" t="e">
        <f t="shared" si="11"/>
        <v>#DIV/0!</v>
      </c>
      <c r="V449" t="e">
        <f t="shared" si="11"/>
        <v>#DIV/0!</v>
      </c>
      <c r="W449" t="e">
        <f t="shared" si="11"/>
        <v>#DIV/0!</v>
      </c>
      <c r="X449" t="e">
        <f t="shared" si="11"/>
        <v>#DIV/0!</v>
      </c>
      <c r="Y449" t="e">
        <f t="shared" si="11"/>
        <v>#DIV/0!</v>
      </c>
      <c r="Z449" t="e">
        <f t="shared" si="11"/>
        <v>#DIV/0!</v>
      </c>
      <c r="AA449" t="e">
        <f t="shared" si="11"/>
        <v>#DIV/0!</v>
      </c>
      <c r="AB449" t="e">
        <f t="shared" si="11"/>
        <v>#DIV/0!</v>
      </c>
      <c r="AC449" t="e">
        <f t="shared" si="11"/>
        <v>#DIV/0!</v>
      </c>
    </row>
    <row r="450" spans="10:29" ht="14.25" outlineLevel="1" x14ac:dyDescent="0.2">
      <c r="J450" s="463"/>
      <c r="N450" t="e">
        <f>N48/$N$365</f>
        <v>#DIV/0!</v>
      </c>
      <c r="O450" t="e">
        <f t="shared" ref="O450:AC450" si="12">O48/$N$365</f>
        <v>#DIV/0!</v>
      </c>
      <c r="P450" t="e">
        <f t="shared" si="12"/>
        <v>#DIV/0!</v>
      </c>
      <c r="Q450" t="e">
        <f t="shared" si="12"/>
        <v>#DIV/0!</v>
      </c>
      <c r="R450" t="e">
        <f t="shared" si="12"/>
        <v>#DIV/0!</v>
      </c>
      <c r="S450" t="e">
        <f t="shared" si="12"/>
        <v>#DIV/0!</v>
      </c>
      <c r="T450" t="e">
        <f t="shared" si="12"/>
        <v>#DIV/0!</v>
      </c>
      <c r="U450" t="e">
        <f t="shared" si="12"/>
        <v>#DIV/0!</v>
      </c>
      <c r="V450" t="e">
        <f t="shared" si="12"/>
        <v>#DIV/0!</v>
      </c>
      <c r="W450" t="e">
        <f t="shared" si="12"/>
        <v>#DIV/0!</v>
      </c>
      <c r="X450" t="e">
        <f t="shared" si="12"/>
        <v>#DIV/0!</v>
      </c>
      <c r="Y450" t="e">
        <f t="shared" si="12"/>
        <v>#DIV/0!</v>
      </c>
      <c r="Z450" t="e">
        <f t="shared" si="12"/>
        <v>#DIV/0!</v>
      </c>
      <c r="AA450" t="e">
        <f t="shared" si="12"/>
        <v>#DIV/0!</v>
      </c>
      <c r="AB450" t="e">
        <f t="shared" si="12"/>
        <v>#DIV/0!</v>
      </c>
      <c r="AC450" t="e">
        <f t="shared" si="12"/>
        <v>#DIV/0!</v>
      </c>
    </row>
    <row r="451" spans="10:29" ht="14.25" outlineLevel="1" x14ac:dyDescent="0.2">
      <c r="J451" s="463"/>
      <c r="N451" t="e">
        <f>N49/$N$365</f>
        <v>#DIV/0!</v>
      </c>
      <c r="O451" t="e">
        <f t="shared" ref="O451:AC451" si="13">O49/$N$365</f>
        <v>#DIV/0!</v>
      </c>
      <c r="P451" t="e">
        <f t="shared" si="13"/>
        <v>#DIV/0!</v>
      </c>
      <c r="Q451" t="e">
        <f t="shared" si="13"/>
        <v>#DIV/0!</v>
      </c>
      <c r="R451" t="e">
        <f t="shared" si="13"/>
        <v>#DIV/0!</v>
      </c>
      <c r="S451" t="e">
        <f t="shared" si="13"/>
        <v>#DIV/0!</v>
      </c>
      <c r="T451" t="e">
        <f t="shared" si="13"/>
        <v>#DIV/0!</v>
      </c>
      <c r="U451" t="e">
        <f t="shared" si="13"/>
        <v>#DIV/0!</v>
      </c>
      <c r="V451" t="e">
        <f t="shared" si="13"/>
        <v>#DIV/0!</v>
      </c>
      <c r="W451" t="e">
        <f t="shared" si="13"/>
        <v>#DIV/0!</v>
      </c>
      <c r="X451" t="e">
        <f t="shared" si="13"/>
        <v>#DIV/0!</v>
      </c>
      <c r="Y451" t="e">
        <f t="shared" si="13"/>
        <v>#DIV/0!</v>
      </c>
      <c r="Z451" t="e">
        <f t="shared" si="13"/>
        <v>#DIV/0!</v>
      </c>
      <c r="AA451" t="e">
        <f t="shared" si="13"/>
        <v>#DIV/0!</v>
      </c>
      <c r="AB451" t="e">
        <f t="shared" si="13"/>
        <v>#DIV/0!</v>
      </c>
      <c r="AC451" t="e">
        <f t="shared" si="13"/>
        <v>#DIV/0!</v>
      </c>
    </row>
    <row r="452" spans="10:29" ht="15.75" outlineLevel="1" x14ac:dyDescent="0.25">
      <c r="J452" s="463" t="s">
        <v>427</v>
      </c>
      <c r="K452" s="965"/>
      <c r="N452" t="e">
        <f>N38/$N$365</f>
        <v>#DIV/0!</v>
      </c>
      <c r="O452" t="e">
        <f t="shared" ref="O452:AC452" si="14">O38/$N$365</f>
        <v>#DIV/0!</v>
      </c>
      <c r="P452" t="e">
        <f t="shared" si="14"/>
        <v>#DIV/0!</v>
      </c>
      <c r="Q452" t="e">
        <f t="shared" si="14"/>
        <v>#DIV/0!</v>
      </c>
      <c r="R452" t="e">
        <f t="shared" si="14"/>
        <v>#DIV/0!</v>
      </c>
      <c r="S452" t="e">
        <f t="shared" si="14"/>
        <v>#DIV/0!</v>
      </c>
      <c r="T452" t="e">
        <f t="shared" si="14"/>
        <v>#DIV/0!</v>
      </c>
      <c r="U452" t="e">
        <f t="shared" si="14"/>
        <v>#DIV/0!</v>
      </c>
      <c r="V452" t="e">
        <f t="shared" si="14"/>
        <v>#DIV/0!</v>
      </c>
      <c r="W452" t="e">
        <f t="shared" si="14"/>
        <v>#DIV/0!</v>
      </c>
      <c r="X452" t="e">
        <f t="shared" si="14"/>
        <v>#DIV/0!</v>
      </c>
      <c r="Y452" t="e">
        <f t="shared" si="14"/>
        <v>#DIV/0!</v>
      </c>
      <c r="Z452" t="e">
        <f t="shared" si="14"/>
        <v>#DIV/0!</v>
      </c>
      <c r="AA452" t="e">
        <f t="shared" si="14"/>
        <v>#DIV/0!</v>
      </c>
      <c r="AB452" t="e">
        <f t="shared" si="14"/>
        <v>#DIV/0!</v>
      </c>
      <c r="AC452" t="e">
        <f t="shared" si="14"/>
        <v>#DIV/0!</v>
      </c>
    </row>
    <row r="453" spans="10:29" outlineLevel="1" x14ac:dyDescent="0.2"/>
  </sheetData>
  <phoneticPr fontId="154" type="noConversion"/>
  <conditionalFormatting sqref="K434:K438 K440:K443 K452">
    <cfRule type="cellIs" dxfId="3184" priority="5" operator="equal">
      <formula>0</formula>
    </cfRule>
    <cfRule type="cellIs" dxfId="3183" priority="6" operator="lessThan">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5ADED-DD17-45B0-AC8D-C6B34E95F8C3}">
  <dimension ref="A1"/>
  <sheetViews>
    <sheetView workbookViewId="0">
      <selection activeCell="N39" sqref="N39"/>
    </sheetView>
  </sheetViews>
  <sheetFormatPr defaultRowHeight="12.75" x14ac:dyDescent="0.2"/>
  <sheetData/>
  <phoneticPr fontId="15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C33BF-0E87-4B8E-8501-4C294C778A68}">
  <dimension ref="B7:K45"/>
  <sheetViews>
    <sheetView workbookViewId="0">
      <selection activeCell="M15" sqref="M15"/>
    </sheetView>
  </sheetViews>
  <sheetFormatPr defaultRowHeight="14.25" x14ac:dyDescent="0.2"/>
  <cols>
    <col min="1" max="1" width="9.140625" style="1067"/>
    <col min="2" max="2" width="26.7109375" style="1067" customWidth="1"/>
    <col min="3" max="3" width="20.5703125" style="1067" bestFit="1" customWidth="1"/>
    <col min="4" max="4" width="21.28515625" style="1067" customWidth="1"/>
    <col min="5" max="5" width="15.85546875" style="1067" customWidth="1"/>
    <col min="6" max="7" width="9.140625" style="1067"/>
    <col min="8" max="8" width="62.28515625" style="1067" bestFit="1" customWidth="1"/>
    <col min="9" max="9" width="18.7109375" style="1067" bestFit="1" customWidth="1"/>
    <col min="10" max="11" width="14.140625" style="1067" bestFit="1" customWidth="1"/>
    <col min="12" max="16384" width="9.140625" style="1067"/>
  </cols>
  <sheetData>
    <row r="7" spans="2:11" x14ac:dyDescent="0.2">
      <c r="B7" s="1135" t="s">
        <v>491</v>
      </c>
      <c r="C7" s="1134">
        <v>1</v>
      </c>
    </row>
    <row r="9" spans="2:11" ht="15" thickBot="1" x14ac:dyDescent="0.25"/>
    <row r="10" spans="2:11" ht="18.75" thickBot="1" x14ac:dyDescent="0.25">
      <c r="B10" s="1109" t="s">
        <v>490</v>
      </c>
      <c r="C10" s="1192">
        <f>K12</f>
        <v>0</v>
      </c>
      <c r="D10" s="1193"/>
      <c r="E10" s="1194"/>
      <c r="H10" s="1133" t="s">
        <v>7</v>
      </c>
      <c r="I10" s="1133"/>
      <c r="J10" s="1132" t="s">
        <v>521</v>
      </c>
      <c r="K10" s="1132" t="s">
        <v>522</v>
      </c>
    </row>
    <row r="11" spans="2:11" ht="18.75" thickBot="1" x14ac:dyDescent="0.45">
      <c r="B11" s="1105" t="s">
        <v>488</v>
      </c>
      <c r="C11" s="1128">
        <f>K14</f>
        <v>0</v>
      </c>
      <c r="D11" s="1105" t="s">
        <v>487</v>
      </c>
      <c r="E11" s="1127">
        <f>J15</f>
        <v>0</v>
      </c>
      <c r="H11" s="1080" t="s">
        <v>10</v>
      </c>
      <c r="I11" s="1070"/>
      <c r="J11" s="1131" t="s">
        <v>11</v>
      </c>
      <c r="K11" s="1131"/>
    </row>
    <row r="12" spans="2:11" ht="17.25" thickBot="1" x14ac:dyDescent="0.35">
      <c r="B12" s="1109" t="s">
        <v>486</v>
      </c>
      <c r="C12" s="1124">
        <f>K16</f>
        <v>0</v>
      </c>
      <c r="D12" s="1109" t="s">
        <v>485</v>
      </c>
      <c r="E12" s="1123">
        <f>J17</f>
        <v>0</v>
      </c>
      <c r="H12" s="1113" t="s">
        <v>12</v>
      </c>
      <c r="I12" s="1102" t="s">
        <v>484</v>
      </c>
      <c r="J12" s="1130">
        <f>SFP254v1.5_CONSOLIDATION!L372</f>
        <v>0</v>
      </c>
      <c r="K12" s="1129">
        <f>J12/$C$7/1000000</f>
        <v>0</v>
      </c>
    </row>
    <row r="13" spans="2:11" ht="16.5" thickBot="1" x14ac:dyDescent="0.3">
      <c r="B13" s="1105" t="s">
        <v>483</v>
      </c>
      <c r="C13" s="1128">
        <f>K32</f>
        <v>0</v>
      </c>
      <c r="D13" s="1105" t="s">
        <v>481</v>
      </c>
      <c r="E13" s="1127" t="e">
        <f>C13/$C$10</f>
        <v>#DIV/0!</v>
      </c>
      <c r="H13" s="1126" t="s">
        <v>13</v>
      </c>
      <c r="I13" s="1125"/>
      <c r="J13" s="49">
        <f>SFP254v1.5_CONSOLIDATION!L373</f>
        <v>0</v>
      </c>
      <c r="K13" s="49">
        <f>J13</f>
        <v>0</v>
      </c>
    </row>
    <row r="14" spans="2:11" ht="16.5" thickBot="1" x14ac:dyDescent="0.3">
      <c r="B14" s="1109" t="s">
        <v>482</v>
      </c>
      <c r="C14" s="1124">
        <f>C15+C16</f>
        <v>0</v>
      </c>
      <c r="D14" s="1109" t="s">
        <v>481</v>
      </c>
      <c r="E14" s="1123" t="e">
        <f>C14/$C$10</f>
        <v>#DIV/0!</v>
      </c>
      <c r="H14" s="1117" t="s">
        <v>14</v>
      </c>
      <c r="I14" s="1078"/>
      <c r="J14" s="1122">
        <f>SFP254v1.5_CONSOLIDATION!L374</f>
        <v>0</v>
      </c>
      <c r="K14" s="1121">
        <f>J14/$C$7/1000000</f>
        <v>0</v>
      </c>
    </row>
    <row r="15" spans="2:11" ht="16.5" thickBot="1" x14ac:dyDescent="0.3">
      <c r="B15" s="1120" t="s">
        <v>480</v>
      </c>
      <c r="C15" s="1119">
        <f>K43</f>
        <v>0</v>
      </c>
      <c r="D15" s="1105" t="s">
        <v>478</v>
      </c>
      <c r="E15" s="1118" t="e">
        <f>C15/$C$14</f>
        <v>#DIV/0!</v>
      </c>
      <c r="H15" s="1117" t="s">
        <v>15</v>
      </c>
      <c r="I15" s="1078"/>
      <c r="J15" s="58">
        <f>SFP254v1.5_CONSOLIDATION!L375</f>
        <v>0</v>
      </c>
      <c r="K15" s="58">
        <f>J15</f>
        <v>0</v>
      </c>
    </row>
    <row r="16" spans="2:11" ht="16.5" thickBot="1" x14ac:dyDescent="0.3">
      <c r="B16" s="1116" t="s">
        <v>479</v>
      </c>
      <c r="C16" s="1115">
        <f>K20</f>
        <v>0</v>
      </c>
      <c r="D16" s="1109" t="s">
        <v>478</v>
      </c>
      <c r="E16" s="1114" t="e">
        <f>C16/$C$14</f>
        <v>#DIV/0!</v>
      </c>
      <c r="H16" s="1113" t="s">
        <v>16</v>
      </c>
      <c r="I16" s="1078"/>
      <c r="J16" s="1112">
        <f>SFP254v1.5_CONSOLIDATION!L376</f>
        <v>0</v>
      </c>
      <c r="K16" s="1111">
        <f>J16/$C$7/1000000</f>
        <v>0</v>
      </c>
    </row>
    <row r="17" spans="2:11" ht="36" customHeight="1" thickBot="1" x14ac:dyDescent="0.3">
      <c r="B17" s="1105" t="s">
        <v>477</v>
      </c>
      <c r="C17" s="1195" t="str">
        <f>"Original ROI is "&amp;J31</f>
        <v>Original ROI is 0 yrs</v>
      </c>
      <c r="D17" s="1196"/>
      <c r="E17" s="1197"/>
      <c r="H17" s="1110" t="s">
        <v>423</v>
      </c>
      <c r="I17" s="1078"/>
      <c r="J17" s="62">
        <f>SFP254v1.5_CONSOLIDATION!L377</f>
        <v>0</v>
      </c>
      <c r="K17" s="62">
        <f>J17</f>
        <v>0</v>
      </c>
    </row>
    <row r="18" spans="2:11" ht="16.5" thickBot="1" x14ac:dyDescent="0.3">
      <c r="B18" s="1109" t="s">
        <v>476</v>
      </c>
      <c r="C18" s="1109" t="s">
        <v>475</v>
      </c>
      <c r="D18" s="1109" t="s">
        <v>474</v>
      </c>
      <c r="E18" s="1108">
        <v>-0.1</v>
      </c>
      <c r="H18" s="1107" t="s">
        <v>424</v>
      </c>
      <c r="I18" s="1106"/>
      <c r="J18" s="539">
        <f>SFP254v1.5_CONSOLIDATION!L378</f>
        <v>0</v>
      </c>
      <c r="K18" s="539">
        <f>J18</f>
        <v>0</v>
      </c>
    </row>
    <row r="19" spans="2:11" ht="54" customHeight="1" thickBot="1" x14ac:dyDescent="0.3">
      <c r="B19" s="1105" t="s">
        <v>473</v>
      </c>
      <c r="C19" s="1195" t="s">
        <v>472</v>
      </c>
      <c r="D19" s="1196"/>
      <c r="E19" s="1197"/>
      <c r="H19" s="1070" t="s">
        <v>17</v>
      </c>
      <c r="I19" s="1078"/>
      <c r="J19" s="1104">
        <f>SFP254v1.5_CONSOLIDATION!L379</f>
        <v>0</v>
      </c>
      <c r="K19" s="1103">
        <f>J19/$C$7/1000000</f>
        <v>0</v>
      </c>
    </row>
    <row r="20" spans="2:11" ht="16.5" x14ac:dyDescent="0.3">
      <c r="H20" s="1086" t="s">
        <v>374</v>
      </c>
      <c r="I20" s="1102" t="s">
        <v>471</v>
      </c>
      <c r="J20" s="1101">
        <f>SFP254v1.5_CONSOLIDATION!L380</f>
        <v>0</v>
      </c>
      <c r="K20" s="1100">
        <f>J20/$C$7/1000000</f>
        <v>0</v>
      </c>
    </row>
    <row r="21" spans="2:11" ht="16.5" thickBot="1" x14ac:dyDescent="0.3">
      <c r="H21" s="1086" t="s">
        <v>375</v>
      </c>
      <c r="I21" s="1078"/>
      <c r="J21" s="1099">
        <f>SFP254v1.5_CONSOLIDATION!L381</f>
        <v>0</v>
      </c>
      <c r="K21" s="1099">
        <f>J21/$C$7</f>
        <v>0</v>
      </c>
    </row>
    <row r="22" spans="2:11" ht="15.75" x14ac:dyDescent="0.25">
      <c r="H22" s="1096" t="s">
        <v>470</v>
      </c>
      <c r="I22" s="1078"/>
      <c r="J22" s="1098">
        <f>SFP254v1.5_CONSOLIDATION!L382</f>
        <v>0</v>
      </c>
      <c r="K22" s="1097">
        <f>J22/$C$7/1000000</f>
        <v>0</v>
      </c>
    </row>
    <row r="23" spans="2:11" ht="16.5" thickBot="1" x14ac:dyDescent="0.3">
      <c r="H23" s="1096" t="s">
        <v>276</v>
      </c>
      <c r="I23" s="1078"/>
      <c r="J23" s="1095">
        <f>SFP254v1.5_CONSOLIDATION!L383</f>
        <v>0</v>
      </c>
      <c r="K23" s="1094">
        <f>J23/$C$7/1000000</f>
        <v>0</v>
      </c>
    </row>
    <row r="24" spans="2:11" x14ac:dyDescent="0.2">
      <c r="H24" s="1065"/>
      <c r="I24" s="1065"/>
      <c r="J24" s="1065">
        <f>SFP254v1.5_CONSOLIDATION!L384</f>
        <v>0</v>
      </c>
      <c r="K24" s="1065">
        <f t="shared" ref="K24:K29" si="0">J24/$C$7</f>
        <v>0</v>
      </c>
    </row>
    <row r="25" spans="2:11" ht="18" x14ac:dyDescent="0.4">
      <c r="E25" s="1093"/>
      <c r="H25" s="1092" t="s">
        <v>18</v>
      </c>
      <c r="I25" s="1065"/>
      <c r="J25" s="1065">
        <f>SFP254v1.5_CONSOLIDATION!L385</f>
        <v>0</v>
      </c>
      <c r="K25" s="1065">
        <f t="shared" si="0"/>
        <v>0</v>
      </c>
    </row>
    <row r="26" spans="2:11" ht="16.5" x14ac:dyDescent="0.3">
      <c r="H26" s="1091" t="s">
        <v>19</v>
      </c>
      <c r="I26" s="1088" t="s">
        <v>20</v>
      </c>
      <c r="J26" s="1090">
        <f>SFP254v1.5_CONSOLIDATION!L386</f>
        <v>0</v>
      </c>
      <c r="K26" s="1090">
        <f t="shared" si="0"/>
        <v>0</v>
      </c>
    </row>
    <row r="27" spans="2:11" ht="16.5" x14ac:dyDescent="0.3">
      <c r="H27" s="1089" t="s">
        <v>21</v>
      </c>
      <c r="I27" s="1088" t="s">
        <v>469</v>
      </c>
      <c r="J27" s="1087">
        <f>SFP254v1.5_CONSOLIDATION!L387</f>
        <v>0</v>
      </c>
      <c r="K27" s="1087">
        <f t="shared" si="0"/>
        <v>0</v>
      </c>
    </row>
    <row r="28" spans="2:11" ht="16.5" thickBot="1" x14ac:dyDescent="0.3">
      <c r="H28" s="1086"/>
      <c r="I28" s="1086"/>
      <c r="J28" s="1086">
        <f>SFP254v1.5_CONSOLIDATION!L388</f>
        <v>0</v>
      </c>
      <c r="K28" s="1086">
        <f t="shared" si="0"/>
        <v>0</v>
      </c>
    </row>
    <row r="29" spans="2:11" ht="18" x14ac:dyDescent="0.4">
      <c r="H29" s="1080" t="s">
        <v>23</v>
      </c>
      <c r="I29" s="1070"/>
      <c r="J29" s="1085">
        <f>SFP254v1.5_CONSOLIDATION!L389</f>
        <v>0</v>
      </c>
      <c r="K29" s="1085">
        <f t="shared" si="0"/>
        <v>0</v>
      </c>
    </row>
    <row r="30" spans="2:11" ht="15.75" customHeight="1" x14ac:dyDescent="0.25">
      <c r="H30" s="1070" t="s">
        <v>24</v>
      </c>
      <c r="I30" s="1084" t="s">
        <v>468</v>
      </c>
      <c r="J30" s="1081">
        <f>SFP254v1.5_CONSOLIDATION!L390</f>
        <v>0</v>
      </c>
      <c r="K30" s="1074">
        <f>J30/$C$7/1000000</f>
        <v>0</v>
      </c>
    </row>
    <row r="31" spans="2:11" ht="15.75" customHeight="1" x14ac:dyDescent="0.25">
      <c r="H31" s="1070" t="s">
        <v>25</v>
      </c>
      <c r="I31" s="1084"/>
      <c r="J31" s="1083" t="str">
        <f>SFP254v1.5_CONSOLIDATION!L391</f>
        <v>0 yrs</v>
      </c>
      <c r="K31" s="1083" t="str">
        <f>J31</f>
        <v>0 yrs</v>
      </c>
    </row>
    <row r="32" spans="2:11" ht="15.75" x14ac:dyDescent="0.25">
      <c r="H32" s="1070" t="s">
        <v>26</v>
      </c>
      <c r="I32" s="1082" t="s">
        <v>467</v>
      </c>
      <c r="J32" s="1081">
        <f>SFP254v1.5_CONSOLIDATION!L392</f>
        <v>0</v>
      </c>
      <c r="K32" s="1081">
        <f>J32/$C$7/1000000</f>
        <v>0</v>
      </c>
    </row>
    <row r="33" spans="8:11" x14ac:dyDescent="0.2">
      <c r="I33" s="1067" t="s">
        <v>466</v>
      </c>
      <c r="J33" s="1067">
        <f>SFP254v1.5_CONSOLIDATION!L393</f>
        <v>0</v>
      </c>
    </row>
    <row r="34" spans="8:11" ht="18" x14ac:dyDescent="0.4">
      <c r="H34" s="1080" t="s">
        <v>28</v>
      </c>
      <c r="I34" s="1072"/>
      <c r="J34" s="1079">
        <f>SFP254v1.5_CONSOLIDATION!L394</f>
        <v>0</v>
      </c>
      <c r="K34" s="1074">
        <f>J34/$C$7/1000000</f>
        <v>0</v>
      </c>
    </row>
    <row r="35" spans="8:11" ht="15.75" x14ac:dyDescent="0.25">
      <c r="H35" s="1070" t="s">
        <v>29</v>
      </c>
      <c r="I35" s="1078"/>
      <c r="J35" s="92" t="str">
        <f>SFP254v1.5_CONSOLIDATION!L395</f>
        <v/>
      </c>
      <c r="K35" s="92" t="str">
        <f>J35</f>
        <v/>
      </c>
    </row>
    <row r="36" spans="8:11" ht="16.5" x14ac:dyDescent="0.3">
      <c r="H36" s="1073" t="s">
        <v>30</v>
      </c>
      <c r="I36" s="1072"/>
      <c r="J36" s="1075">
        <f>SFP254v1.5_CONSOLIDATION!L396</f>
        <v>0</v>
      </c>
      <c r="K36" s="1074">
        <f>J36/$C$7/1000000</f>
        <v>0</v>
      </c>
    </row>
    <row r="37" spans="8:11" ht="16.5" x14ac:dyDescent="0.3">
      <c r="H37" s="1073" t="s">
        <v>299</v>
      </c>
      <c r="I37" s="1072"/>
      <c r="J37" s="1075">
        <f>SFP254v1.5_CONSOLIDATION!L397</f>
        <v>0</v>
      </c>
      <c r="K37" s="1074">
        <f>J37/$C$7/1000000</f>
        <v>0</v>
      </c>
    </row>
    <row r="38" spans="8:11" ht="16.5" x14ac:dyDescent="0.3">
      <c r="H38" s="1077" t="s">
        <v>295</v>
      </c>
      <c r="I38" s="1072"/>
      <c r="J38" s="1076">
        <f>SFP254v1.5_CONSOLIDATION!L398</f>
        <v>0</v>
      </c>
      <c r="K38" s="1074">
        <f>J38/$C$7/1000000</f>
        <v>0</v>
      </c>
    </row>
    <row r="39" spans="8:11" ht="16.5" x14ac:dyDescent="0.3">
      <c r="H39" s="1077" t="s">
        <v>296</v>
      </c>
      <c r="I39" s="1072"/>
      <c r="J39" s="1076">
        <f>SFP254v1.5_CONSOLIDATION!L399</f>
        <v>0</v>
      </c>
      <c r="K39" s="1074">
        <f>J39/$C$7/1000000</f>
        <v>0</v>
      </c>
    </row>
    <row r="40" spans="8:11" ht="16.5" x14ac:dyDescent="0.3">
      <c r="H40" s="1077" t="s">
        <v>465</v>
      </c>
      <c r="I40" s="1072"/>
      <c r="J40" s="1076">
        <f>SFP254v1.5_CONSOLIDATION!L400</f>
        <v>0</v>
      </c>
      <c r="K40" s="1074">
        <f>J40/$C$7/1000000</f>
        <v>0</v>
      </c>
    </row>
    <row r="41" spans="8:11" ht="16.5" x14ac:dyDescent="0.3">
      <c r="H41" s="1077" t="s">
        <v>298</v>
      </c>
      <c r="I41" s="1072"/>
      <c r="J41" s="1076">
        <f>SFP254v1.5_CONSOLIDATION!L401</f>
        <v>0</v>
      </c>
      <c r="K41" s="1076">
        <v>0</v>
      </c>
    </row>
    <row r="42" spans="8:11" ht="16.5" x14ac:dyDescent="0.3">
      <c r="H42" s="1073" t="s">
        <v>31</v>
      </c>
      <c r="I42" s="1072"/>
      <c r="J42" s="1075">
        <f>SFP254v1.5_CONSOLIDATION!L402</f>
        <v>0</v>
      </c>
      <c r="K42" s="1074">
        <f>J42/$C$7/1000000</f>
        <v>0</v>
      </c>
    </row>
    <row r="43" spans="8:11" ht="16.5" x14ac:dyDescent="0.3">
      <c r="H43" s="1073" t="s">
        <v>32</v>
      </c>
      <c r="I43" s="1072"/>
      <c r="J43" s="1075">
        <f>SFP254v1.5_CONSOLIDATION!L403</f>
        <v>0</v>
      </c>
      <c r="K43" s="1074">
        <f>J43/$C$7/1000000</f>
        <v>0</v>
      </c>
    </row>
    <row r="44" spans="8:11" ht="16.5" x14ac:dyDescent="0.3">
      <c r="H44" s="1073" t="s">
        <v>33</v>
      </c>
      <c r="I44" s="1072"/>
      <c r="J44" s="1071">
        <f>SFP254v1.5_CONSOLIDATION!L404</f>
        <v>0</v>
      </c>
      <c r="K44" s="1071">
        <v>0</v>
      </c>
    </row>
    <row r="45" spans="8:11" ht="15.75" x14ac:dyDescent="0.25">
      <c r="H45" s="1070" t="s">
        <v>34</v>
      </c>
      <c r="I45" s="1069" t="s">
        <v>464</v>
      </c>
      <c r="J45" s="1068">
        <f>SFP254v1.5_CONSOLIDATION!L405</f>
        <v>0</v>
      </c>
      <c r="K45" s="1068">
        <v>0</v>
      </c>
    </row>
  </sheetData>
  <mergeCells count="3">
    <mergeCell ref="C10:E10"/>
    <mergeCell ref="C17:E17"/>
    <mergeCell ref="C19:E19"/>
  </mergeCells>
  <phoneticPr fontId="154" type="noConversion"/>
  <conditionalFormatting sqref="H25:H27">
    <cfRule type="cellIs" dxfId="3182" priority="54" operator="equal">
      <formula>0</formula>
    </cfRule>
    <cfRule type="cellIs" dxfId="3181" priority="55" operator="lessThan">
      <formula>0</formula>
    </cfRule>
  </conditionalFormatting>
  <conditionalFormatting sqref="H34">
    <cfRule type="cellIs" dxfId="3180" priority="7" operator="lessThan">
      <formula>0</formula>
    </cfRule>
    <cfRule type="cellIs" dxfId="3179" priority="12" operator="equal">
      <formula>0</formula>
    </cfRule>
  </conditionalFormatting>
  <conditionalFormatting sqref="H36:H45">
    <cfRule type="cellIs" dxfId="3178" priority="17" operator="equal">
      <formula>0</formula>
    </cfRule>
    <cfRule type="cellIs" dxfId="3177" priority="18" operator="lessThan">
      <formula>0</formula>
    </cfRule>
  </conditionalFormatting>
  <conditionalFormatting sqref="H19:K19">
    <cfRule type="cellIs" dxfId="3176" priority="46" operator="equal">
      <formula>0</formula>
    </cfRule>
    <cfRule type="cellIs" dxfId="3175" priority="47" operator="lessThan">
      <formula>0</formula>
    </cfRule>
  </conditionalFormatting>
  <conditionalFormatting sqref="H22:K22">
    <cfRule type="cellIs" dxfId="3174" priority="70" operator="equal">
      <formula>0</formula>
    </cfRule>
    <cfRule type="cellIs" dxfId="3173" priority="71" operator="lessThan">
      <formula>0</formula>
    </cfRule>
  </conditionalFormatting>
  <conditionalFormatting sqref="H23:K23 H26:K27">
    <cfRule type="cellIs" dxfId="3172" priority="64" operator="equal">
      <formula>0</formula>
    </cfRule>
    <cfRule type="cellIs" dxfId="3171" priority="65" operator="lessThan">
      <formula>0</formula>
    </cfRule>
  </conditionalFormatting>
  <conditionalFormatting sqref="H35:K35">
    <cfRule type="cellIs" dxfId="3170" priority="19" operator="equal">
      <formula>0</formula>
    </cfRule>
    <cfRule type="cellIs" dxfId="3169" priority="20" operator="lessThan">
      <formula>0</formula>
    </cfRule>
  </conditionalFormatting>
  <conditionalFormatting sqref="I26:I27">
    <cfRule type="cellIs" dxfId="3168" priority="56" operator="equal">
      <formula>0</formula>
    </cfRule>
    <cfRule type="cellIs" dxfId="3167" priority="57" operator="lessThan">
      <formula>0</formula>
    </cfRule>
  </conditionalFormatting>
  <conditionalFormatting sqref="I30">
    <cfRule type="cellIs" dxfId="3166" priority="52" operator="equal">
      <formula>0</formula>
    </cfRule>
    <cfRule type="cellIs" dxfId="3165" priority="53" operator="lessThan">
      <formula>0</formula>
    </cfRule>
  </conditionalFormatting>
  <conditionalFormatting sqref="I45">
    <cfRule type="containsText" dxfId="3164" priority="23" operator="containsText" text="Error, Not full amortized">
      <formula>NOT(ISERROR(SEARCH("Error, Not full amortized",I45)))</formula>
    </cfRule>
  </conditionalFormatting>
  <conditionalFormatting sqref="I26:J26 K26:K27 J27">
    <cfRule type="cellIs" dxfId="3163" priority="58" operator="equal">
      <formula>0</formula>
    </cfRule>
    <cfRule type="cellIs" dxfId="3162" priority="59" operator="lessThan">
      <formula>0</formula>
    </cfRule>
  </conditionalFormatting>
  <conditionalFormatting sqref="J12:J16 J30:J32">
    <cfRule type="containsText" dxfId="3161" priority="88" operator="containsText" text="OK">
      <formula>NOT(ISERROR(SEARCH("OK",J12)))</formula>
    </cfRule>
    <cfRule type="containsText" dxfId="3160" priority="89" operator="containsText" text="ERROR">
      <formula>NOT(ISERROR(SEARCH("ERROR",J12)))</formula>
    </cfRule>
  </conditionalFormatting>
  <conditionalFormatting sqref="J17:J18">
    <cfRule type="containsText" dxfId="3159" priority="44" operator="containsText" text="OK">
      <formula>NOT(ISERROR(SEARCH("OK",J17)))</formula>
    </cfRule>
    <cfRule type="containsText" dxfId="3158" priority="45" operator="containsText" text="ERROR">
      <formula>NOT(ISERROR(SEARCH("ERROR",J17)))</formula>
    </cfRule>
  </conditionalFormatting>
  <conditionalFormatting sqref="J19:J21">
    <cfRule type="containsText" dxfId="3157" priority="74" operator="containsText" text="OK">
      <formula>NOT(ISERROR(SEARCH("OK",J19)))</formula>
    </cfRule>
    <cfRule type="containsText" dxfId="3156" priority="75" operator="containsText" text="ERROR">
      <formula>NOT(ISERROR(SEARCH("ERROR",J19)))</formula>
    </cfRule>
    <cfRule type="containsText" dxfId="3155" priority="76" operator="containsText" text="OK">
      <formula>NOT(ISERROR(SEARCH("OK",J19)))</formula>
    </cfRule>
    <cfRule type="containsText" dxfId="3154" priority="77" operator="containsText" text="ERROR">
      <formula>NOT(ISERROR(SEARCH("ERROR",J19)))</formula>
    </cfRule>
    <cfRule type="containsText" dxfId="3153" priority="78" operator="containsText" text="OK">
      <formula>NOT(ISERROR(SEARCH("OK",J19)))</formula>
    </cfRule>
    <cfRule type="containsText" dxfId="3152" priority="79" operator="containsText" text="ERROR">
      <formula>NOT(ISERROR(SEARCH("ERROR",J19)))</formula>
    </cfRule>
  </conditionalFormatting>
  <conditionalFormatting sqref="J19:J22">
    <cfRule type="containsText" dxfId="3151" priority="72" operator="containsText" text="OK">
      <formula>NOT(ISERROR(SEARCH("OK",J19)))</formula>
    </cfRule>
    <cfRule type="containsText" dxfId="3150" priority="73" operator="containsText" text="ERROR">
      <formula>NOT(ISERROR(SEARCH("ERROR",J19)))</formula>
    </cfRule>
  </conditionalFormatting>
  <conditionalFormatting sqref="J22:J23 J26:J27">
    <cfRule type="containsText" dxfId="3149" priority="66" operator="containsText" text="OK">
      <formula>NOT(ISERROR(SEARCH("OK",J22)))</formula>
    </cfRule>
    <cfRule type="containsText" dxfId="3148" priority="67" operator="containsText" text="ERROR">
      <formula>NOT(ISERROR(SEARCH("ERROR",J22)))</formula>
    </cfRule>
  </conditionalFormatting>
  <conditionalFormatting sqref="J34">
    <cfRule type="cellIs" dxfId="3147" priority="10" operator="equal">
      <formula>0</formula>
    </cfRule>
    <cfRule type="cellIs" dxfId="3146" priority="11" operator="lessThan">
      <formula>0</formula>
    </cfRule>
  </conditionalFormatting>
  <conditionalFormatting sqref="J34:J35">
    <cfRule type="containsText" dxfId="3145" priority="8" operator="containsText" text="OK">
      <formula>NOT(ISERROR(SEARCH("OK",J34)))</formula>
    </cfRule>
    <cfRule type="containsText" dxfId="3144" priority="9" operator="containsText" text="ERROR">
      <formula>NOT(ISERROR(SEARCH("ERROR",J34)))</formula>
    </cfRule>
  </conditionalFormatting>
  <conditionalFormatting sqref="J35:J36">
    <cfRule type="containsText" dxfId="3143" priority="21" operator="containsText" text="OK">
      <formula>NOT(ISERROR(SEARCH("OK",J35)))</formula>
    </cfRule>
    <cfRule type="containsText" dxfId="3142" priority="22" operator="containsText" text="ERROR">
      <formula>NOT(ISERROR(SEARCH("ERROR",J35)))</formula>
    </cfRule>
  </conditionalFormatting>
  <conditionalFormatting sqref="J36">
    <cfRule type="cellIs" dxfId="3141" priority="24" operator="equal">
      <formula>0</formula>
    </cfRule>
    <cfRule type="cellIs" dxfId="3140" priority="25" operator="lessThan">
      <formula>0</formula>
    </cfRule>
  </conditionalFormatting>
  <conditionalFormatting sqref="J37:J44">
    <cfRule type="cellIs" dxfId="3139" priority="15" operator="equal">
      <formula>0</formula>
    </cfRule>
    <cfRule type="cellIs" dxfId="3138" priority="16" operator="lessThan">
      <formula>0</formula>
    </cfRule>
  </conditionalFormatting>
  <conditionalFormatting sqref="J37:J45">
    <cfRule type="containsText" dxfId="3137" priority="13" operator="containsText" text="OK">
      <formula>NOT(ISERROR(SEARCH("OK",J37)))</formula>
    </cfRule>
    <cfRule type="containsText" dxfId="3136" priority="14" operator="containsText" text="ERROR">
      <formula>NOT(ISERROR(SEARCH("ERROR",J37)))</formula>
    </cfRule>
  </conditionalFormatting>
  <conditionalFormatting sqref="J11:K11">
    <cfRule type="cellIs" dxfId="3135" priority="80" operator="equal">
      <formula>0</formula>
    </cfRule>
    <cfRule type="cellIs" dxfId="3134" priority="81" operator="lessThan">
      <formula>0</formula>
    </cfRule>
  </conditionalFormatting>
  <conditionalFormatting sqref="J15:K15">
    <cfRule type="containsText" dxfId="3133" priority="86" operator="containsText" text="OK">
      <formula>NOT(ISERROR(SEARCH("OK",J15)))</formula>
    </cfRule>
    <cfRule type="containsText" dxfId="3132" priority="87" operator="containsText" text="ERROR">
      <formula>NOT(ISERROR(SEARCH("ERROR",J15)))</formula>
    </cfRule>
  </conditionalFormatting>
  <conditionalFormatting sqref="J17:K17">
    <cfRule type="containsText" dxfId="3131" priority="42" operator="containsText" text="OK">
      <formula>NOT(ISERROR(SEARCH("OK",J17)))</formula>
    </cfRule>
    <cfRule type="containsText" dxfId="3130" priority="43" operator="containsText" text="ERROR">
      <formula>NOT(ISERROR(SEARCH("ERROR",J17)))</formula>
    </cfRule>
  </conditionalFormatting>
  <conditionalFormatting sqref="J18:K18">
    <cfRule type="containsText" dxfId="3129" priority="50" operator="containsText" text="OK">
      <formula>NOT(ISERROR(SEARCH("OK",J18)))</formula>
    </cfRule>
    <cfRule type="containsText" dxfId="3128" priority="51" operator="containsText" text="ERROR">
      <formula>NOT(ISERROR(SEARCH("ERROR",J18)))</formula>
    </cfRule>
  </conditionalFormatting>
  <conditionalFormatting sqref="J22:K22">
    <cfRule type="containsText" dxfId="3127" priority="68" operator="containsText" text="OK">
      <formula>NOT(ISERROR(SEARCH("OK",J22)))</formula>
    </cfRule>
    <cfRule type="containsText" dxfId="3126" priority="69" operator="containsText" text="ERROR">
      <formula>NOT(ISERROR(SEARCH("ERROR",J22)))</formula>
    </cfRule>
  </conditionalFormatting>
  <conditionalFormatting sqref="J23:K23 J26:K27">
    <cfRule type="containsText" dxfId="3125" priority="61" operator="containsText" text="ERROR">
      <formula>NOT(ISERROR(SEARCH("ERROR",J23)))</formula>
    </cfRule>
    <cfRule type="containsText" dxfId="3124" priority="62" operator="containsText" text="OK">
      <formula>NOT(ISERROR(SEARCH("OK",J23)))</formula>
    </cfRule>
    <cfRule type="containsText" dxfId="3123" priority="63" operator="containsText" text="ERROR">
      <formula>NOT(ISERROR(SEARCH("ERROR",J23)))</formula>
    </cfRule>
  </conditionalFormatting>
  <conditionalFormatting sqref="J26:K27 J23:K23">
    <cfRule type="containsText" dxfId="3122" priority="60" operator="containsText" text="OK">
      <formula>NOT(ISERROR(SEARCH("OK",J23)))</formula>
    </cfRule>
  </conditionalFormatting>
  <conditionalFormatting sqref="J26:K27 K22:K23">
    <cfRule type="containsText" dxfId="3121" priority="30" operator="containsText" text="OK">
      <formula>NOT(ISERROR(SEARCH("OK",J22)))</formula>
    </cfRule>
  </conditionalFormatting>
  <conditionalFormatting sqref="J31:K31">
    <cfRule type="cellIs" dxfId="3120" priority="82" operator="equal">
      <formula>0</formula>
    </cfRule>
    <cfRule type="cellIs" dxfId="3119" priority="83" operator="lessThan">
      <formula>0</formula>
    </cfRule>
    <cfRule type="containsText" dxfId="3118" priority="84" operator="containsText" text="OK">
      <formula>NOT(ISERROR(SEARCH("OK",J31)))</formula>
    </cfRule>
    <cfRule type="containsText" dxfId="3117" priority="85" operator="containsText" text="ERROR">
      <formula>NOT(ISERROR(SEARCH("ERROR",J31)))</formula>
    </cfRule>
  </conditionalFormatting>
  <conditionalFormatting sqref="K12:K18">
    <cfRule type="containsText" dxfId="3116" priority="26" operator="containsText" text="OK">
      <formula>NOT(ISERROR(SEARCH("OK",K12)))</formula>
    </cfRule>
    <cfRule type="containsText" dxfId="3115" priority="27" operator="containsText" text="ERROR">
      <formula>NOT(ISERROR(SEARCH("ERROR",K12)))</formula>
    </cfRule>
  </conditionalFormatting>
  <conditionalFormatting sqref="K19:K21">
    <cfRule type="containsText" dxfId="3114" priority="34" operator="containsText" text="OK">
      <formula>NOT(ISERROR(SEARCH("OK",K19)))</formula>
    </cfRule>
    <cfRule type="containsText" dxfId="3113" priority="35" operator="containsText" text="ERROR">
      <formula>NOT(ISERROR(SEARCH("ERROR",K19)))</formula>
    </cfRule>
    <cfRule type="containsText" dxfId="3112" priority="36" operator="containsText" text="OK">
      <formula>NOT(ISERROR(SEARCH("OK",K19)))</formula>
    </cfRule>
    <cfRule type="containsText" dxfId="3111" priority="37" operator="containsText" text="ERROR">
      <formula>NOT(ISERROR(SEARCH("ERROR",K19)))</formula>
    </cfRule>
    <cfRule type="containsText" dxfId="3110" priority="38" operator="containsText" text="OK">
      <formula>NOT(ISERROR(SEARCH("OK",K19)))</formula>
    </cfRule>
    <cfRule type="containsText" dxfId="3109" priority="39" operator="containsText" text="ERROR">
      <formula>NOT(ISERROR(SEARCH("ERROR",K19)))</formula>
    </cfRule>
  </conditionalFormatting>
  <conditionalFormatting sqref="K19:K22">
    <cfRule type="containsText" dxfId="3108" priority="32" operator="containsText" text="OK">
      <formula>NOT(ISERROR(SEARCH("OK",K19)))</formula>
    </cfRule>
    <cfRule type="containsText" dxfId="3107" priority="33" operator="containsText" text="ERROR">
      <formula>NOT(ISERROR(SEARCH("ERROR",K19)))</formula>
    </cfRule>
  </conditionalFormatting>
  <conditionalFormatting sqref="K20:K21 H20 J20 H21:J21">
    <cfRule type="cellIs" dxfId="3106" priority="48" operator="equal">
      <formula>0</formula>
    </cfRule>
    <cfRule type="cellIs" dxfId="3105" priority="49" operator="lessThan">
      <formula>0</formula>
    </cfRule>
  </conditionalFormatting>
  <conditionalFormatting sqref="K22:K23 J26:K27">
    <cfRule type="containsText" dxfId="3104" priority="31" operator="containsText" text="ERROR">
      <formula>NOT(ISERROR(SEARCH("ERROR",J22)))</formula>
    </cfRule>
  </conditionalFormatting>
  <conditionalFormatting sqref="K26:K27">
    <cfRule type="containsText" dxfId="3103" priority="28" operator="containsText" text="OK">
      <formula>NOT(ISERROR(SEARCH("OK",K26)))</formula>
    </cfRule>
    <cfRule type="containsText" dxfId="3102" priority="29" operator="containsText" text="ERROR">
      <formula>NOT(ISERROR(SEARCH("ERROR",K26)))</formula>
    </cfRule>
  </conditionalFormatting>
  <conditionalFormatting sqref="K30:K32">
    <cfRule type="containsText" dxfId="3101" priority="40" operator="containsText" text="OK">
      <formula>NOT(ISERROR(SEARCH("OK",K30)))</formula>
    </cfRule>
    <cfRule type="containsText" dxfId="3100" priority="41" operator="containsText" text="ERROR">
      <formula>NOT(ISERROR(SEARCH("ERROR",K30)))</formula>
    </cfRule>
  </conditionalFormatting>
  <conditionalFormatting sqref="K34:K45">
    <cfRule type="containsText" dxfId="3099" priority="1" operator="containsText" text="OK">
      <formula>NOT(ISERROR(SEARCH("OK",K34)))</formula>
    </cfRule>
    <cfRule type="containsText" dxfId="3098" priority="2" operator="containsText" text="ERROR">
      <formula>NOT(ISERROR(SEARCH("ERROR",K34)))</formula>
    </cfRule>
  </conditionalFormatting>
  <conditionalFormatting sqref="K35">
    <cfRule type="containsText" dxfId="3097" priority="5" operator="containsText" text="OK">
      <formula>NOT(ISERROR(SEARCH("OK",K35)))</formula>
    </cfRule>
    <cfRule type="containsText" dxfId="3096" priority="6" operator="containsText" text="ERROR">
      <formula>NOT(ISERROR(SEARCH("ERROR",K35)))</formula>
    </cfRule>
  </conditionalFormatting>
  <conditionalFormatting sqref="K41 K44">
    <cfRule type="cellIs" dxfId="3095" priority="3" operator="equal">
      <formula>0</formula>
    </cfRule>
    <cfRule type="cellIs" dxfId="3094" priority="4" operator="lessThan">
      <formula>0</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85B6A-1883-4AE8-AFEF-9DC5945408D9}">
  <dimension ref="B7:K45"/>
  <sheetViews>
    <sheetView topLeftCell="A9" workbookViewId="0">
      <selection activeCell="P17" sqref="P17"/>
    </sheetView>
  </sheetViews>
  <sheetFormatPr defaultRowHeight="14.25" x14ac:dyDescent="0.2"/>
  <cols>
    <col min="1" max="1" width="9.140625" style="1067"/>
    <col min="2" max="2" width="26.7109375" style="1067" customWidth="1"/>
    <col min="3" max="5" width="15.85546875" style="1067" customWidth="1"/>
    <col min="6" max="7" width="9.140625" style="1067"/>
    <col min="8" max="8" width="62.28515625" style="1067" bestFit="1" customWidth="1"/>
    <col min="9" max="9" width="18.7109375" style="1067" bestFit="1" customWidth="1"/>
    <col min="10" max="11" width="14.140625" style="1067" bestFit="1" customWidth="1"/>
    <col min="12" max="16384" width="9.140625" style="1067"/>
  </cols>
  <sheetData>
    <row r="7" spans="2:11" x14ac:dyDescent="0.2">
      <c r="B7" s="1135" t="s">
        <v>491</v>
      </c>
      <c r="C7" s="1134">
        <f>'PPT2'!C7</f>
        <v>1</v>
      </c>
    </row>
    <row r="9" spans="2:11" ht="15" thickBot="1" x14ac:dyDescent="0.25"/>
    <row r="10" spans="2:11" ht="18.75" thickBot="1" x14ac:dyDescent="0.25">
      <c r="B10" s="1109" t="s">
        <v>490</v>
      </c>
      <c r="C10" s="1192">
        <f>K12</f>
        <v>60.484319999999997</v>
      </c>
      <c r="D10" s="1193"/>
      <c r="E10" s="1194"/>
      <c r="H10" s="1133" t="s">
        <v>7</v>
      </c>
      <c r="I10" s="1133"/>
      <c r="J10" s="1132" t="s">
        <v>8</v>
      </c>
      <c r="K10" s="1132" t="s">
        <v>489</v>
      </c>
    </row>
    <row r="11" spans="2:11" ht="18.75" thickBot="1" x14ac:dyDescent="0.45">
      <c r="B11" s="1105" t="s">
        <v>488</v>
      </c>
      <c r="C11" s="1128">
        <f>K14</f>
        <v>11.996066619739812</v>
      </c>
      <c r="D11" s="1105" t="s">
        <v>487</v>
      </c>
      <c r="E11" s="1127">
        <f>J15</f>
        <v>0.19833349568515959</v>
      </c>
      <c r="H11" s="1080" t="s">
        <v>10</v>
      </c>
      <c r="I11" s="1070"/>
      <c r="J11" s="1131" t="s">
        <v>11</v>
      </c>
      <c r="K11" s="1131"/>
    </row>
    <row r="12" spans="2:11" ht="17.25" thickBot="1" x14ac:dyDescent="0.35">
      <c r="B12" s="1109" t="s">
        <v>486</v>
      </c>
      <c r="C12" s="1124">
        <f>K16</f>
        <v>11.426445019739813</v>
      </c>
      <c r="D12" s="1109" t="s">
        <v>485</v>
      </c>
      <c r="E12" s="1123">
        <f>J17</f>
        <v>0.1865057281395564</v>
      </c>
      <c r="H12" s="1113" t="s">
        <v>12</v>
      </c>
      <c r="I12" s="1102" t="s">
        <v>484</v>
      </c>
      <c r="J12" s="1130">
        <v>60484320</v>
      </c>
      <c r="K12" s="1129">
        <f>J12/$C$7/1000000</f>
        <v>60.484319999999997</v>
      </c>
    </row>
    <row r="13" spans="2:11" ht="16.5" thickBot="1" x14ac:dyDescent="0.3">
      <c r="B13" s="1105" t="s">
        <v>483</v>
      </c>
      <c r="C13" s="1128">
        <f>K32</f>
        <v>2.9551966217155168</v>
      </c>
      <c r="D13" s="1105" t="s">
        <v>481</v>
      </c>
      <c r="E13" s="1127">
        <f>C13/$C$10</f>
        <v>4.8858888083978078E-2</v>
      </c>
      <c r="H13" s="1126" t="s">
        <v>13</v>
      </c>
      <c r="I13" s="1125"/>
      <c r="J13" s="49">
        <v>0.45354563801671288</v>
      </c>
      <c r="K13" s="49">
        <f>J13</f>
        <v>0.45354563801671288</v>
      </c>
    </row>
    <row r="14" spans="2:11" ht="16.5" thickBot="1" x14ac:dyDescent="0.3">
      <c r="B14" s="1109" t="s">
        <v>482</v>
      </c>
      <c r="C14" s="1124">
        <f>C15+C16</f>
        <v>2.9188000000000001</v>
      </c>
      <c r="D14" s="1109" t="s">
        <v>481</v>
      </c>
      <c r="E14" s="1123">
        <f>C14/$C$10</f>
        <v>4.825713507236256E-2</v>
      </c>
      <c r="H14" s="1117" t="s">
        <v>14</v>
      </c>
      <c r="I14" s="1078"/>
      <c r="J14" s="1122">
        <v>11996066.619739812</v>
      </c>
      <c r="K14" s="1121">
        <f>J14/$C$7/1000000</f>
        <v>11.996066619739812</v>
      </c>
    </row>
    <row r="15" spans="2:11" ht="16.5" thickBot="1" x14ac:dyDescent="0.3">
      <c r="B15" s="1120" t="s">
        <v>480</v>
      </c>
      <c r="C15" s="1119">
        <f>K43</f>
        <v>1.0488</v>
      </c>
      <c r="D15" s="1105" t="s">
        <v>478</v>
      </c>
      <c r="E15" s="1118">
        <f>C15/$C$14</f>
        <v>0.35932575030834585</v>
      </c>
      <c r="H15" s="1117" t="s">
        <v>15</v>
      </c>
      <c r="I15" s="1078"/>
      <c r="J15" s="58">
        <v>0.19833349568515959</v>
      </c>
      <c r="K15" s="58">
        <f>J15</f>
        <v>0.19833349568515959</v>
      </c>
    </row>
    <row r="16" spans="2:11" ht="16.5" thickBot="1" x14ac:dyDescent="0.3">
      <c r="B16" s="1116" t="s">
        <v>479</v>
      </c>
      <c r="C16" s="1115">
        <f>K20</f>
        <v>1.87</v>
      </c>
      <c r="D16" s="1109" t="s">
        <v>478</v>
      </c>
      <c r="E16" s="1114">
        <f>C16/$C$14</f>
        <v>0.6406742496916541</v>
      </c>
      <c r="H16" s="1113" t="s">
        <v>16</v>
      </c>
      <c r="I16" s="1078"/>
      <c r="J16" s="1112">
        <v>11426445.019739812</v>
      </c>
      <c r="K16" s="1111">
        <f>J16/$C$7/1000000</f>
        <v>11.426445019739813</v>
      </c>
    </row>
    <row r="17" spans="2:11" ht="36" customHeight="1" thickBot="1" x14ac:dyDescent="0.3">
      <c r="B17" s="1105" t="s">
        <v>477</v>
      </c>
      <c r="C17" s="1195" t="str">
        <f>"Contribution ROI is "&amp;J31</f>
        <v>Contribution ROI is 3.2 yrs</v>
      </c>
      <c r="D17" s="1196"/>
      <c r="E17" s="1197"/>
      <c r="H17" s="1110" t="s">
        <v>423</v>
      </c>
      <c r="I17" s="1078"/>
      <c r="J17" s="62">
        <v>0.1865057281395564</v>
      </c>
      <c r="K17" s="62">
        <f>J17</f>
        <v>0.1865057281395564</v>
      </c>
    </row>
    <row r="18" spans="2:11" ht="32.25" thickBot="1" x14ac:dyDescent="0.3">
      <c r="B18" s="1109" t="s">
        <v>493</v>
      </c>
      <c r="C18" s="1109" t="s">
        <v>475</v>
      </c>
      <c r="D18" s="1109" t="s">
        <v>474</v>
      </c>
      <c r="E18" s="1108">
        <v>-0.1</v>
      </c>
      <c r="H18" s="1107" t="s">
        <v>424</v>
      </c>
      <c r="I18" s="1106"/>
      <c r="J18" s="539">
        <v>0.15598304929950949</v>
      </c>
      <c r="K18" s="539">
        <f>J18</f>
        <v>0.15598304929950949</v>
      </c>
    </row>
    <row r="19" spans="2:11" ht="54" customHeight="1" thickBot="1" x14ac:dyDescent="0.3">
      <c r="B19" s="1105" t="s">
        <v>473</v>
      </c>
      <c r="C19" s="1195" t="s">
        <v>472</v>
      </c>
      <c r="D19" s="1196"/>
      <c r="E19" s="1197"/>
      <c r="H19" s="1070" t="s">
        <v>17</v>
      </c>
      <c r="I19" s="1078"/>
      <c r="J19" s="1104">
        <v>6980333.7648048615</v>
      </c>
      <c r="K19" s="1103">
        <f>J19/$C$7/1000000</f>
        <v>6.9803337648048611</v>
      </c>
    </row>
    <row r="20" spans="2:11" ht="16.5" x14ac:dyDescent="0.3">
      <c r="H20" s="1086" t="s">
        <v>374</v>
      </c>
      <c r="I20" s="1102" t="s">
        <v>471</v>
      </c>
      <c r="J20" s="1101">
        <v>1870000</v>
      </c>
      <c r="K20" s="1100">
        <f>J20/$C$7/1000000</f>
        <v>1.87</v>
      </c>
    </row>
    <row r="21" spans="2:11" ht="16.5" thickBot="1" x14ac:dyDescent="0.3">
      <c r="H21" s="1086" t="s">
        <v>375</v>
      </c>
      <c r="I21" s="1078"/>
      <c r="J21" s="1099">
        <v>534400</v>
      </c>
      <c r="K21" s="1099">
        <f>J21/$C$7</f>
        <v>534400</v>
      </c>
    </row>
    <row r="22" spans="2:11" ht="15.75" x14ac:dyDescent="0.25">
      <c r="H22" s="1096" t="s">
        <v>470</v>
      </c>
      <c r="I22" s="1078"/>
      <c r="J22" s="1098">
        <v>-2272569.5171976695</v>
      </c>
      <c r="K22" s="1097">
        <f>J22/$C$7/1000000</f>
        <v>-2.2725695171976694</v>
      </c>
    </row>
    <row r="23" spans="2:11" ht="16.5" thickBot="1" x14ac:dyDescent="0.3">
      <c r="H23" s="1096" t="s">
        <v>276</v>
      </c>
      <c r="I23" s="1078"/>
      <c r="J23" s="1095">
        <v>-3952726.2309287782</v>
      </c>
      <c r="K23" s="1094">
        <f>J23/$C$7/1000000</f>
        <v>-3.9527262309287781</v>
      </c>
    </row>
    <row r="24" spans="2:11" ht="36" customHeight="1" x14ac:dyDescent="0.2">
      <c r="H24" s="1065"/>
      <c r="I24" s="1065"/>
      <c r="J24" s="1065"/>
      <c r="K24" s="1065">
        <f t="shared" ref="K24:K29" si="0">J24/$C$7</f>
        <v>0</v>
      </c>
    </row>
    <row r="25" spans="2:11" ht="18" x14ac:dyDescent="0.4">
      <c r="H25" s="1092" t="s">
        <v>18</v>
      </c>
      <c r="I25" s="1065"/>
      <c r="J25" s="1065"/>
      <c r="K25" s="1065">
        <f t="shared" si="0"/>
        <v>0</v>
      </c>
    </row>
    <row r="26" spans="2:11" ht="16.5" x14ac:dyDescent="0.3">
      <c r="H26" s="1091" t="s">
        <v>19</v>
      </c>
      <c r="I26" s="1088" t="s">
        <v>20</v>
      </c>
      <c r="J26" s="1090">
        <v>0</v>
      </c>
      <c r="K26" s="1090">
        <f t="shared" si="0"/>
        <v>0</v>
      </c>
    </row>
    <row r="27" spans="2:11" ht="16.5" x14ac:dyDescent="0.3">
      <c r="H27" s="1089" t="s">
        <v>21</v>
      </c>
      <c r="I27" s="1088" t="s">
        <v>469</v>
      </c>
      <c r="J27" s="1087">
        <v>0</v>
      </c>
      <c r="K27" s="1087">
        <f t="shared" si="0"/>
        <v>0</v>
      </c>
    </row>
    <row r="28" spans="2:11" ht="16.5" thickBot="1" x14ac:dyDescent="0.3">
      <c r="H28" s="1086"/>
      <c r="I28" s="1086"/>
      <c r="J28" s="1086"/>
      <c r="K28" s="1086">
        <f t="shared" si="0"/>
        <v>0</v>
      </c>
    </row>
    <row r="29" spans="2:11" ht="18" x14ac:dyDescent="0.4">
      <c r="H29" s="1080" t="s">
        <v>23</v>
      </c>
      <c r="I29" s="1070"/>
      <c r="J29" s="1085"/>
      <c r="K29" s="1085">
        <f t="shared" si="0"/>
        <v>0</v>
      </c>
    </row>
    <row r="30" spans="2:11" ht="31.5" customHeight="1" x14ac:dyDescent="0.25">
      <c r="H30" s="1070" t="s">
        <v>24</v>
      </c>
      <c r="I30" s="1084" t="s">
        <v>468</v>
      </c>
      <c r="J30" s="1081">
        <v>6980333.7648048615</v>
      </c>
      <c r="K30" s="1074">
        <f>J30/$C$7/1000000</f>
        <v>6.9803337648048611</v>
      </c>
    </row>
    <row r="31" spans="2:11" ht="15.75" customHeight="1" x14ac:dyDescent="0.25">
      <c r="H31" s="1070" t="s">
        <v>25</v>
      </c>
      <c r="I31" s="1084"/>
      <c r="J31" s="1083" t="s">
        <v>492</v>
      </c>
      <c r="K31" s="1083" t="str">
        <f>J31</f>
        <v>3.2 yrs</v>
      </c>
    </row>
    <row r="32" spans="2:11" ht="55.5" customHeight="1" x14ac:dyDescent="0.25">
      <c r="H32" s="1070" t="s">
        <v>26</v>
      </c>
      <c r="I32" s="1082" t="s">
        <v>467</v>
      </c>
      <c r="J32" s="1081">
        <v>2955196.6217155168</v>
      </c>
      <c r="K32" s="1081">
        <f>J32/$C$7/1000000</f>
        <v>2.9551966217155168</v>
      </c>
    </row>
    <row r="33" spans="8:11" x14ac:dyDescent="0.2">
      <c r="I33" s="1067" t="s">
        <v>466</v>
      </c>
    </row>
    <row r="34" spans="8:11" ht="18" x14ac:dyDescent="0.4">
      <c r="H34" s="1080" t="s">
        <v>28</v>
      </c>
      <c r="I34" s="1072"/>
      <c r="J34" s="1079">
        <v>1545316.933727158</v>
      </c>
      <c r="K34" s="1074">
        <f>J34/$C$7/1000000</f>
        <v>1.5453169337271579</v>
      </c>
    </row>
    <row r="35" spans="8:11" ht="15.75" x14ac:dyDescent="0.25">
      <c r="H35" s="1070" t="s">
        <v>29</v>
      </c>
      <c r="I35" s="1078"/>
      <c r="J35" s="92">
        <v>0.1706343330364456</v>
      </c>
      <c r="K35" s="92">
        <f>J35</f>
        <v>0.1706343330364456</v>
      </c>
    </row>
    <row r="36" spans="8:11" ht="16.5" x14ac:dyDescent="0.3">
      <c r="H36" s="1073" t="s">
        <v>30</v>
      </c>
      <c r="I36" s="1072"/>
      <c r="J36" s="1075">
        <v>3038025.2054794524</v>
      </c>
      <c r="K36" s="1074">
        <f>J36/$C$7/1000000</f>
        <v>3.0380252054794523</v>
      </c>
    </row>
    <row r="37" spans="8:11" ht="16.5" x14ac:dyDescent="0.3">
      <c r="H37" s="1073" t="s">
        <v>299</v>
      </c>
      <c r="I37" s="1072"/>
      <c r="J37" s="1075">
        <v>537123.68228769593</v>
      </c>
      <c r="K37" s="1074">
        <f>J37/$C$7/1000000</f>
        <v>0.53712368228769591</v>
      </c>
    </row>
    <row r="38" spans="8:11" ht="16.5" x14ac:dyDescent="0.3">
      <c r="H38" s="1077" t="s">
        <v>295</v>
      </c>
      <c r="I38" s="1072"/>
      <c r="J38" s="1076">
        <v>211290.81595356236</v>
      </c>
      <c r="K38" s="1074">
        <f>J38/$C$7/1000000</f>
        <v>0.21129081595356236</v>
      </c>
    </row>
    <row r="39" spans="8:11" ht="16.5" x14ac:dyDescent="0.3">
      <c r="H39" s="1077" t="s">
        <v>296</v>
      </c>
      <c r="I39" s="1072"/>
      <c r="J39" s="1076">
        <v>259776.62882692789</v>
      </c>
      <c r="K39" s="1074">
        <f>J39/$C$7/1000000</f>
        <v>0.25977662882692787</v>
      </c>
    </row>
    <row r="40" spans="8:11" ht="16.5" x14ac:dyDescent="0.3">
      <c r="H40" s="1077" t="s">
        <v>465</v>
      </c>
      <c r="I40" s="1072"/>
      <c r="J40" s="1076">
        <v>66056.237507205733</v>
      </c>
      <c r="K40" s="1074">
        <f>J40/$C$7/1000000</f>
        <v>6.605623750720574E-2</v>
      </c>
    </row>
    <row r="41" spans="8:11" ht="16.5" x14ac:dyDescent="0.3">
      <c r="H41" s="1077" t="s">
        <v>298</v>
      </c>
      <c r="I41" s="1072"/>
      <c r="J41" s="1076">
        <v>0</v>
      </c>
      <c r="K41" s="1076">
        <v>0</v>
      </c>
    </row>
    <row r="42" spans="8:11" ht="16.5" x14ac:dyDescent="0.3">
      <c r="H42" s="1073" t="s">
        <v>31</v>
      </c>
      <c r="I42" s="1072"/>
      <c r="J42" s="1075">
        <v>-2029831.9540399902</v>
      </c>
      <c r="K42" s="1074">
        <f>J42/$C$7/1000000</f>
        <v>-2.0298319540399903</v>
      </c>
    </row>
    <row r="43" spans="8:11" ht="16.5" x14ac:dyDescent="0.3">
      <c r="H43" s="1073" t="s">
        <v>32</v>
      </c>
      <c r="I43" s="1072"/>
      <c r="J43" s="1075">
        <v>1048800</v>
      </c>
      <c r="K43" s="1074">
        <f>J43/$C$7/1000000</f>
        <v>1.0488</v>
      </c>
    </row>
    <row r="44" spans="8:11" ht="16.5" x14ac:dyDescent="0.3">
      <c r="H44" s="1073" t="s">
        <v>33</v>
      </c>
      <c r="I44" s="1072"/>
      <c r="J44" s="1071">
        <v>0</v>
      </c>
      <c r="K44" s="1071">
        <v>0</v>
      </c>
    </row>
    <row r="45" spans="8:11" ht="15.75" x14ac:dyDescent="0.25">
      <c r="H45" s="1070" t="s">
        <v>34</v>
      </c>
      <c r="I45" s="1069" t="s">
        <v>464</v>
      </c>
      <c r="J45" s="1068">
        <v>267200</v>
      </c>
      <c r="K45" s="1068">
        <v>0</v>
      </c>
    </row>
  </sheetData>
  <mergeCells count="3">
    <mergeCell ref="C10:E10"/>
    <mergeCell ref="C17:E17"/>
    <mergeCell ref="C19:E19"/>
  </mergeCells>
  <phoneticPr fontId="154" type="noConversion"/>
  <conditionalFormatting sqref="H25:H27">
    <cfRule type="cellIs" dxfId="3093" priority="54" operator="equal">
      <formula>0</formula>
    </cfRule>
    <cfRule type="cellIs" dxfId="3092" priority="55" operator="lessThan">
      <formula>0</formula>
    </cfRule>
  </conditionalFormatting>
  <conditionalFormatting sqref="H34">
    <cfRule type="cellIs" dxfId="3091" priority="7" operator="lessThan">
      <formula>0</formula>
    </cfRule>
    <cfRule type="cellIs" dxfId="3090" priority="12" operator="equal">
      <formula>0</formula>
    </cfRule>
  </conditionalFormatting>
  <conditionalFormatting sqref="H36:H45">
    <cfRule type="cellIs" dxfId="3089" priority="17" operator="equal">
      <formula>0</formula>
    </cfRule>
    <cfRule type="cellIs" dxfId="3088" priority="18" operator="lessThan">
      <formula>0</formula>
    </cfRule>
  </conditionalFormatting>
  <conditionalFormatting sqref="H19:K19">
    <cfRule type="cellIs" dxfId="3087" priority="46" operator="equal">
      <formula>0</formula>
    </cfRule>
    <cfRule type="cellIs" dxfId="3086" priority="47" operator="lessThan">
      <formula>0</formula>
    </cfRule>
  </conditionalFormatting>
  <conditionalFormatting sqref="H22:K22">
    <cfRule type="cellIs" dxfId="3085" priority="70" operator="equal">
      <formula>0</formula>
    </cfRule>
    <cfRule type="cellIs" dxfId="3084" priority="71" operator="lessThan">
      <formula>0</formula>
    </cfRule>
  </conditionalFormatting>
  <conditionalFormatting sqref="H23:K23 H26:K27">
    <cfRule type="cellIs" dxfId="3083" priority="64" operator="equal">
      <formula>0</formula>
    </cfRule>
    <cfRule type="cellIs" dxfId="3082" priority="65" operator="lessThan">
      <formula>0</formula>
    </cfRule>
  </conditionalFormatting>
  <conditionalFormatting sqref="H35:K35">
    <cfRule type="cellIs" dxfId="3081" priority="19" operator="equal">
      <formula>0</formula>
    </cfRule>
    <cfRule type="cellIs" dxfId="3080" priority="20" operator="lessThan">
      <formula>0</formula>
    </cfRule>
  </conditionalFormatting>
  <conditionalFormatting sqref="I26:I27">
    <cfRule type="cellIs" dxfId="3079" priority="56" operator="equal">
      <formula>0</formula>
    </cfRule>
    <cfRule type="cellIs" dxfId="3078" priority="57" operator="lessThan">
      <formula>0</formula>
    </cfRule>
  </conditionalFormatting>
  <conditionalFormatting sqref="I30">
    <cfRule type="cellIs" dxfId="3077" priority="52" operator="equal">
      <formula>0</formula>
    </cfRule>
    <cfRule type="cellIs" dxfId="3076" priority="53" operator="lessThan">
      <formula>0</formula>
    </cfRule>
  </conditionalFormatting>
  <conditionalFormatting sqref="I45">
    <cfRule type="containsText" dxfId="3075" priority="23" operator="containsText" text="Error, Not full amortized">
      <formula>NOT(ISERROR(SEARCH("Error, Not full amortized",I45)))</formula>
    </cfRule>
  </conditionalFormatting>
  <conditionalFormatting sqref="I26:J26 K26:K27 J27">
    <cfRule type="cellIs" dxfId="3074" priority="58" operator="equal">
      <formula>0</formula>
    </cfRule>
    <cfRule type="cellIs" dxfId="3073" priority="59" operator="lessThan">
      <formula>0</formula>
    </cfRule>
  </conditionalFormatting>
  <conditionalFormatting sqref="J12:J16 J30:J32">
    <cfRule type="containsText" dxfId="3072" priority="88" operator="containsText" text="OK">
      <formula>NOT(ISERROR(SEARCH("OK",J12)))</formula>
    </cfRule>
    <cfRule type="containsText" dxfId="3071" priority="89" operator="containsText" text="ERROR">
      <formula>NOT(ISERROR(SEARCH("ERROR",J12)))</formula>
    </cfRule>
  </conditionalFormatting>
  <conditionalFormatting sqref="J17:J18">
    <cfRule type="containsText" dxfId="3070" priority="44" operator="containsText" text="OK">
      <formula>NOT(ISERROR(SEARCH("OK",J17)))</formula>
    </cfRule>
    <cfRule type="containsText" dxfId="3069" priority="45" operator="containsText" text="ERROR">
      <formula>NOT(ISERROR(SEARCH("ERROR",J17)))</formula>
    </cfRule>
  </conditionalFormatting>
  <conditionalFormatting sqref="J19:J21">
    <cfRule type="containsText" dxfId="3068" priority="74" operator="containsText" text="OK">
      <formula>NOT(ISERROR(SEARCH("OK",J19)))</formula>
    </cfRule>
    <cfRule type="containsText" dxfId="3067" priority="75" operator="containsText" text="ERROR">
      <formula>NOT(ISERROR(SEARCH("ERROR",J19)))</formula>
    </cfRule>
    <cfRule type="containsText" dxfId="3066" priority="76" operator="containsText" text="OK">
      <formula>NOT(ISERROR(SEARCH("OK",J19)))</formula>
    </cfRule>
    <cfRule type="containsText" dxfId="3065" priority="77" operator="containsText" text="ERROR">
      <formula>NOT(ISERROR(SEARCH("ERROR",J19)))</formula>
    </cfRule>
    <cfRule type="containsText" dxfId="3064" priority="78" operator="containsText" text="OK">
      <formula>NOT(ISERROR(SEARCH("OK",J19)))</formula>
    </cfRule>
    <cfRule type="containsText" dxfId="3063" priority="79" operator="containsText" text="ERROR">
      <formula>NOT(ISERROR(SEARCH("ERROR",J19)))</formula>
    </cfRule>
  </conditionalFormatting>
  <conditionalFormatting sqref="J19:J22">
    <cfRule type="containsText" dxfId="3062" priority="72" operator="containsText" text="OK">
      <formula>NOT(ISERROR(SEARCH("OK",J19)))</formula>
    </cfRule>
    <cfRule type="containsText" dxfId="3061" priority="73" operator="containsText" text="ERROR">
      <formula>NOT(ISERROR(SEARCH("ERROR",J19)))</formula>
    </cfRule>
  </conditionalFormatting>
  <conditionalFormatting sqref="J22:J23 J26:J27">
    <cfRule type="containsText" dxfId="3060" priority="66" operator="containsText" text="OK">
      <formula>NOT(ISERROR(SEARCH("OK",J22)))</formula>
    </cfRule>
    <cfRule type="containsText" dxfId="3059" priority="67" operator="containsText" text="ERROR">
      <formula>NOT(ISERROR(SEARCH("ERROR",J22)))</formula>
    </cfRule>
  </conditionalFormatting>
  <conditionalFormatting sqref="J34">
    <cfRule type="cellIs" dxfId="3058" priority="10" operator="equal">
      <formula>0</formula>
    </cfRule>
    <cfRule type="cellIs" dxfId="3057" priority="11" operator="lessThan">
      <formula>0</formula>
    </cfRule>
  </conditionalFormatting>
  <conditionalFormatting sqref="J34:J35">
    <cfRule type="containsText" dxfId="3056" priority="8" operator="containsText" text="OK">
      <formula>NOT(ISERROR(SEARCH("OK",J34)))</formula>
    </cfRule>
    <cfRule type="containsText" dxfId="3055" priority="9" operator="containsText" text="ERROR">
      <formula>NOT(ISERROR(SEARCH("ERROR",J34)))</formula>
    </cfRule>
  </conditionalFormatting>
  <conditionalFormatting sqref="J35:J36">
    <cfRule type="containsText" dxfId="3054" priority="21" operator="containsText" text="OK">
      <formula>NOT(ISERROR(SEARCH("OK",J35)))</formula>
    </cfRule>
    <cfRule type="containsText" dxfId="3053" priority="22" operator="containsText" text="ERROR">
      <formula>NOT(ISERROR(SEARCH("ERROR",J35)))</formula>
    </cfRule>
  </conditionalFormatting>
  <conditionalFormatting sqref="J36">
    <cfRule type="cellIs" dxfId="3052" priority="24" operator="equal">
      <formula>0</formula>
    </cfRule>
    <cfRule type="cellIs" dxfId="3051" priority="25" operator="lessThan">
      <formula>0</formula>
    </cfRule>
  </conditionalFormatting>
  <conditionalFormatting sqref="J37:J44">
    <cfRule type="cellIs" dxfId="3050" priority="15" operator="equal">
      <formula>0</formula>
    </cfRule>
    <cfRule type="cellIs" dxfId="3049" priority="16" operator="lessThan">
      <formula>0</formula>
    </cfRule>
  </conditionalFormatting>
  <conditionalFormatting sqref="J37:J45">
    <cfRule type="containsText" dxfId="3048" priority="13" operator="containsText" text="OK">
      <formula>NOT(ISERROR(SEARCH("OK",J37)))</formula>
    </cfRule>
    <cfRule type="containsText" dxfId="3047" priority="14" operator="containsText" text="ERROR">
      <formula>NOT(ISERROR(SEARCH("ERROR",J37)))</formula>
    </cfRule>
  </conditionalFormatting>
  <conditionalFormatting sqref="J11:K11">
    <cfRule type="cellIs" dxfId="3046" priority="80" operator="equal">
      <formula>0</formula>
    </cfRule>
    <cfRule type="cellIs" dxfId="3045" priority="81" operator="lessThan">
      <formula>0</formula>
    </cfRule>
  </conditionalFormatting>
  <conditionalFormatting sqref="J15:K15">
    <cfRule type="containsText" dxfId="3044" priority="86" operator="containsText" text="OK">
      <formula>NOT(ISERROR(SEARCH("OK",J15)))</formula>
    </cfRule>
    <cfRule type="containsText" dxfId="3043" priority="87" operator="containsText" text="ERROR">
      <formula>NOT(ISERROR(SEARCH("ERROR",J15)))</formula>
    </cfRule>
  </conditionalFormatting>
  <conditionalFormatting sqref="J17:K17">
    <cfRule type="containsText" dxfId="3042" priority="42" operator="containsText" text="OK">
      <formula>NOT(ISERROR(SEARCH("OK",J17)))</formula>
    </cfRule>
    <cfRule type="containsText" dxfId="3041" priority="43" operator="containsText" text="ERROR">
      <formula>NOT(ISERROR(SEARCH("ERROR",J17)))</formula>
    </cfRule>
  </conditionalFormatting>
  <conditionalFormatting sqref="J18:K18">
    <cfRule type="containsText" dxfId="3040" priority="50" operator="containsText" text="OK">
      <formula>NOT(ISERROR(SEARCH("OK",J18)))</formula>
    </cfRule>
    <cfRule type="containsText" dxfId="3039" priority="51" operator="containsText" text="ERROR">
      <formula>NOT(ISERROR(SEARCH("ERROR",J18)))</formula>
    </cfRule>
  </conditionalFormatting>
  <conditionalFormatting sqref="J22:K22">
    <cfRule type="containsText" dxfId="3038" priority="68" operator="containsText" text="OK">
      <formula>NOT(ISERROR(SEARCH("OK",J22)))</formula>
    </cfRule>
    <cfRule type="containsText" dxfId="3037" priority="69" operator="containsText" text="ERROR">
      <formula>NOT(ISERROR(SEARCH("ERROR",J22)))</formula>
    </cfRule>
  </conditionalFormatting>
  <conditionalFormatting sqref="J23:K23 J26:K27">
    <cfRule type="containsText" dxfId="3036" priority="61" operator="containsText" text="ERROR">
      <formula>NOT(ISERROR(SEARCH("ERROR",J23)))</formula>
    </cfRule>
    <cfRule type="containsText" dxfId="3035" priority="62" operator="containsText" text="OK">
      <formula>NOT(ISERROR(SEARCH("OK",J23)))</formula>
    </cfRule>
    <cfRule type="containsText" dxfId="3034" priority="63" operator="containsText" text="ERROR">
      <formula>NOT(ISERROR(SEARCH("ERROR",J23)))</formula>
    </cfRule>
  </conditionalFormatting>
  <conditionalFormatting sqref="J26:K27 J23:K23">
    <cfRule type="containsText" dxfId="3033" priority="60" operator="containsText" text="OK">
      <formula>NOT(ISERROR(SEARCH("OK",J23)))</formula>
    </cfRule>
  </conditionalFormatting>
  <conditionalFormatting sqref="J26:K27 K22:K23">
    <cfRule type="containsText" dxfId="3032" priority="30" operator="containsText" text="OK">
      <formula>NOT(ISERROR(SEARCH("OK",J22)))</formula>
    </cfRule>
  </conditionalFormatting>
  <conditionalFormatting sqref="J31:K31">
    <cfRule type="cellIs" dxfId="3031" priority="82" operator="equal">
      <formula>0</formula>
    </cfRule>
    <cfRule type="cellIs" dxfId="3030" priority="83" operator="lessThan">
      <formula>0</formula>
    </cfRule>
    <cfRule type="containsText" dxfId="3029" priority="84" operator="containsText" text="OK">
      <formula>NOT(ISERROR(SEARCH("OK",J31)))</formula>
    </cfRule>
    <cfRule type="containsText" dxfId="3028" priority="85" operator="containsText" text="ERROR">
      <formula>NOT(ISERROR(SEARCH("ERROR",J31)))</formula>
    </cfRule>
  </conditionalFormatting>
  <conditionalFormatting sqref="K12:K18">
    <cfRule type="containsText" dxfId="3027" priority="26" operator="containsText" text="OK">
      <formula>NOT(ISERROR(SEARCH("OK",K12)))</formula>
    </cfRule>
    <cfRule type="containsText" dxfId="3026" priority="27" operator="containsText" text="ERROR">
      <formula>NOT(ISERROR(SEARCH("ERROR",K12)))</formula>
    </cfRule>
  </conditionalFormatting>
  <conditionalFormatting sqref="K19:K21">
    <cfRule type="containsText" dxfId="3025" priority="34" operator="containsText" text="OK">
      <formula>NOT(ISERROR(SEARCH("OK",K19)))</formula>
    </cfRule>
    <cfRule type="containsText" dxfId="3024" priority="35" operator="containsText" text="ERROR">
      <formula>NOT(ISERROR(SEARCH("ERROR",K19)))</formula>
    </cfRule>
    <cfRule type="containsText" dxfId="3023" priority="36" operator="containsText" text="OK">
      <formula>NOT(ISERROR(SEARCH("OK",K19)))</formula>
    </cfRule>
    <cfRule type="containsText" dxfId="3022" priority="37" operator="containsText" text="ERROR">
      <formula>NOT(ISERROR(SEARCH("ERROR",K19)))</formula>
    </cfRule>
    <cfRule type="containsText" dxfId="3021" priority="38" operator="containsText" text="OK">
      <formula>NOT(ISERROR(SEARCH("OK",K19)))</formula>
    </cfRule>
    <cfRule type="containsText" dxfId="3020" priority="39" operator="containsText" text="ERROR">
      <formula>NOT(ISERROR(SEARCH("ERROR",K19)))</formula>
    </cfRule>
  </conditionalFormatting>
  <conditionalFormatting sqref="K19:K22">
    <cfRule type="containsText" dxfId="3019" priority="32" operator="containsText" text="OK">
      <formula>NOT(ISERROR(SEARCH("OK",K19)))</formula>
    </cfRule>
    <cfRule type="containsText" dxfId="3018" priority="33" operator="containsText" text="ERROR">
      <formula>NOT(ISERROR(SEARCH("ERROR",K19)))</formula>
    </cfRule>
  </conditionalFormatting>
  <conditionalFormatting sqref="K20:K21 H20 J20 H21:J21">
    <cfRule type="cellIs" dxfId="3017" priority="48" operator="equal">
      <formula>0</formula>
    </cfRule>
    <cfRule type="cellIs" dxfId="3016" priority="49" operator="lessThan">
      <formula>0</formula>
    </cfRule>
  </conditionalFormatting>
  <conditionalFormatting sqref="K22:K23 J26:K27">
    <cfRule type="containsText" dxfId="3015" priority="31" operator="containsText" text="ERROR">
      <formula>NOT(ISERROR(SEARCH("ERROR",J22)))</formula>
    </cfRule>
  </conditionalFormatting>
  <conditionalFormatting sqref="K26:K27">
    <cfRule type="containsText" dxfId="3014" priority="28" operator="containsText" text="OK">
      <formula>NOT(ISERROR(SEARCH("OK",K26)))</formula>
    </cfRule>
    <cfRule type="containsText" dxfId="3013" priority="29" operator="containsText" text="ERROR">
      <formula>NOT(ISERROR(SEARCH("ERROR",K26)))</formula>
    </cfRule>
  </conditionalFormatting>
  <conditionalFormatting sqref="K30:K32">
    <cfRule type="containsText" dxfId="3012" priority="40" operator="containsText" text="OK">
      <formula>NOT(ISERROR(SEARCH("OK",K30)))</formula>
    </cfRule>
    <cfRule type="containsText" dxfId="3011" priority="41" operator="containsText" text="ERROR">
      <formula>NOT(ISERROR(SEARCH("ERROR",K30)))</formula>
    </cfRule>
  </conditionalFormatting>
  <conditionalFormatting sqref="K34:K45">
    <cfRule type="containsText" dxfId="3010" priority="1" operator="containsText" text="OK">
      <formula>NOT(ISERROR(SEARCH("OK",K34)))</formula>
    </cfRule>
    <cfRule type="containsText" dxfId="3009" priority="2" operator="containsText" text="ERROR">
      <formula>NOT(ISERROR(SEARCH("ERROR",K34)))</formula>
    </cfRule>
  </conditionalFormatting>
  <conditionalFormatting sqref="K35">
    <cfRule type="containsText" dxfId="3008" priority="5" operator="containsText" text="OK">
      <formula>NOT(ISERROR(SEARCH("OK",K35)))</formula>
    </cfRule>
    <cfRule type="containsText" dxfId="3007" priority="6" operator="containsText" text="ERROR">
      <formula>NOT(ISERROR(SEARCH("ERROR",K35)))</formula>
    </cfRule>
  </conditionalFormatting>
  <conditionalFormatting sqref="K41 K44">
    <cfRule type="cellIs" dxfId="3006" priority="3" operator="equal">
      <formula>0</formula>
    </cfRule>
    <cfRule type="cellIs" dxfId="3005" priority="4" operator="lessThan">
      <formula>0</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6C3B9-4E46-4572-8F84-6C2C73A69EE0}">
  <dimension ref="C5:F15"/>
  <sheetViews>
    <sheetView workbookViewId="0">
      <selection activeCell="P17" sqref="P17"/>
    </sheetView>
  </sheetViews>
  <sheetFormatPr defaultRowHeight="14.25" x14ac:dyDescent="0.2"/>
  <cols>
    <col min="1" max="2" width="9.140625" style="1067"/>
    <col min="3" max="3" width="29" style="1067" customWidth="1"/>
    <col min="4" max="6" width="18.140625" style="1067" customWidth="1"/>
    <col min="7" max="16384" width="9.140625" style="1067"/>
  </cols>
  <sheetData>
    <row r="5" spans="3:6" x14ac:dyDescent="0.2">
      <c r="C5" s="1067" t="s">
        <v>494</v>
      </c>
    </row>
    <row r="6" spans="3:6" ht="15.75" x14ac:dyDescent="0.2">
      <c r="C6" s="1138" t="s">
        <v>490</v>
      </c>
      <c r="D6" s="1199">
        <f>'PPT2 CM'!C10</f>
        <v>60.484319999999997</v>
      </c>
      <c r="E6" s="1199"/>
      <c r="F6" s="1199"/>
    </row>
    <row r="7" spans="3:6" ht="31.5" x14ac:dyDescent="0.2">
      <c r="C7" s="1136" t="s">
        <v>488</v>
      </c>
      <c r="D7" s="1148" t="str" cm="1">
        <f t="array" ref="D7:D9">TEXT('PPT2'!C11:C13,"$0.00")&amp;"M / "&amp;TEXT('PPT2 CM'!C11:C13,"$0.00")&amp;"M"</f>
        <v>$0.00M / $12.00M</v>
      </c>
      <c r="E7" s="1136" t="s">
        <v>487</v>
      </c>
      <c r="F7" s="1147" t="str" cm="1">
        <f t="array" ref="F7:F9">TEXT('PPT2'!E11:E13,"0.0%")&amp;" / "&amp;TEXT('PPT2 CM'!E11:E13,"0.0%")</f>
        <v>0.0% / 19.8%</v>
      </c>
    </row>
    <row r="8" spans="3:6" ht="31.5" x14ac:dyDescent="0.2">
      <c r="C8" s="1138" t="s">
        <v>486</v>
      </c>
      <c r="D8" s="1150" t="str">
        <v>$0.00M / $11.43M</v>
      </c>
      <c r="E8" s="1138" t="s">
        <v>485</v>
      </c>
      <c r="F8" s="1149" t="str">
        <v>0.0% / 18.7%</v>
      </c>
    </row>
    <row r="9" spans="3:6" ht="15.75" x14ac:dyDescent="0.2">
      <c r="C9" s="1136" t="s">
        <v>483</v>
      </c>
      <c r="D9" s="1148" t="str">
        <v>$0.00M / $2.96M</v>
      </c>
      <c r="E9" s="1136" t="s">
        <v>481</v>
      </c>
      <c r="F9" s="1147" t="e">
        <v>#DIV/0!</v>
      </c>
    </row>
    <row r="10" spans="3:6" ht="15.75" x14ac:dyDescent="0.2">
      <c r="C10" s="1138" t="s">
        <v>482</v>
      </c>
      <c r="D10" s="1146" cm="1">
        <f t="array" ref="D10:D12">'PPT2 CM'!C14:C16</f>
        <v>2.9188000000000001</v>
      </c>
      <c r="E10" s="1138" t="s">
        <v>481</v>
      </c>
      <c r="F10" s="1145" cm="1">
        <f t="array" ref="F10:F12">'PPT2 CM'!E14:E16</f>
        <v>4.825713507236256E-2</v>
      </c>
    </row>
    <row r="11" spans="3:6" ht="15.75" x14ac:dyDescent="0.2">
      <c r="C11" s="1144" t="s">
        <v>480</v>
      </c>
      <c r="D11" s="1143">
        <v>1.0488</v>
      </c>
      <c r="E11" s="1136" t="s">
        <v>478</v>
      </c>
      <c r="F11" s="1142">
        <v>0.35932575030834585</v>
      </c>
    </row>
    <row r="12" spans="3:6" ht="15.75" x14ac:dyDescent="0.2">
      <c r="C12" s="1141" t="s">
        <v>479</v>
      </c>
      <c r="D12" s="1140">
        <v>1.87</v>
      </c>
      <c r="E12" s="1138" t="s">
        <v>478</v>
      </c>
      <c r="F12" s="1139">
        <v>0.6406742496916541</v>
      </c>
    </row>
    <row r="13" spans="3:6" ht="82.5" customHeight="1" x14ac:dyDescent="0.2">
      <c r="C13" s="1136" t="s">
        <v>477</v>
      </c>
      <c r="D13" s="1198" t="str">
        <f>"Normal ROI is "&amp;'PPT2'!J31&amp;CHAR(10)&amp;"CM ROI is "&amp;'PPT2 CM'!J31</f>
        <v>Normal ROI is 0 yrs
CM ROI is 3.2 yrs</v>
      </c>
      <c r="E13" s="1198"/>
      <c r="F13" s="1198"/>
    </row>
    <row r="14" spans="3:6" ht="15.75" x14ac:dyDescent="0.2">
      <c r="C14" s="1138" t="s">
        <v>493</v>
      </c>
      <c r="D14" s="1138" t="s">
        <v>475</v>
      </c>
      <c r="E14" s="1138" t="s">
        <v>474</v>
      </c>
      <c r="F14" s="1137">
        <v>-0.1</v>
      </c>
    </row>
    <row r="15" spans="3:6" ht="15.75" x14ac:dyDescent="0.2">
      <c r="C15" s="1136" t="s">
        <v>473</v>
      </c>
      <c r="D15" s="1198" t="str">
        <f>'PPT2 CM'!C19</f>
        <v>NA</v>
      </c>
      <c r="E15" s="1198"/>
      <c r="F15" s="1198"/>
    </row>
  </sheetData>
  <mergeCells count="3">
    <mergeCell ref="D15:F15"/>
    <mergeCell ref="D6:F6"/>
    <mergeCell ref="D13:F13"/>
  </mergeCells>
  <phoneticPr fontId="15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9318B-95B6-43BA-9772-7B06DCC696EC}">
  <sheetPr>
    <tabColor rgb="FF92D050"/>
  </sheetPr>
  <dimension ref="C4:P13"/>
  <sheetViews>
    <sheetView topLeftCell="C1" workbookViewId="0">
      <selection activeCell="P17" sqref="P17"/>
    </sheetView>
  </sheetViews>
  <sheetFormatPr defaultRowHeight="14.25" x14ac:dyDescent="0.2"/>
  <cols>
    <col min="1" max="2" width="9.140625" style="1067"/>
    <col min="3" max="3" width="21" style="1067" customWidth="1"/>
    <col min="4" max="4" width="9.140625" style="1067"/>
    <col min="5" max="5" width="12.42578125" style="1067" customWidth="1"/>
    <col min="6" max="6" width="13.5703125" style="1067" bestFit="1" customWidth="1"/>
    <col min="7" max="7" width="14.85546875" style="1067" customWidth="1"/>
    <col min="8" max="8" width="11.42578125" style="1067" bestFit="1" customWidth="1"/>
    <col min="9" max="10" width="10.42578125" style="1067" bestFit="1" customWidth="1"/>
    <col min="11" max="11" width="16.140625" style="1067" bestFit="1" customWidth="1"/>
    <col min="12" max="14" width="10.42578125" style="1067" bestFit="1" customWidth="1"/>
    <col min="15" max="15" width="16.140625" style="1067" bestFit="1" customWidth="1"/>
    <col min="16" max="16" width="10.42578125" style="1067" bestFit="1" customWidth="1"/>
    <col min="17" max="16384" width="9.140625" style="1067"/>
  </cols>
  <sheetData>
    <row r="4" spans="3:16" x14ac:dyDescent="0.2">
      <c r="C4" s="1165"/>
      <c r="D4" s="1165"/>
      <c r="E4" s="1165"/>
      <c r="F4" s="1165"/>
      <c r="G4" s="1165"/>
      <c r="H4" s="1165"/>
      <c r="I4" s="1200" t="s">
        <v>511</v>
      </c>
      <c r="J4" s="1200"/>
      <c r="K4" s="1200"/>
      <c r="L4" s="1200"/>
      <c r="M4" s="1201" t="s">
        <v>510</v>
      </c>
      <c r="N4" s="1201"/>
      <c r="O4" s="1201"/>
      <c r="P4" s="1201"/>
    </row>
    <row r="5" spans="3:16" ht="25.5" x14ac:dyDescent="0.2">
      <c r="C5" s="1164" t="s">
        <v>509</v>
      </c>
      <c r="D5" s="1164" t="s">
        <v>508</v>
      </c>
      <c r="E5" s="1164" t="s">
        <v>507</v>
      </c>
      <c r="F5" s="1164" t="s">
        <v>506</v>
      </c>
      <c r="G5" s="1164" t="s">
        <v>505</v>
      </c>
      <c r="H5" s="1164" t="s">
        <v>504</v>
      </c>
      <c r="I5" s="1163" t="s">
        <v>503</v>
      </c>
      <c r="J5" s="1163" t="s">
        <v>502</v>
      </c>
      <c r="K5" s="1163" t="s">
        <v>477</v>
      </c>
      <c r="L5" s="1163" t="s">
        <v>483</v>
      </c>
      <c r="M5" s="1162" t="s">
        <v>503</v>
      </c>
      <c r="N5" s="1162" t="s">
        <v>502</v>
      </c>
      <c r="O5" s="1162" t="s">
        <v>477</v>
      </c>
      <c r="P5" s="1162" t="s">
        <v>483</v>
      </c>
    </row>
    <row r="6" spans="3:16" x14ac:dyDescent="0.2">
      <c r="C6" s="1161" t="s">
        <v>501</v>
      </c>
      <c r="D6" s="1161" t="s">
        <v>420</v>
      </c>
      <c r="E6" s="1160">
        <v>0.36862099999999992</v>
      </c>
      <c r="F6" s="1159">
        <v>3105263.3039999991</v>
      </c>
      <c r="G6" s="1159">
        <v>60378.079999999994</v>
      </c>
      <c r="H6" s="1159">
        <v>104903.99999999999</v>
      </c>
      <c r="I6" s="1158">
        <v>5.7239566872481037E-2</v>
      </c>
      <c r="J6" s="1158">
        <v>2.1815393005352946E-2</v>
      </c>
      <c r="K6" s="1157" t="s">
        <v>500</v>
      </c>
      <c r="L6" s="1157">
        <v>-92910.277106750145</v>
      </c>
      <c r="M6" s="1158">
        <v>0.14709237068521502</v>
      </c>
      <c r="N6" s="1158">
        <v>0.13938225179177896</v>
      </c>
      <c r="O6" s="1157" t="s">
        <v>499</v>
      </c>
      <c r="P6" s="1157">
        <v>82324.303120138356</v>
      </c>
    </row>
    <row r="7" spans="3:16" x14ac:dyDescent="0.2">
      <c r="C7" s="1161" t="s">
        <v>498</v>
      </c>
      <c r="D7" s="1161" t="s">
        <v>420</v>
      </c>
      <c r="E7" s="1160">
        <v>0.67750500000000002</v>
      </c>
      <c r="F7" s="1159">
        <v>5707302.120000001</v>
      </c>
      <c r="G7" s="1159">
        <v>53501.039999999994</v>
      </c>
      <c r="H7" s="1159">
        <v>167555</v>
      </c>
      <c r="I7" s="1158">
        <v>0.16597544758769261</v>
      </c>
      <c r="J7" s="1158">
        <v>0.12300114931980892</v>
      </c>
      <c r="K7" s="1157" t="s">
        <v>497</v>
      </c>
      <c r="L7" s="1157">
        <v>107901.60872810936</v>
      </c>
      <c r="M7" s="1158">
        <v>0.22621307552383912</v>
      </c>
      <c r="N7" s="1158">
        <v>0.21240073318334438</v>
      </c>
      <c r="O7" s="1157" t="s">
        <v>496</v>
      </c>
      <c r="P7" s="1157">
        <v>348247.84466381243</v>
      </c>
    </row>
    <row r="8" spans="3:16" x14ac:dyDescent="0.2">
      <c r="C8" s="1161"/>
      <c r="D8" s="1161"/>
      <c r="E8" s="1160"/>
      <c r="F8" s="1159"/>
      <c r="G8" s="1159"/>
      <c r="H8" s="1159"/>
      <c r="I8" s="1158"/>
      <c r="J8" s="1158"/>
      <c r="K8" s="1157"/>
      <c r="L8" s="1157"/>
      <c r="M8" s="1158"/>
      <c r="N8" s="1158"/>
      <c r="O8" s="1157"/>
      <c r="P8" s="1157"/>
    </row>
    <row r="9" spans="3:16" x14ac:dyDescent="0.2">
      <c r="C9" s="1161"/>
      <c r="D9" s="1161"/>
      <c r="E9" s="1160"/>
      <c r="F9" s="1159"/>
      <c r="G9" s="1159"/>
      <c r="H9" s="1159"/>
      <c r="I9" s="1158"/>
      <c r="J9" s="1158"/>
      <c r="K9" s="1157"/>
      <c r="L9" s="1157"/>
      <c r="M9" s="1158"/>
      <c r="N9" s="1158"/>
      <c r="O9" s="1157"/>
      <c r="P9" s="1157"/>
    </row>
    <row r="10" spans="3:16" x14ac:dyDescent="0.2">
      <c r="C10" s="1161"/>
      <c r="D10" s="1161"/>
      <c r="E10" s="1160"/>
      <c r="F10" s="1159"/>
      <c r="G10" s="1159"/>
      <c r="H10" s="1159"/>
      <c r="I10" s="1158"/>
      <c r="J10" s="1158"/>
      <c r="K10" s="1157"/>
      <c r="L10" s="1157"/>
      <c r="M10" s="1158"/>
      <c r="N10" s="1158"/>
      <c r="O10" s="1157"/>
      <c r="P10" s="1157"/>
    </row>
    <row r="11" spans="3:16" x14ac:dyDescent="0.2">
      <c r="C11" s="1161"/>
      <c r="D11" s="1161"/>
      <c r="E11" s="1160"/>
      <c r="F11" s="1159"/>
      <c r="G11" s="1159"/>
      <c r="H11" s="1159"/>
      <c r="I11" s="1158"/>
      <c r="J11" s="1158"/>
      <c r="K11" s="1157"/>
      <c r="L11" s="1157"/>
      <c r="M11" s="1158"/>
      <c r="N11" s="1158"/>
      <c r="O11" s="1157"/>
      <c r="P11" s="1157"/>
    </row>
    <row r="12" spans="3:16" x14ac:dyDescent="0.2">
      <c r="C12" s="1161"/>
      <c r="D12" s="1161"/>
      <c r="E12" s="1160"/>
      <c r="F12" s="1159"/>
      <c r="G12" s="1159"/>
      <c r="H12" s="1159"/>
      <c r="I12" s="1158"/>
      <c r="J12" s="1158"/>
      <c r="K12" s="1157"/>
      <c r="L12" s="1157"/>
      <c r="M12" s="1158"/>
      <c r="N12" s="1158"/>
      <c r="O12" s="1157"/>
      <c r="P12" s="1157"/>
    </row>
    <row r="13" spans="3:16" s="1151" customFormat="1" x14ac:dyDescent="0.2">
      <c r="C13" s="1202" t="s">
        <v>495</v>
      </c>
      <c r="D13" s="1203"/>
      <c r="E13" s="1204"/>
      <c r="F13" s="1156">
        <f>SUM(F6:F12)</f>
        <v>8812565.4240000006</v>
      </c>
      <c r="G13" s="1156">
        <f>SUM(G6:G12)</f>
        <v>113879.12</v>
      </c>
      <c r="H13" s="1156">
        <f>SUM(H6:H12)</f>
        <v>272459</v>
      </c>
      <c r="I13" s="1155">
        <f>'PPT2'!E11</f>
        <v>0</v>
      </c>
      <c r="J13" s="1155">
        <f>'PPT2'!E12</f>
        <v>0</v>
      </c>
      <c r="K13" s="1154" t="str">
        <f>'PPT2'!J31</f>
        <v>0 yrs</v>
      </c>
      <c r="L13" s="1154">
        <f>SUM(L6:L12)</f>
        <v>14991.331621359219</v>
      </c>
      <c r="M13" s="1153">
        <f>'PPT2 CM'!E11</f>
        <v>0.19833349568515959</v>
      </c>
      <c r="N13" s="1153">
        <f>'PPT2 CM'!E12</f>
        <v>0.1865057281395564</v>
      </c>
      <c r="O13" s="1152" t="str">
        <f>'PPT2 CM'!J31</f>
        <v>3.2 yrs</v>
      </c>
      <c r="P13" s="1152">
        <f>SUM(P6:P12)</f>
        <v>430572.14778395079</v>
      </c>
    </row>
  </sheetData>
  <mergeCells count="3">
    <mergeCell ref="I4:L4"/>
    <mergeCell ref="M4:P4"/>
    <mergeCell ref="C13:E13"/>
  </mergeCells>
  <phoneticPr fontId="15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A0995-E18C-43BB-BF14-9BF5FA8FB7EB}">
  <dimension ref="A2:AE60"/>
  <sheetViews>
    <sheetView tabSelected="1" workbookViewId="0">
      <selection activeCell="O66" sqref="O66"/>
    </sheetView>
  </sheetViews>
  <sheetFormatPr defaultRowHeight="14.25" x14ac:dyDescent="0.2"/>
  <cols>
    <col min="1" max="1" width="22.28515625" style="1067" customWidth="1"/>
    <col min="2" max="2" width="12.140625" style="1067" customWidth="1"/>
    <col min="3" max="3" width="11.28515625" style="1067" hidden="1" customWidth="1"/>
    <col min="4" max="4" width="11.7109375" style="1067" bestFit="1" customWidth="1"/>
    <col min="5" max="5" width="14.28515625" style="1067" bestFit="1" customWidth="1"/>
    <col min="6" max="6" width="11.85546875" style="1067" bestFit="1" customWidth="1"/>
    <col min="7" max="7" width="16.42578125" style="1067" bestFit="1" customWidth="1"/>
    <col min="8" max="8" width="14.28515625" style="1067" hidden="1" customWidth="1"/>
    <col min="9" max="9" width="14.140625" style="1067" bestFit="1" customWidth="1"/>
    <col min="10" max="10" width="15.140625" style="1067" hidden="1" customWidth="1"/>
    <col min="11" max="11" width="10.5703125" style="1067" bestFit="1" customWidth="1"/>
    <col min="12" max="12" width="11.28515625" style="1067" bestFit="1" customWidth="1"/>
    <col min="13" max="13" width="13.5703125" style="1067" bestFit="1" customWidth="1"/>
    <col min="14" max="14" width="9" style="1067" hidden="1" customWidth="1"/>
    <col min="15" max="17" width="9.140625" style="1067"/>
    <col min="18" max="18" width="19.5703125" style="1067" customWidth="1"/>
    <col min="19" max="19" width="9.140625" style="1067"/>
    <col min="20" max="20" width="0" style="1067" hidden="1" customWidth="1"/>
    <col min="21" max="21" width="9.140625" style="1067"/>
    <col min="22" max="22" width="14.5703125" style="1067" bestFit="1" customWidth="1"/>
    <col min="23" max="23" width="9.140625" style="1067"/>
    <col min="24" max="24" width="12.140625" style="1067" customWidth="1"/>
    <col min="25" max="25" width="17.28515625" style="1067" customWidth="1"/>
    <col min="26" max="26" width="9.140625" style="1067"/>
    <col min="27" max="27" width="0" style="1067" hidden="1" customWidth="1"/>
    <col min="28" max="28" width="9.140625" style="1067"/>
    <col min="29" max="29" width="15" style="1067" customWidth="1"/>
    <col min="30" max="30" width="14.42578125" style="1067" customWidth="1"/>
    <col min="31" max="31" width="1.5703125" style="1067" hidden="1" customWidth="1"/>
    <col min="32" max="16384" width="9.140625" style="1067"/>
  </cols>
  <sheetData>
    <row r="2" spans="1:31" ht="79.5" thickBot="1" x14ac:dyDescent="0.25">
      <c r="A2" s="1176" t="s">
        <v>509</v>
      </c>
      <c r="B2" s="1176" t="s">
        <v>508</v>
      </c>
      <c r="C2" s="1176" t="s">
        <v>520</v>
      </c>
      <c r="D2" s="1176" t="s">
        <v>519</v>
      </c>
      <c r="E2" s="1176" t="s">
        <v>506</v>
      </c>
      <c r="F2" s="1176" t="s">
        <v>518</v>
      </c>
      <c r="G2" s="1176" t="s">
        <v>517</v>
      </c>
      <c r="H2" s="1176" t="s">
        <v>516</v>
      </c>
      <c r="I2" s="1176" t="s">
        <v>515</v>
      </c>
      <c r="J2" s="1176" t="s">
        <v>514</v>
      </c>
      <c r="K2" s="1176" t="s">
        <v>502</v>
      </c>
      <c r="L2" s="1176" t="s">
        <v>477</v>
      </c>
      <c r="M2" s="1176" t="s">
        <v>483</v>
      </c>
      <c r="N2" s="1176" t="s">
        <v>513</v>
      </c>
      <c r="R2" s="1176" t="s">
        <v>509</v>
      </c>
      <c r="S2" s="1176" t="s">
        <v>508</v>
      </c>
      <c r="T2" s="1176" t="s">
        <v>520</v>
      </c>
      <c r="U2" s="1176" t="s">
        <v>519</v>
      </c>
      <c r="V2" s="1176" t="s">
        <v>506</v>
      </c>
      <c r="W2" s="1176" t="s">
        <v>518</v>
      </c>
      <c r="X2" s="1176" t="s">
        <v>517</v>
      </c>
      <c r="Y2" s="1176" t="s">
        <v>516</v>
      </c>
      <c r="Z2" s="1176" t="s">
        <v>515</v>
      </c>
      <c r="AA2" s="1176" t="s">
        <v>514</v>
      </c>
      <c r="AB2" s="1176" t="s">
        <v>502</v>
      </c>
      <c r="AC2" s="1176" t="s">
        <v>477</v>
      </c>
      <c r="AD2" s="1176" t="s">
        <v>483</v>
      </c>
      <c r="AE2" s="1176" t="s">
        <v>513</v>
      </c>
    </row>
    <row r="3" spans="1:31" ht="15" x14ac:dyDescent="0.2">
      <c r="A3" s="1175" t="s">
        <v>501</v>
      </c>
      <c r="B3" s="1175" t="s">
        <v>420</v>
      </c>
      <c r="C3" s="1174">
        <v>0.34145891054374938</v>
      </c>
      <c r="D3" s="1174">
        <v>0.36862099999999992</v>
      </c>
      <c r="E3" s="1173">
        <v>3105263.3039999991</v>
      </c>
      <c r="F3" s="1173">
        <v>60378.079999999994</v>
      </c>
      <c r="G3" s="1173">
        <v>104903.99999999999</v>
      </c>
      <c r="H3" s="1173">
        <v>177743.92654596936</v>
      </c>
      <c r="I3" s="1172">
        <v>5.7239566872481037E-2</v>
      </c>
      <c r="J3" s="1173">
        <v>69059.710905969361</v>
      </c>
      <c r="K3" s="1172">
        <v>2.1815393005352946E-2</v>
      </c>
      <c r="L3" s="1171" t="s">
        <v>500</v>
      </c>
      <c r="M3" s="1171">
        <v>-92910.277106750145</v>
      </c>
      <c r="N3" s="1171">
        <v>14177.452856868864</v>
      </c>
      <c r="R3" s="1175" t="s">
        <v>501</v>
      </c>
      <c r="S3" s="1175" t="s">
        <v>420</v>
      </c>
      <c r="T3" s="1174">
        <v>0.31118520587262516</v>
      </c>
      <c r="U3" s="1174">
        <v>0.36862099999999992</v>
      </c>
      <c r="V3" s="1173">
        <v>3105263.3039999991</v>
      </c>
      <c r="W3" s="1173">
        <v>60378.079999999994</v>
      </c>
      <c r="X3" s="1173">
        <v>104903.99999999999</v>
      </c>
      <c r="Y3" s="1173">
        <v>456760.54098716343</v>
      </c>
      <c r="Z3" s="1172">
        <v>0.14709237068521502</v>
      </c>
      <c r="AA3" s="1173">
        <v>441234.22446716361</v>
      </c>
      <c r="AB3" s="1172">
        <v>0.13938225179177896</v>
      </c>
      <c r="AC3" s="1171" t="s">
        <v>499</v>
      </c>
      <c r="AD3" s="1171">
        <v>82324.303120138356</v>
      </c>
      <c r="AE3" s="1171">
        <v>12871.384831393754</v>
      </c>
    </row>
    <row r="4" spans="1:31" ht="15" x14ac:dyDescent="0.2">
      <c r="A4" s="1170" t="s">
        <v>501</v>
      </c>
      <c r="B4" s="1169" t="s">
        <v>512</v>
      </c>
      <c r="C4" s="1168">
        <v>2.3435752267930638</v>
      </c>
      <c r="D4" s="1168">
        <v>2.5299999999999998</v>
      </c>
      <c r="E4" s="1166">
        <v>21312719.999999996</v>
      </c>
      <c r="F4" s="1166">
        <v>414400</v>
      </c>
      <c r="G4" s="1166">
        <v>720000</v>
      </c>
      <c r="H4" s="1166">
        <v>1219930.8616744638</v>
      </c>
      <c r="I4" s="1167">
        <v>5.7239566872481037E-2</v>
      </c>
      <c r="J4" s="1166">
        <v>473985.66167446377</v>
      </c>
      <c r="K4" s="1167">
        <v>2.1815393005352946E-2</v>
      </c>
      <c r="L4" s="1166" t="s">
        <v>500</v>
      </c>
      <c r="M4" s="1166">
        <v>-637682.06662148354</v>
      </c>
      <c r="N4" s="1166">
        <v>97305.784878990147</v>
      </c>
      <c r="R4" s="1170" t="s">
        <v>501</v>
      </c>
      <c r="S4" s="1169" t="s">
        <v>512</v>
      </c>
      <c r="T4" s="1168">
        <v>2.1357941377668168</v>
      </c>
      <c r="U4" s="1168">
        <v>2.5299999999999998</v>
      </c>
      <c r="V4" s="1166">
        <v>21312719.999999996</v>
      </c>
      <c r="W4" s="1166">
        <v>414400</v>
      </c>
      <c r="X4" s="1166">
        <v>720000</v>
      </c>
      <c r="Y4" s="1166">
        <v>3134938.5105501954</v>
      </c>
      <c r="Z4" s="1167">
        <v>0.14709237068521502</v>
      </c>
      <c r="AA4" s="1166">
        <v>3028374.9105501967</v>
      </c>
      <c r="AB4" s="1167">
        <v>0.13938225179177896</v>
      </c>
      <c r="AC4" s="1166" t="s">
        <v>499</v>
      </c>
      <c r="AD4" s="1166">
        <v>565026.10240314598</v>
      </c>
      <c r="AE4" s="1166">
        <v>88341.694107026458</v>
      </c>
    </row>
    <row r="5" spans="1:31" ht="15" x14ac:dyDescent="0.2">
      <c r="A5" s="1175" t="s">
        <v>498</v>
      </c>
      <c r="B5" s="1175" t="s">
        <v>420</v>
      </c>
      <c r="C5" s="1174">
        <v>0.55774111256966863</v>
      </c>
      <c r="D5" s="1174">
        <v>0.67750500000000002</v>
      </c>
      <c r="E5" s="1173">
        <v>5707302.120000001</v>
      </c>
      <c r="F5" s="1173">
        <v>53501.039999999994</v>
      </c>
      <c r="G5" s="1173">
        <v>167555</v>
      </c>
      <c r="H5" s="1173">
        <v>947272.02388518699</v>
      </c>
      <c r="I5" s="1172">
        <v>0.16597544758769261</v>
      </c>
      <c r="J5" s="1173">
        <v>747516.44968518708</v>
      </c>
      <c r="K5" s="1172">
        <v>0.12300114931980892</v>
      </c>
      <c r="L5" s="1171" t="s">
        <v>497</v>
      </c>
      <c r="M5" s="1171">
        <v>107901.60872810936</v>
      </c>
      <c r="N5" s="1171">
        <v>23039.44715047006</v>
      </c>
      <c r="R5" s="1175" t="s">
        <v>498</v>
      </c>
      <c r="S5" s="1175" t="s">
        <v>420</v>
      </c>
      <c r="T5" s="1174">
        <v>0.52036067023830956</v>
      </c>
      <c r="U5" s="1174">
        <v>0.67750500000000002</v>
      </c>
      <c r="V5" s="1173">
        <v>5707302.120000001</v>
      </c>
      <c r="W5" s="1173">
        <v>53501.039999999994</v>
      </c>
      <c r="X5" s="1173">
        <v>167555</v>
      </c>
      <c r="Y5" s="1173">
        <v>1291066.3655089273</v>
      </c>
      <c r="Z5" s="1172">
        <v>0.22621307552383912</v>
      </c>
      <c r="AA5" s="1173">
        <v>1262529.8549089273</v>
      </c>
      <c r="AB5" s="1172">
        <v>0.21240073318334438</v>
      </c>
      <c r="AC5" s="1171" t="s">
        <v>496</v>
      </c>
      <c r="AD5" s="1171">
        <v>348247.84466381243</v>
      </c>
      <c r="AE5" s="1171">
        <v>21427.743013148851</v>
      </c>
    </row>
    <row r="6" spans="1:31" ht="15" x14ac:dyDescent="0.2">
      <c r="A6" s="1170" t="s">
        <v>498</v>
      </c>
      <c r="B6" s="1169" t="s">
        <v>512</v>
      </c>
      <c r="C6" s="1168">
        <v>3.828010381397863</v>
      </c>
      <c r="D6" s="1168">
        <v>4.6500000000000004</v>
      </c>
      <c r="E6" s="1166">
        <v>39171600.000000007</v>
      </c>
      <c r="F6" s="1166">
        <v>367200</v>
      </c>
      <c r="G6" s="1166">
        <v>1150000</v>
      </c>
      <c r="H6" s="1166">
        <v>6501523.8427260611</v>
      </c>
      <c r="I6" s="1167">
        <v>0.16597544758769261</v>
      </c>
      <c r="J6" s="1166">
        <v>5130517.8427260611</v>
      </c>
      <c r="K6" s="1167">
        <v>0.12300114931980892</v>
      </c>
      <c r="L6" s="1166" t="s">
        <v>497</v>
      </c>
      <c r="M6" s="1166">
        <v>740573.84164797096</v>
      </c>
      <c r="N6" s="1166">
        <v>158129.35587144861</v>
      </c>
      <c r="R6" s="1170" t="s">
        <v>498</v>
      </c>
      <c r="S6" s="1169" t="s">
        <v>512</v>
      </c>
      <c r="T6" s="1168">
        <v>3.5714527813199015</v>
      </c>
      <c r="U6" s="1168">
        <v>4.6500000000000004</v>
      </c>
      <c r="V6" s="1166">
        <v>39171600.000000007</v>
      </c>
      <c r="W6" s="1166">
        <v>367200</v>
      </c>
      <c r="X6" s="1166">
        <v>1150000</v>
      </c>
      <c r="Y6" s="1166">
        <v>8861128.1091896184</v>
      </c>
      <c r="Z6" s="1167">
        <v>0.22621307552383912</v>
      </c>
      <c r="AA6" s="1166">
        <v>8665270.1091896184</v>
      </c>
      <c r="AB6" s="1167">
        <v>0.21240073318334438</v>
      </c>
      <c r="AC6" s="1166" t="s">
        <v>496</v>
      </c>
      <c r="AD6" s="1166">
        <v>2390170.519312371</v>
      </c>
      <c r="AE6" s="1166">
        <v>147067.55671344441</v>
      </c>
    </row>
    <row r="7" spans="1:31" ht="15" x14ac:dyDescent="0.2">
      <c r="A7" s="1175"/>
      <c r="B7" s="1175"/>
      <c r="C7" s="1174"/>
      <c r="D7" s="1174"/>
      <c r="E7" s="1173"/>
      <c r="F7" s="1173"/>
      <c r="G7" s="1173"/>
      <c r="H7" s="1173"/>
      <c r="I7" s="1172"/>
      <c r="J7" s="1173"/>
      <c r="K7" s="1172"/>
      <c r="L7" s="1171"/>
      <c r="M7" s="1171"/>
      <c r="N7" s="1171"/>
      <c r="R7" s="1175"/>
      <c r="S7" s="1175"/>
      <c r="T7" s="1174"/>
      <c r="U7" s="1174"/>
      <c r="V7" s="1173"/>
      <c r="W7" s="1173"/>
      <c r="X7" s="1173"/>
      <c r="Y7" s="1173"/>
      <c r="Z7" s="1172"/>
      <c r="AA7" s="1173"/>
      <c r="AB7" s="1172"/>
      <c r="AC7" s="1171"/>
      <c r="AD7" s="1171"/>
      <c r="AE7" s="1171"/>
    </row>
    <row r="8" spans="1:31" ht="15" x14ac:dyDescent="0.2">
      <c r="A8" s="1170"/>
      <c r="B8" s="1169"/>
      <c r="C8" s="1168"/>
      <c r="D8" s="1168"/>
      <c r="E8" s="1166"/>
      <c r="F8" s="1166"/>
      <c r="G8" s="1166"/>
      <c r="H8" s="1166"/>
      <c r="I8" s="1167"/>
      <c r="J8" s="1166"/>
      <c r="K8" s="1167"/>
      <c r="L8" s="1166"/>
      <c r="M8" s="1166"/>
      <c r="N8" s="1166"/>
      <c r="R8" s="1170"/>
      <c r="S8" s="1169"/>
      <c r="T8" s="1168"/>
      <c r="U8" s="1168"/>
      <c r="V8" s="1166"/>
      <c r="W8" s="1166"/>
      <c r="X8" s="1166"/>
      <c r="Y8" s="1166"/>
      <c r="Z8" s="1167"/>
      <c r="AA8" s="1166"/>
      <c r="AB8" s="1167"/>
      <c r="AC8" s="1166"/>
      <c r="AD8" s="1166"/>
      <c r="AE8" s="1166"/>
    </row>
    <row r="9" spans="1:31" ht="15" x14ac:dyDescent="0.2">
      <c r="A9" s="1175"/>
      <c r="B9" s="1175"/>
      <c r="C9" s="1174"/>
      <c r="D9" s="1174"/>
      <c r="E9" s="1173"/>
      <c r="F9" s="1173"/>
      <c r="G9" s="1173"/>
      <c r="H9" s="1173"/>
      <c r="I9" s="1172"/>
      <c r="J9" s="1173"/>
      <c r="K9" s="1172"/>
      <c r="L9" s="1171"/>
      <c r="M9" s="1171"/>
      <c r="N9" s="1171"/>
      <c r="R9" s="1175"/>
      <c r="S9" s="1175"/>
      <c r="T9" s="1174"/>
      <c r="U9" s="1174"/>
      <c r="V9" s="1173"/>
      <c r="W9" s="1173"/>
      <c r="X9" s="1173"/>
      <c r="Y9" s="1173"/>
      <c r="Z9" s="1172"/>
      <c r="AA9" s="1173"/>
      <c r="AB9" s="1172"/>
      <c r="AC9" s="1171"/>
      <c r="AD9" s="1171"/>
      <c r="AE9" s="1171"/>
    </row>
    <row r="10" spans="1:31" ht="15" x14ac:dyDescent="0.2">
      <c r="A10" s="1170"/>
      <c r="B10" s="1169"/>
      <c r="C10" s="1168"/>
      <c r="D10" s="1168"/>
      <c r="E10" s="1166"/>
      <c r="F10" s="1166"/>
      <c r="G10" s="1166"/>
      <c r="H10" s="1166"/>
      <c r="I10" s="1167"/>
      <c r="J10" s="1166"/>
      <c r="K10" s="1167"/>
      <c r="L10" s="1166"/>
      <c r="M10" s="1166"/>
      <c r="N10" s="1166"/>
      <c r="R10" s="1170"/>
      <c r="S10" s="1169"/>
      <c r="T10" s="1168"/>
      <c r="U10" s="1168"/>
      <c r="V10" s="1166"/>
      <c r="W10" s="1166"/>
      <c r="X10" s="1166"/>
      <c r="Y10" s="1166"/>
      <c r="Z10" s="1167"/>
      <c r="AA10" s="1166"/>
      <c r="AB10" s="1167"/>
      <c r="AC10" s="1166"/>
      <c r="AD10" s="1166"/>
      <c r="AE10" s="1166"/>
    </row>
    <row r="11" spans="1:31" ht="15" x14ac:dyDescent="0.2">
      <c r="A11" s="1175"/>
      <c r="B11" s="1175"/>
      <c r="C11" s="1174"/>
      <c r="D11" s="1174"/>
      <c r="E11" s="1173"/>
      <c r="F11" s="1173"/>
      <c r="G11" s="1173"/>
      <c r="H11" s="1173"/>
      <c r="I11" s="1172"/>
      <c r="J11" s="1173"/>
      <c r="K11" s="1172"/>
      <c r="L11" s="1171"/>
      <c r="M11" s="1171"/>
      <c r="N11" s="1171"/>
      <c r="R11" s="1175"/>
      <c r="S11" s="1175"/>
      <c r="T11" s="1174"/>
      <c r="U11" s="1174"/>
      <c r="V11" s="1173"/>
      <c r="W11" s="1173"/>
      <c r="X11" s="1173"/>
      <c r="Y11" s="1173"/>
      <c r="Z11" s="1172"/>
      <c r="AA11" s="1173"/>
      <c r="AB11" s="1172"/>
      <c r="AC11" s="1171"/>
      <c r="AD11" s="1171"/>
      <c r="AE11" s="1171"/>
    </row>
    <row r="12" spans="1:31" ht="15" x14ac:dyDescent="0.2">
      <c r="A12" s="1170"/>
      <c r="B12" s="1169"/>
      <c r="C12" s="1168"/>
      <c r="D12" s="1168"/>
      <c r="E12" s="1166"/>
      <c r="F12" s="1166"/>
      <c r="G12" s="1166"/>
      <c r="H12" s="1166"/>
      <c r="I12" s="1167"/>
      <c r="J12" s="1166"/>
      <c r="K12" s="1167"/>
      <c r="L12" s="1166"/>
      <c r="M12" s="1166"/>
      <c r="N12" s="1166"/>
      <c r="R12" s="1170"/>
      <c r="S12" s="1169"/>
      <c r="T12" s="1168"/>
      <c r="U12" s="1168"/>
      <c r="V12" s="1166"/>
      <c r="W12" s="1166"/>
      <c r="X12" s="1166"/>
      <c r="Y12" s="1166"/>
      <c r="Z12" s="1167"/>
      <c r="AA12" s="1166"/>
      <c r="AB12" s="1167"/>
      <c r="AC12" s="1166"/>
      <c r="AD12" s="1166"/>
      <c r="AE12" s="1166"/>
    </row>
    <row r="13" spans="1:31" ht="15" x14ac:dyDescent="0.2">
      <c r="A13" s="1175"/>
      <c r="B13" s="1175"/>
      <c r="C13" s="1174"/>
      <c r="D13" s="1174"/>
      <c r="E13" s="1173"/>
      <c r="F13" s="1173"/>
      <c r="G13" s="1173"/>
      <c r="H13" s="1173"/>
      <c r="I13" s="1172"/>
      <c r="J13" s="1173"/>
      <c r="K13" s="1172"/>
      <c r="L13" s="1171"/>
      <c r="M13" s="1171"/>
      <c r="N13" s="1171"/>
      <c r="R13" s="1175"/>
      <c r="S13" s="1175"/>
      <c r="T13" s="1174"/>
      <c r="U13" s="1174"/>
      <c r="V13" s="1173"/>
      <c r="W13" s="1173"/>
      <c r="X13" s="1173"/>
      <c r="Y13" s="1173"/>
      <c r="Z13" s="1172"/>
      <c r="AA13" s="1173"/>
      <c r="AB13" s="1172"/>
      <c r="AC13" s="1171"/>
      <c r="AD13" s="1171"/>
      <c r="AE13" s="1171"/>
    </row>
    <row r="14" spans="1:31" ht="15" x14ac:dyDescent="0.2">
      <c r="A14" s="1170"/>
      <c r="B14" s="1169"/>
      <c r="C14" s="1168"/>
      <c r="D14" s="1168"/>
      <c r="E14" s="1166"/>
      <c r="F14" s="1166"/>
      <c r="G14" s="1166"/>
      <c r="H14" s="1166"/>
      <c r="I14" s="1167"/>
      <c r="J14" s="1166"/>
      <c r="K14" s="1167"/>
      <c r="L14" s="1166"/>
      <c r="M14" s="1166"/>
      <c r="N14" s="1166"/>
      <c r="R14" s="1170"/>
      <c r="S14" s="1169"/>
      <c r="T14" s="1168"/>
      <c r="U14" s="1168"/>
      <c r="V14" s="1166"/>
      <c r="W14" s="1166"/>
      <c r="X14" s="1166"/>
      <c r="Y14" s="1166"/>
      <c r="Z14" s="1167"/>
      <c r="AA14" s="1166"/>
      <c r="AB14" s="1167"/>
      <c r="AC14" s="1166"/>
      <c r="AD14" s="1166"/>
      <c r="AE14" s="1166"/>
    </row>
    <row r="15" spans="1:31" ht="15" x14ac:dyDescent="0.2">
      <c r="A15" s="1175"/>
      <c r="B15" s="1175"/>
      <c r="C15" s="1174"/>
      <c r="D15" s="1174"/>
      <c r="E15" s="1173"/>
      <c r="F15" s="1173"/>
      <c r="G15" s="1173"/>
      <c r="H15" s="1173"/>
      <c r="I15" s="1172"/>
      <c r="J15" s="1173"/>
      <c r="K15" s="1172"/>
      <c r="L15" s="1171"/>
      <c r="M15" s="1171"/>
      <c r="N15" s="1171"/>
      <c r="R15" s="1175"/>
      <c r="S15" s="1175"/>
      <c r="T15" s="1174"/>
      <c r="U15" s="1174"/>
      <c r="V15" s="1173"/>
      <c r="W15" s="1173"/>
      <c r="X15" s="1173"/>
      <c r="Y15" s="1173"/>
      <c r="Z15" s="1172"/>
      <c r="AA15" s="1173"/>
      <c r="AB15" s="1172"/>
      <c r="AC15" s="1171"/>
      <c r="AD15" s="1171"/>
      <c r="AE15" s="1171"/>
    </row>
    <row r="16" spans="1:31" ht="15" x14ac:dyDescent="0.2">
      <c r="A16" s="1170"/>
      <c r="B16" s="1169"/>
      <c r="C16" s="1168"/>
      <c r="D16" s="1168"/>
      <c r="E16" s="1166"/>
      <c r="F16" s="1166"/>
      <c r="G16" s="1166"/>
      <c r="H16" s="1166"/>
      <c r="I16" s="1167"/>
      <c r="J16" s="1166"/>
      <c r="K16" s="1167"/>
      <c r="L16" s="1166"/>
      <c r="M16" s="1166"/>
      <c r="N16" s="1166"/>
      <c r="R16" s="1170"/>
      <c r="S16" s="1169"/>
      <c r="T16" s="1168"/>
      <c r="U16" s="1168"/>
      <c r="V16" s="1166"/>
      <c r="W16" s="1166"/>
      <c r="X16" s="1166"/>
      <c r="Y16" s="1166"/>
      <c r="Z16" s="1167"/>
      <c r="AA16" s="1166"/>
      <c r="AB16" s="1167"/>
      <c r="AC16" s="1166"/>
      <c r="AD16" s="1166"/>
      <c r="AE16" s="1166"/>
    </row>
    <row r="17" spans="1:31" ht="15" x14ac:dyDescent="0.2">
      <c r="A17" s="1175"/>
      <c r="B17" s="1175"/>
      <c r="C17" s="1174"/>
      <c r="D17" s="1174"/>
      <c r="E17" s="1173"/>
      <c r="F17" s="1173"/>
      <c r="G17" s="1173"/>
      <c r="H17" s="1173"/>
      <c r="I17" s="1172"/>
      <c r="J17" s="1173"/>
      <c r="K17" s="1172"/>
      <c r="L17" s="1171"/>
      <c r="M17" s="1171"/>
      <c r="N17" s="1171"/>
      <c r="R17" s="1175"/>
      <c r="S17" s="1175"/>
      <c r="T17" s="1174"/>
      <c r="U17" s="1174"/>
      <c r="V17" s="1173"/>
      <c r="W17" s="1173"/>
      <c r="X17" s="1173"/>
      <c r="Y17" s="1173"/>
      <c r="Z17" s="1172"/>
      <c r="AA17" s="1173"/>
      <c r="AB17" s="1172"/>
      <c r="AC17" s="1171"/>
      <c r="AD17" s="1171"/>
      <c r="AE17" s="1171"/>
    </row>
    <row r="18" spans="1:31" ht="15" x14ac:dyDescent="0.2">
      <c r="A18" s="1170"/>
      <c r="B18" s="1169"/>
      <c r="C18" s="1168"/>
      <c r="D18" s="1168"/>
      <c r="E18" s="1166"/>
      <c r="F18" s="1166"/>
      <c r="G18" s="1166"/>
      <c r="H18" s="1166"/>
      <c r="I18" s="1167"/>
      <c r="J18" s="1166"/>
      <c r="K18" s="1167"/>
      <c r="L18" s="1166"/>
      <c r="M18" s="1166"/>
      <c r="N18" s="1166"/>
      <c r="R18" s="1170"/>
      <c r="S18" s="1169"/>
      <c r="T18" s="1168"/>
      <c r="U18" s="1168"/>
      <c r="V18" s="1166"/>
      <c r="W18" s="1166"/>
      <c r="X18" s="1166"/>
      <c r="Y18" s="1166"/>
      <c r="Z18" s="1167"/>
      <c r="AA18" s="1166"/>
      <c r="AB18" s="1167"/>
      <c r="AC18" s="1166"/>
      <c r="AD18" s="1166"/>
      <c r="AE18" s="1166"/>
    </row>
    <row r="19" spans="1:31" ht="15" x14ac:dyDescent="0.2">
      <c r="A19" s="1175"/>
      <c r="B19" s="1175"/>
      <c r="C19" s="1174"/>
      <c r="D19" s="1174"/>
      <c r="E19" s="1173"/>
      <c r="F19" s="1173"/>
      <c r="G19" s="1173"/>
      <c r="H19" s="1173"/>
      <c r="I19" s="1172"/>
      <c r="J19" s="1173"/>
      <c r="K19" s="1172"/>
      <c r="L19" s="1171"/>
      <c r="M19" s="1171"/>
      <c r="N19" s="1171"/>
      <c r="R19" s="1175"/>
      <c r="S19" s="1175"/>
      <c r="T19" s="1174"/>
      <c r="U19" s="1174"/>
      <c r="V19" s="1173"/>
      <c r="W19" s="1173"/>
      <c r="X19" s="1173"/>
      <c r="Y19" s="1173"/>
      <c r="Z19" s="1172"/>
      <c r="AA19" s="1173"/>
      <c r="AB19" s="1172"/>
      <c r="AC19" s="1171"/>
      <c r="AD19" s="1171"/>
      <c r="AE19" s="1171"/>
    </row>
    <row r="20" spans="1:31" ht="15" x14ac:dyDescent="0.2">
      <c r="A20" s="1170"/>
      <c r="B20" s="1169"/>
      <c r="C20" s="1168"/>
      <c r="D20" s="1168"/>
      <c r="E20" s="1166"/>
      <c r="F20" s="1166"/>
      <c r="G20" s="1166"/>
      <c r="H20" s="1166"/>
      <c r="I20" s="1167"/>
      <c r="J20" s="1166"/>
      <c r="K20" s="1167"/>
      <c r="L20" s="1166"/>
      <c r="M20" s="1166"/>
      <c r="N20" s="1166"/>
      <c r="R20" s="1170"/>
      <c r="S20" s="1169"/>
      <c r="T20" s="1168"/>
      <c r="U20" s="1168"/>
      <c r="V20" s="1166"/>
      <c r="W20" s="1166"/>
      <c r="X20" s="1166"/>
      <c r="Y20" s="1166"/>
      <c r="Z20" s="1167"/>
      <c r="AA20" s="1166"/>
      <c r="AB20" s="1167"/>
      <c r="AC20" s="1166"/>
      <c r="AD20" s="1166"/>
      <c r="AE20" s="1166"/>
    </row>
    <row r="21" spans="1:31" ht="15" x14ac:dyDescent="0.2">
      <c r="A21" s="1175"/>
      <c r="B21" s="1175"/>
      <c r="C21" s="1174"/>
      <c r="D21" s="1174"/>
      <c r="E21" s="1173"/>
      <c r="F21" s="1173"/>
      <c r="G21" s="1173"/>
      <c r="H21" s="1173"/>
      <c r="I21" s="1172"/>
      <c r="J21" s="1173"/>
      <c r="K21" s="1172"/>
      <c r="L21" s="1171"/>
      <c r="M21" s="1171"/>
      <c r="N21" s="1171"/>
      <c r="R21" s="1175"/>
      <c r="S21" s="1175"/>
      <c r="T21" s="1174"/>
      <c r="U21" s="1174"/>
      <c r="V21" s="1173"/>
      <c r="W21" s="1173"/>
      <c r="X21" s="1173"/>
      <c r="Y21" s="1173"/>
      <c r="Z21" s="1172"/>
      <c r="AA21" s="1173"/>
      <c r="AB21" s="1172"/>
      <c r="AC21" s="1171"/>
      <c r="AD21" s="1171"/>
      <c r="AE21" s="1171"/>
    </row>
    <row r="22" spans="1:31" ht="15" x14ac:dyDescent="0.2">
      <c r="A22" s="1170"/>
      <c r="B22" s="1169"/>
      <c r="C22" s="1168"/>
      <c r="D22" s="1168"/>
      <c r="E22" s="1166"/>
      <c r="F22" s="1166"/>
      <c r="G22" s="1166"/>
      <c r="H22" s="1166"/>
      <c r="I22" s="1167"/>
      <c r="J22" s="1166"/>
      <c r="K22" s="1167"/>
      <c r="L22" s="1166"/>
      <c r="M22" s="1166"/>
      <c r="N22" s="1166"/>
      <c r="R22" s="1170"/>
      <c r="S22" s="1169"/>
      <c r="T22" s="1168"/>
      <c r="U22" s="1168"/>
      <c r="V22" s="1166"/>
      <c r="W22" s="1166"/>
      <c r="X22" s="1166"/>
      <c r="Y22" s="1166"/>
      <c r="Z22" s="1167"/>
      <c r="AA22" s="1166"/>
      <c r="AB22" s="1167"/>
      <c r="AC22" s="1166"/>
      <c r="AD22" s="1166"/>
      <c r="AE22" s="1166"/>
    </row>
    <row r="23" spans="1:31" ht="15" x14ac:dyDescent="0.2">
      <c r="A23" s="1175"/>
      <c r="B23" s="1175"/>
      <c r="C23" s="1174"/>
      <c r="D23" s="1174"/>
      <c r="E23" s="1173"/>
      <c r="F23" s="1173"/>
      <c r="G23" s="1173"/>
      <c r="H23" s="1173"/>
      <c r="I23" s="1172"/>
      <c r="J23" s="1173"/>
      <c r="K23" s="1172"/>
      <c r="L23" s="1171"/>
      <c r="M23" s="1171"/>
      <c r="N23" s="1171"/>
      <c r="R23" s="1175"/>
      <c r="S23" s="1175"/>
      <c r="T23" s="1174"/>
      <c r="U23" s="1174"/>
      <c r="V23" s="1173"/>
      <c r="W23" s="1173"/>
      <c r="X23" s="1173"/>
      <c r="Y23" s="1173"/>
      <c r="Z23" s="1172"/>
      <c r="AA23" s="1173"/>
      <c r="AB23" s="1172"/>
      <c r="AC23" s="1171"/>
      <c r="AD23" s="1171"/>
      <c r="AE23" s="1171"/>
    </row>
    <row r="24" spans="1:31" ht="15" x14ac:dyDescent="0.2">
      <c r="A24" s="1170"/>
      <c r="B24" s="1169"/>
      <c r="C24" s="1168"/>
      <c r="D24" s="1168"/>
      <c r="E24" s="1166"/>
      <c r="F24" s="1166"/>
      <c r="G24" s="1166"/>
      <c r="H24" s="1166"/>
      <c r="I24" s="1167"/>
      <c r="J24" s="1166"/>
      <c r="K24" s="1167"/>
      <c r="L24" s="1166"/>
      <c r="M24" s="1166"/>
      <c r="N24" s="1166"/>
      <c r="R24" s="1170"/>
      <c r="S24" s="1169"/>
      <c r="T24" s="1168"/>
      <c r="U24" s="1168"/>
      <c r="V24" s="1166"/>
      <c r="W24" s="1166"/>
      <c r="X24" s="1166"/>
      <c r="Y24" s="1166"/>
      <c r="Z24" s="1167"/>
      <c r="AA24" s="1166"/>
      <c r="AB24" s="1167"/>
      <c r="AC24" s="1166"/>
      <c r="AD24" s="1166"/>
      <c r="AE24" s="1166"/>
    </row>
    <row r="25" spans="1:31" ht="15" x14ac:dyDescent="0.2">
      <c r="A25" s="1175"/>
      <c r="B25" s="1175"/>
      <c r="C25" s="1174"/>
      <c r="D25" s="1174"/>
      <c r="E25" s="1173"/>
      <c r="F25" s="1173"/>
      <c r="G25" s="1173"/>
      <c r="H25" s="1173"/>
      <c r="I25" s="1172"/>
      <c r="J25" s="1173"/>
      <c r="K25" s="1172"/>
      <c r="L25" s="1171"/>
      <c r="M25" s="1171"/>
      <c r="N25" s="1171"/>
      <c r="R25" s="1175"/>
      <c r="S25" s="1175"/>
      <c r="T25" s="1174"/>
      <c r="U25" s="1174"/>
      <c r="V25" s="1173"/>
      <c r="W25" s="1173"/>
      <c r="X25" s="1173"/>
      <c r="Y25" s="1173"/>
      <c r="Z25" s="1172"/>
      <c r="AA25" s="1173"/>
      <c r="AB25" s="1172"/>
      <c r="AC25" s="1171"/>
      <c r="AD25" s="1171"/>
      <c r="AE25" s="1171"/>
    </row>
    <row r="26" spans="1:31" ht="15" x14ac:dyDescent="0.2">
      <c r="A26" s="1170"/>
      <c r="B26" s="1169"/>
      <c r="C26" s="1168"/>
      <c r="D26" s="1168"/>
      <c r="E26" s="1166"/>
      <c r="F26" s="1166"/>
      <c r="G26" s="1166"/>
      <c r="H26" s="1166"/>
      <c r="I26" s="1167"/>
      <c r="J26" s="1166"/>
      <c r="K26" s="1167"/>
      <c r="L26" s="1166"/>
      <c r="M26" s="1166"/>
      <c r="N26" s="1166"/>
      <c r="R26" s="1170"/>
      <c r="S26" s="1169"/>
      <c r="T26" s="1168"/>
      <c r="U26" s="1168"/>
      <c r="V26" s="1166"/>
      <c r="W26" s="1166"/>
      <c r="X26" s="1166"/>
      <c r="Y26" s="1166"/>
      <c r="Z26" s="1167"/>
      <c r="AA26" s="1166"/>
      <c r="AB26" s="1167"/>
      <c r="AC26" s="1166"/>
      <c r="AD26" s="1166"/>
      <c r="AE26" s="1166"/>
    </row>
    <row r="27" spans="1:31" ht="15" x14ac:dyDescent="0.2">
      <c r="A27" s="1175"/>
      <c r="B27" s="1175"/>
      <c r="C27" s="1174"/>
      <c r="D27" s="1174"/>
      <c r="E27" s="1173"/>
      <c r="F27" s="1173"/>
      <c r="G27" s="1173"/>
      <c r="H27" s="1173"/>
      <c r="I27" s="1172"/>
      <c r="J27" s="1173"/>
      <c r="K27" s="1172"/>
      <c r="L27" s="1171"/>
      <c r="M27" s="1171"/>
      <c r="N27" s="1171"/>
      <c r="R27" s="1175"/>
      <c r="S27" s="1175"/>
      <c r="T27" s="1174"/>
      <c r="U27" s="1174"/>
      <c r="V27" s="1173"/>
      <c r="W27" s="1173"/>
      <c r="X27" s="1173"/>
      <c r="Y27" s="1173"/>
      <c r="Z27" s="1172"/>
      <c r="AA27" s="1173"/>
      <c r="AB27" s="1172"/>
      <c r="AC27" s="1171"/>
      <c r="AD27" s="1171"/>
      <c r="AE27" s="1171"/>
    </row>
    <row r="28" spans="1:31" ht="15" x14ac:dyDescent="0.2">
      <c r="A28" s="1170"/>
      <c r="B28" s="1169"/>
      <c r="C28" s="1168"/>
      <c r="D28" s="1168"/>
      <c r="E28" s="1166"/>
      <c r="F28" s="1166"/>
      <c r="G28" s="1166"/>
      <c r="H28" s="1166"/>
      <c r="I28" s="1167"/>
      <c r="J28" s="1166"/>
      <c r="K28" s="1167"/>
      <c r="L28" s="1166"/>
      <c r="M28" s="1166"/>
      <c r="N28" s="1166"/>
      <c r="R28" s="1170"/>
      <c r="S28" s="1169"/>
      <c r="T28" s="1168"/>
      <c r="U28" s="1168"/>
      <c r="V28" s="1166"/>
      <c r="W28" s="1166"/>
      <c r="X28" s="1166"/>
      <c r="Y28" s="1166"/>
      <c r="Z28" s="1167"/>
      <c r="AA28" s="1166"/>
      <c r="AB28" s="1167"/>
      <c r="AC28" s="1166"/>
      <c r="AD28" s="1166"/>
      <c r="AE28" s="1166"/>
    </row>
    <row r="29" spans="1:31" ht="15" x14ac:dyDescent="0.2">
      <c r="A29" s="1175"/>
      <c r="B29" s="1175"/>
      <c r="C29" s="1174"/>
      <c r="D29" s="1174"/>
      <c r="E29" s="1173"/>
      <c r="F29" s="1173"/>
      <c r="G29" s="1173"/>
      <c r="H29" s="1173"/>
      <c r="I29" s="1172"/>
      <c r="J29" s="1173"/>
      <c r="K29" s="1172"/>
      <c r="L29" s="1171"/>
      <c r="M29" s="1171"/>
      <c r="N29" s="1171"/>
      <c r="R29" s="1175"/>
      <c r="S29" s="1175"/>
      <c r="T29" s="1174"/>
      <c r="U29" s="1174"/>
      <c r="V29" s="1173"/>
      <c r="W29" s="1173"/>
      <c r="X29" s="1173"/>
      <c r="Y29" s="1173"/>
      <c r="Z29" s="1172"/>
      <c r="AA29" s="1173"/>
      <c r="AB29" s="1172"/>
      <c r="AC29" s="1171"/>
      <c r="AD29" s="1171"/>
      <c r="AE29" s="1171"/>
    </row>
    <row r="30" spans="1:31" ht="15" x14ac:dyDescent="0.2">
      <c r="A30" s="1170"/>
      <c r="B30" s="1169"/>
      <c r="C30" s="1168"/>
      <c r="D30" s="1168"/>
      <c r="E30" s="1166"/>
      <c r="F30" s="1166"/>
      <c r="G30" s="1166"/>
      <c r="H30" s="1166"/>
      <c r="I30" s="1167"/>
      <c r="J30" s="1166"/>
      <c r="K30" s="1167"/>
      <c r="L30" s="1166"/>
      <c r="M30" s="1166"/>
      <c r="N30" s="1166"/>
      <c r="R30" s="1170"/>
      <c r="S30" s="1169"/>
      <c r="T30" s="1168"/>
      <c r="U30" s="1168"/>
      <c r="V30" s="1166"/>
      <c r="W30" s="1166"/>
      <c r="X30" s="1166"/>
      <c r="Y30" s="1166"/>
      <c r="Z30" s="1167"/>
      <c r="AA30" s="1166"/>
      <c r="AB30" s="1167"/>
      <c r="AC30" s="1166"/>
      <c r="AD30" s="1166"/>
      <c r="AE30" s="1166"/>
    </row>
    <row r="31" spans="1:31" ht="15" x14ac:dyDescent="0.2">
      <c r="A31" s="1175"/>
      <c r="B31" s="1175"/>
      <c r="C31" s="1174"/>
      <c r="D31" s="1174"/>
      <c r="E31" s="1173"/>
      <c r="F31" s="1173"/>
      <c r="G31" s="1173"/>
      <c r="H31" s="1173"/>
      <c r="I31" s="1172"/>
      <c r="J31" s="1173"/>
      <c r="K31" s="1172"/>
      <c r="L31" s="1171"/>
      <c r="M31" s="1171"/>
      <c r="N31" s="1171"/>
      <c r="R31" s="1175"/>
      <c r="S31" s="1175"/>
      <c r="T31" s="1174"/>
      <c r="U31" s="1174"/>
      <c r="V31" s="1173"/>
      <c r="W31" s="1173"/>
      <c r="X31" s="1173"/>
      <c r="Y31" s="1173"/>
      <c r="Z31" s="1172"/>
      <c r="AA31" s="1173"/>
      <c r="AB31" s="1172"/>
      <c r="AC31" s="1171"/>
      <c r="AD31" s="1171"/>
      <c r="AE31" s="1171"/>
    </row>
    <row r="32" spans="1:31" ht="15" x14ac:dyDescent="0.2">
      <c r="A32" s="1170"/>
      <c r="B32" s="1169"/>
      <c r="C32" s="1168"/>
      <c r="D32" s="1168"/>
      <c r="E32" s="1166"/>
      <c r="F32" s="1166"/>
      <c r="G32" s="1166"/>
      <c r="H32" s="1166"/>
      <c r="I32" s="1167"/>
      <c r="J32" s="1166"/>
      <c r="K32" s="1167"/>
      <c r="L32" s="1166"/>
      <c r="M32" s="1166"/>
      <c r="N32" s="1166"/>
      <c r="R32" s="1170"/>
      <c r="S32" s="1169"/>
      <c r="T32" s="1168"/>
      <c r="U32" s="1168"/>
      <c r="V32" s="1166"/>
      <c r="W32" s="1166"/>
      <c r="X32" s="1166"/>
      <c r="Y32" s="1166"/>
      <c r="Z32" s="1167"/>
      <c r="AA32" s="1166"/>
      <c r="AB32" s="1167"/>
      <c r="AC32" s="1166"/>
      <c r="AD32" s="1166"/>
      <c r="AE32" s="1166"/>
    </row>
    <row r="33" spans="1:31" ht="15" x14ac:dyDescent="0.2">
      <c r="A33" s="1175"/>
      <c r="B33" s="1175"/>
      <c r="C33" s="1174"/>
      <c r="D33" s="1174"/>
      <c r="E33" s="1173"/>
      <c r="F33" s="1173"/>
      <c r="G33" s="1173"/>
      <c r="H33" s="1173"/>
      <c r="I33" s="1172"/>
      <c r="J33" s="1173"/>
      <c r="K33" s="1172"/>
      <c r="L33" s="1171"/>
      <c r="M33" s="1171"/>
      <c r="N33" s="1171"/>
      <c r="R33" s="1175"/>
      <c r="S33" s="1175"/>
      <c r="T33" s="1174"/>
      <c r="U33" s="1174"/>
      <c r="V33" s="1173"/>
      <c r="W33" s="1173"/>
      <c r="X33" s="1173"/>
      <c r="Y33" s="1173"/>
      <c r="Z33" s="1172"/>
      <c r="AA33" s="1173"/>
      <c r="AB33" s="1172"/>
      <c r="AC33" s="1171"/>
      <c r="AD33" s="1171"/>
      <c r="AE33" s="1171"/>
    </row>
    <row r="34" spans="1:31" ht="15" x14ac:dyDescent="0.2">
      <c r="A34" s="1170"/>
      <c r="B34" s="1169"/>
      <c r="C34" s="1168"/>
      <c r="D34" s="1168"/>
      <c r="E34" s="1166"/>
      <c r="F34" s="1166"/>
      <c r="G34" s="1166"/>
      <c r="H34" s="1166"/>
      <c r="I34" s="1167"/>
      <c r="J34" s="1166"/>
      <c r="K34" s="1167"/>
      <c r="L34" s="1166"/>
      <c r="M34" s="1166"/>
      <c r="N34" s="1166"/>
      <c r="R34" s="1170"/>
      <c r="S34" s="1169"/>
      <c r="T34" s="1168"/>
      <c r="U34" s="1168"/>
      <c r="V34" s="1166"/>
      <c r="W34" s="1166"/>
      <c r="X34" s="1166"/>
      <c r="Y34" s="1166"/>
      <c r="Z34" s="1167"/>
      <c r="AA34" s="1166"/>
      <c r="AB34" s="1167"/>
      <c r="AC34" s="1166"/>
      <c r="AD34" s="1166"/>
      <c r="AE34" s="1166"/>
    </row>
    <row r="35" spans="1:31" ht="15" x14ac:dyDescent="0.2">
      <c r="A35" s="1175"/>
      <c r="B35" s="1175"/>
      <c r="C35" s="1174"/>
      <c r="D35" s="1174"/>
      <c r="E35" s="1173"/>
      <c r="F35" s="1173"/>
      <c r="G35" s="1173"/>
      <c r="H35" s="1173"/>
      <c r="I35" s="1172"/>
      <c r="J35" s="1173"/>
      <c r="K35" s="1172"/>
      <c r="L35" s="1171"/>
      <c r="M35" s="1171"/>
      <c r="N35" s="1171"/>
      <c r="R35" s="1175"/>
      <c r="S35" s="1175"/>
      <c r="T35" s="1174"/>
      <c r="U35" s="1174"/>
      <c r="V35" s="1173"/>
      <c r="W35" s="1173"/>
      <c r="X35" s="1173"/>
      <c r="Y35" s="1173"/>
      <c r="Z35" s="1172"/>
      <c r="AA35" s="1173"/>
      <c r="AB35" s="1172"/>
      <c r="AC35" s="1171"/>
      <c r="AD35" s="1171"/>
      <c r="AE35" s="1171"/>
    </row>
    <row r="36" spans="1:31" ht="15" x14ac:dyDescent="0.2">
      <c r="A36" s="1170"/>
      <c r="B36" s="1169"/>
      <c r="C36" s="1168"/>
      <c r="D36" s="1168"/>
      <c r="E36" s="1166"/>
      <c r="F36" s="1166"/>
      <c r="G36" s="1166"/>
      <c r="H36" s="1166"/>
      <c r="I36" s="1167"/>
      <c r="J36" s="1166"/>
      <c r="K36" s="1167"/>
      <c r="L36" s="1166"/>
      <c r="M36" s="1166"/>
      <c r="N36" s="1166"/>
      <c r="R36" s="1170"/>
      <c r="S36" s="1169"/>
      <c r="T36" s="1168"/>
      <c r="U36" s="1168"/>
      <c r="V36" s="1166"/>
      <c r="W36" s="1166"/>
      <c r="X36" s="1166"/>
      <c r="Y36" s="1166"/>
      <c r="Z36" s="1167"/>
      <c r="AA36" s="1166"/>
      <c r="AB36" s="1167"/>
      <c r="AC36" s="1166"/>
      <c r="AD36" s="1166"/>
      <c r="AE36" s="1166"/>
    </row>
    <row r="37" spans="1:31" ht="15" x14ac:dyDescent="0.2">
      <c r="A37" s="1175"/>
      <c r="B37" s="1175"/>
      <c r="C37" s="1174"/>
      <c r="D37" s="1174"/>
      <c r="E37" s="1173"/>
      <c r="F37" s="1173"/>
      <c r="G37" s="1173"/>
      <c r="H37" s="1173"/>
      <c r="I37" s="1172"/>
      <c r="J37" s="1173"/>
      <c r="K37" s="1172"/>
      <c r="L37" s="1171"/>
      <c r="M37" s="1171"/>
      <c r="N37" s="1171"/>
      <c r="R37" s="1175"/>
      <c r="S37" s="1175"/>
      <c r="T37" s="1174"/>
      <c r="U37" s="1174"/>
      <c r="V37" s="1173"/>
      <c r="W37" s="1173"/>
      <c r="X37" s="1173"/>
      <c r="Y37" s="1173"/>
      <c r="Z37" s="1172"/>
      <c r="AA37" s="1173"/>
      <c r="AB37" s="1172"/>
      <c r="AC37" s="1171"/>
      <c r="AD37" s="1171"/>
      <c r="AE37" s="1171"/>
    </row>
    <row r="38" spans="1:31" ht="15" x14ac:dyDescent="0.2">
      <c r="A38" s="1170"/>
      <c r="B38" s="1169"/>
      <c r="C38" s="1168"/>
      <c r="D38" s="1168"/>
      <c r="E38" s="1166"/>
      <c r="F38" s="1166"/>
      <c r="G38" s="1166"/>
      <c r="H38" s="1166"/>
      <c r="I38" s="1167"/>
      <c r="J38" s="1166"/>
      <c r="K38" s="1167"/>
      <c r="L38" s="1166"/>
      <c r="M38" s="1166"/>
      <c r="N38" s="1166"/>
      <c r="R38" s="1170"/>
      <c r="S38" s="1169"/>
      <c r="T38" s="1168"/>
      <c r="U38" s="1168"/>
      <c r="V38" s="1166"/>
      <c r="W38" s="1166"/>
      <c r="X38" s="1166"/>
      <c r="Y38" s="1166"/>
      <c r="Z38" s="1167"/>
      <c r="AA38" s="1166"/>
      <c r="AB38" s="1167"/>
      <c r="AC38" s="1166"/>
      <c r="AD38" s="1166"/>
      <c r="AE38" s="1166"/>
    </row>
    <row r="39" spans="1:31" ht="15" x14ac:dyDescent="0.2">
      <c r="A39" s="1175"/>
      <c r="B39" s="1175"/>
      <c r="C39" s="1174"/>
      <c r="D39" s="1174"/>
      <c r="E39" s="1173"/>
      <c r="F39" s="1173"/>
      <c r="G39" s="1173"/>
      <c r="H39" s="1173"/>
      <c r="I39" s="1172"/>
      <c r="J39" s="1173"/>
      <c r="K39" s="1172"/>
      <c r="L39" s="1171"/>
      <c r="M39" s="1171"/>
      <c r="N39" s="1171"/>
      <c r="R39" s="1175"/>
      <c r="S39" s="1175"/>
      <c r="T39" s="1174"/>
      <c r="U39" s="1174"/>
      <c r="V39" s="1173"/>
      <c r="W39" s="1173"/>
      <c r="X39" s="1173"/>
      <c r="Y39" s="1173"/>
      <c r="Z39" s="1172"/>
      <c r="AA39" s="1173"/>
      <c r="AB39" s="1172"/>
      <c r="AC39" s="1171"/>
      <c r="AD39" s="1171"/>
      <c r="AE39" s="1171"/>
    </row>
    <row r="40" spans="1:31" ht="15" x14ac:dyDescent="0.2">
      <c r="A40" s="1170"/>
      <c r="B40" s="1169"/>
      <c r="C40" s="1168"/>
      <c r="D40" s="1168"/>
      <c r="E40" s="1166"/>
      <c r="F40" s="1166"/>
      <c r="G40" s="1166"/>
      <c r="H40" s="1166"/>
      <c r="I40" s="1167"/>
      <c r="J40" s="1166"/>
      <c r="K40" s="1167"/>
      <c r="L40" s="1166"/>
      <c r="M40" s="1166"/>
      <c r="N40" s="1166"/>
      <c r="R40" s="1170"/>
      <c r="S40" s="1169"/>
      <c r="T40" s="1168"/>
      <c r="U40" s="1168"/>
      <c r="V40" s="1166"/>
      <c r="W40" s="1166"/>
      <c r="X40" s="1166"/>
      <c r="Y40" s="1166"/>
      <c r="Z40" s="1167"/>
      <c r="AA40" s="1166"/>
      <c r="AB40" s="1167"/>
      <c r="AC40" s="1166"/>
      <c r="AD40" s="1166"/>
      <c r="AE40" s="1166"/>
    </row>
    <row r="41" spans="1:31" ht="15" x14ac:dyDescent="0.2">
      <c r="A41" s="1175"/>
      <c r="B41" s="1175"/>
      <c r="C41" s="1174"/>
      <c r="D41" s="1174"/>
      <c r="E41" s="1173"/>
      <c r="F41" s="1173"/>
      <c r="G41" s="1173"/>
      <c r="H41" s="1173"/>
      <c r="I41" s="1172"/>
      <c r="J41" s="1173"/>
      <c r="K41" s="1172"/>
      <c r="L41" s="1171"/>
      <c r="M41" s="1171"/>
      <c r="N41" s="1171"/>
      <c r="R41" s="1175"/>
      <c r="S41" s="1175"/>
      <c r="T41" s="1174"/>
      <c r="U41" s="1174"/>
      <c r="V41" s="1173"/>
      <c r="W41" s="1173"/>
      <c r="X41" s="1173"/>
      <c r="Y41" s="1173"/>
      <c r="Z41" s="1172"/>
      <c r="AA41" s="1173"/>
      <c r="AB41" s="1172"/>
      <c r="AC41" s="1171"/>
      <c r="AD41" s="1171"/>
      <c r="AE41" s="1171"/>
    </row>
    <row r="42" spans="1:31" ht="15" x14ac:dyDescent="0.2">
      <c r="A42" s="1170"/>
      <c r="B42" s="1169"/>
      <c r="C42" s="1168"/>
      <c r="D42" s="1168"/>
      <c r="E42" s="1166"/>
      <c r="F42" s="1166"/>
      <c r="G42" s="1166"/>
      <c r="H42" s="1166"/>
      <c r="I42" s="1167"/>
      <c r="J42" s="1166"/>
      <c r="K42" s="1167"/>
      <c r="L42" s="1166"/>
      <c r="M42" s="1166"/>
      <c r="N42" s="1166"/>
      <c r="R42" s="1170"/>
      <c r="S42" s="1169"/>
      <c r="T42" s="1168"/>
      <c r="U42" s="1168"/>
      <c r="V42" s="1166"/>
      <c r="W42" s="1166"/>
      <c r="X42" s="1166"/>
      <c r="Y42" s="1166"/>
      <c r="Z42" s="1167"/>
      <c r="AA42" s="1166"/>
      <c r="AB42" s="1167"/>
      <c r="AC42" s="1166"/>
      <c r="AD42" s="1166"/>
      <c r="AE42" s="1166"/>
    </row>
    <row r="43" spans="1:31" ht="15" x14ac:dyDescent="0.2">
      <c r="A43" s="1175"/>
      <c r="B43" s="1175"/>
      <c r="C43" s="1174"/>
      <c r="D43" s="1174"/>
      <c r="E43" s="1173"/>
      <c r="F43" s="1173"/>
      <c r="G43" s="1173"/>
      <c r="H43" s="1173"/>
      <c r="I43" s="1172"/>
      <c r="J43" s="1173"/>
      <c r="K43" s="1172"/>
      <c r="L43" s="1171"/>
      <c r="M43" s="1171"/>
      <c r="N43" s="1171"/>
      <c r="R43" s="1175"/>
      <c r="S43" s="1175"/>
      <c r="T43" s="1174"/>
      <c r="U43" s="1174"/>
      <c r="V43" s="1173"/>
      <c r="W43" s="1173"/>
      <c r="X43" s="1173"/>
      <c r="Y43" s="1173"/>
      <c r="Z43" s="1172"/>
      <c r="AA43" s="1173"/>
      <c r="AB43" s="1172"/>
      <c r="AC43" s="1171"/>
      <c r="AD43" s="1171"/>
      <c r="AE43" s="1171"/>
    </row>
    <row r="44" spans="1:31" ht="15" x14ac:dyDescent="0.2">
      <c r="A44" s="1170"/>
      <c r="B44" s="1169"/>
      <c r="C44" s="1168"/>
      <c r="D44" s="1168"/>
      <c r="E44" s="1166"/>
      <c r="F44" s="1166"/>
      <c r="G44" s="1166"/>
      <c r="H44" s="1166"/>
      <c r="I44" s="1167"/>
      <c r="J44" s="1166"/>
      <c r="K44" s="1167"/>
      <c r="L44" s="1166"/>
      <c r="M44" s="1166"/>
      <c r="N44" s="1166"/>
      <c r="R44" s="1170"/>
      <c r="S44" s="1169"/>
      <c r="T44" s="1168"/>
      <c r="U44" s="1168"/>
      <c r="V44" s="1166"/>
      <c r="W44" s="1166"/>
      <c r="X44" s="1166"/>
      <c r="Y44" s="1166"/>
      <c r="Z44" s="1167"/>
      <c r="AA44" s="1166"/>
      <c r="AB44" s="1167"/>
      <c r="AC44" s="1166"/>
      <c r="AD44" s="1166"/>
      <c r="AE44" s="1166"/>
    </row>
    <row r="45" spans="1:31" ht="15" x14ac:dyDescent="0.2">
      <c r="A45" s="1175"/>
      <c r="B45" s="1175"/>
      <c r="C45" s="1174"/>
      <c r="D45" s="1174"/>
      <c r="E45" s="1173"/>
      <c r="F45" s="1173"/>
      <c r="G45" s="1173"/>
      <c r="H45" s="1173"/>
      <c r="I45" s="1172"/>
      <c r="J45" s="1173"/>
      <c r="K45" s="1172"/>
      <c r="L45" s="1171"/>
      <c r="M45" s="1171"/>
      <c r="N45" s="1171"/>
      <c r="R45" s="1175"/>
      <c r="S45" s="1175"/>
      <c r="T45" s="1174"/>
      <c r="U45" s="1174"/>
      <c r="V45" s="1173"/>
      <c r="W45" s="1173"/>
      <c r="X45" s="1173"/>
      <c r="Y45" s="1173"/>
      <c r="Z45" s="1172"/>
      <c r="AA45" s="1173"/>
      <c r="AB45" s="1172"/>
      <c r="AC45" s="1171"/>
      <c r="AD45" s="1171"/>
      <c r="AE45" s="1171"/>
    </row>
    <row r="46" spans="1:31" ht="15" x14ac:dyDescent="0.2">
      <c r="A46" s="1170"/>
      <c r="B46" s="1169"/>
      <c r="C46" s="1168"/>
      <c r="D46" s="1168"/>
      <c r="E46" s="1166"/>
      <c r="F46" s="1166"/>
      <c r="G46" s="1166"/>
      <c r="H46" s="1166"/>
      <c r="I46" s="1167"/>
      <c r="J46" s="1166"/>
      <c r="K46" s="1167"/>
      <c r="L46" s="1166"/>
      <c r="M46" s="1166"/>
      <c r="N46" s="1166"/>
      <c r="R46" s="1170"/>
      <c r="S46" s="1169"/>
      <c r="T46" s="1168"/>
      <c r="U46" s="1168"/>
      <c r="V46" s="1166"/>
      <c r="W46" s="1166"/>
      <c r="X46" s="1166"/>
      <c r="Y46" s="1166"/>
      <c r="Z46" s="1167"/>
      <c r="AA46" s="1166"/>
      <c r="AB46" s="1167"/>
      <c r="AC46" s="1166"/>
      <c r="AD46" s="1166"/>
      <c r="AE46" s="1166"/>
    </row>
    <row r="47" spans="1:31" ht="15" x14ac:dyDescent="0.2">
      <c r="A47" s="1175"/>
      <c r="B47" s="1175"/>
      <c r="C47" s="1174"/>
      <c r="D47" s="1174"/>
      <c r="E47" s="1173"/>
      <c r="F47" s="1173"/>
      <c r="G47" s="1173"/>
      <c r="H47" s="1173"/>
      <c r="I47" s="1172"/>
      <c r="J47" s="1173"/>
      <c r="K47" s="1172"/>
      <c r="L47" s="1171"/>
      <c r="M47" s="1171"/>
      <c r="N47" s="1171"/>
      <c r="R47" s="1175"/>
      <c r="S47" s="1175"/>
      <c r="T47" s="1174"/>
      <c r="U47" s="1174"/>
      <c r="V47" s="1173"/>
      <c r="W47" s="1173"/>
      <c r="X47" s="1173"/>
      <c r="Y47" s="1173"/>
      <c r="Z47" s="1172"/>
      <c r="AA47" s="1173"/>
      <c r="AB47" s="1172"/>
      <c r="AC47" s="1171"/>
      <c r="AD47" s="1171"/>
      <c r="AE47" s="1171"/>
    </row>
    <row r="48" spans="1:31" ht="15" x14ac:dyDescent="0.2">
      <c r="A48" s="1170"/>
      <c r="B48" s="1169"/>
      <c r="C48" s="1168"/>
      <c r="D48" s="1168"/>
      <c r="E48" s="1166"/>
      <c r="F48" s="1166"/>
      <c r="G48" s="1166"/>
      <c r="H48" s="1166"/>
      <c r="I48" s="1167"/>
      <c r="J48" s="1166"/>
      <c r="K48" s="1167"/>
      <c r="L48" s="1166"/>
      <c r="M48" s="1166"/>
      <c r="N48" s="1166"/>
      <c r="R48" s="1170"/>
      <c r="S48" s="1169"/>
      <c r="T48" s="1168"/>
      <c r="U48" s="1168"/>
      <c r="V48" s="1166"/>
      <c r="W48" s="1166"/>
      <c r="X48" s="1166"/>
      <c r="Y48" s="1166"/>
      <c r="Z48" s="1167"/>
      <c r="AA48" s="1166"/>
      <c r="AB48" s="1167"/>
      <c r="AC48" s="1166"/>
      <c r="AD48" s="1166"/>
      <c r="AE48" s="1166"/>
    </row>
    <row r="49" spans="1:31" ht="15" x14ac:dyDescent="0.2">
      <c r="A49" s="1175"/>
      <c r="B49" s="1175"/>
      <c r="C49" s="1174"/>
      <c r="D49" s="1174"/>
      <c r="E49" s="1173"/>
      <c r="F49" s="1173"/>
      <c r="G49" s="1173"/>
      <c r="H49" s="1173"/>
      <c r="I49" s="1172"/>
      <c r="J49" s="1173"/>
      <c r="K49" s="1172"/>
      <c r="L49" s="1171"/>
      <c r="M49" s="1171"/>
      <c r="N49" s="1171"/>
      <c r="R49" s="1175"/>
      <c r="S49" s="1175"/>
      <c r="T49" s="1174"/>
      <c r="U49" s="1174"/>
      <c r="V49" s="1173"/>
      <c r="W49" s="1173"/>
      <c r="X49" s="1173"/>
      <c r="Y49" s="1173"/>
      <c r="Z49" s="1172"/>
      <c r="AA49" s="1173"/>
      <c r="AB49" s="1172"/>
      <c r="AC49" s="1171"/>
      <c r="AD49" s="1171"/>
      <c r="AE49" s="1171"/>
    </row>
    <row r="50" spans="1:31" ht="15" x14ac:dyDescent="0.2">
      <c r="A50" s="1170"/>
      <c r="B50" s="1169"/>
      <c r="C50" s="1168"/>
      <c r="D50" s="1168"/>
      <c r="E50" s="1166"/>
      <c r="F50" s="1166"/>
      <c r="G50" s="1166"/>
      <c r="H50" s="1166"/>
      <c r="I50" s="1167"/>
      <c r="J50" s="1166"/>
      <c r="K50" s="1167"/>
      <c r="L50" s="1166"/>
      <c r="M50" s="1166"/>
      <c r="N50" s="1166"/>
      <c r="R50" s="1170"/>
      <c r="S50" s="1169"/>
      <c r="T50" s="1168"/>
      <c r="U50" s="1168"/>
      <c r="V50" s="1166"/>
      <c r="W50" s="1166"/>
      <c r="X50" s="1166"/>
      <c r="Y50" s="1166"/>
      <c r="Z50" s="1167"/>
      <c r="AA50" s="1166"/>
      <c r="AB50" s="1167"/>
      <c r="AC50" s="1166"/>
      <c r="AD50" s="1166"/>
      <c r="AE50" s="1166"/>
    </row>
    <row r="51" spans="1:31" ht="15" x14ac:dyDescent="0.2">
      <c r="A51" s="1175"/>
      <c r="B51" s="1175"/>
      <c r="C51" s="1174"/>
      <c r="D51" s="1174"/>
      <c r="E51" s="1173"/>
      <c r="F51" s="1173"/>
      <c r="G51" s="1173"/>
      <c r="H51" s="1173"/>
      <c r="I51" s="1172"/>
      <c r="J51" s="1173"/>
      <c r="K51" s="1172"/>
      <c r="L51" s="1171"/>
      <c r="M51" s="1171"/>
      <c r="N51" s="1171"/>
      <c r="R51" s="1175"/>
      <c r="S51" s="1175"/>
      <c r="T51" s="1174"/>
      <c r="U51" s="1174"/>
      <c r="V51" s="1173"/>
      <c r="W51" s="1173"/>
      <c r="X51" s="1173"/>
      <c r="Y51" s="1173"/>
      <c r="Z51" s="1172"/>
      <c r="AA51" s="1173"/>
      <c r="AB51" s="1172"/>
      <c r="AC51" s="1171"/>
      <c r="AD51" s="1171"/>
      <c r="AE51" s="1171"/>
    </row>
    <row r="52" spans="1:31" ht="15" x14ac:dyDescent="0.2">
      <c r="A52" s="1170"/>
      <c r="B52" s="1169"/>
      <c r="C52" s="1168"/>
      <c r="D52" s="1168"/>
      <c r="E52" s="1166"/>
      <c r="F52" s="1166"/>
      <c r="G52" s="1166"/>
      <c r="H52" s="1166"/>
      <c r="I52" s="1167"/>
      <c r="J52" s="1166"/>
      <c r="K52" s="1167"/>
      <c r="L52" s="1166"/>
      <c r="M52" s="1166"/>
      <c r="N52" s="1166"/>
      <c r="R52" s="1170"/>
      <c r="S52" s="1169"/>
      <c r="T52" s="1168"/>
      <c r="U52" s="1168"/>
      <c r="V52" s="1166"/>
      <c r="W52" s="1166"/>
      <c r="X52" s="1166"/>
      <c r="Y52" s="1166"/>
      <c r="Z52" s="1167"/>
      <c r="AA52" s="1166"/>
      <c r="AB52" s="1167"/>
      <c r="AC52" s="1166"/>
      <c r="AD52" s="1166"/>
      <c r="AE52" s="1166"/>
    </row>
    <row r="53" spans="1:31" ht="15" x14ac:dyDescent="0.2">
      <c r="A53" s="1175"/>
      <c r="B53" s="1175"/>
      <c r="C53" s="1174"/>
      <c r="D53" s="1174"/>
      <c r="E53" s="1173"/>
      <c r="F53" s="1173"/>
      <c r="G53" s="1173"/>
      <c r="H53" s="1173"/>
      <c r="I53" s="1172"/>
      <c r="J53" s="1173"/>
      <c r="K53" s="1172"/>
      <c r="L53" s="1171"/>
      <c r="M53" s="1171"/>
      <c r="N53" s="1171"/>
      <c r="R53" s="1175"/>
      <c r="S53" s="1175"/>
      <c r="T53" s="1174"/>
      <c r="U53" s="1174"/>
      <c r="V53" s="1173"/>
      <c r="W53" s="1173"/>
      <c r="X53" s="1173"/>
      <c r="Y53" s="1173"/>
      <c r="Z53" s="1172"/>
      <c r="AA53" s="1173"/>
      <c r="AB53" s="1172"/>
      <c r="AC53" s="1171"/>
      <c r="AD53" s="1171"/>
      <c r="AE53" s="1171"/>
    </row>
    <row r="54" spans="1:31" ht="15" x14ac:dyDescent="0.2">
      <c r="A54" s="1170"/>
      <c r="B54" s="1169"/>
      <c r="C54" s="1168"/>
      <c r="D54" s="1168"/>
      <c r="E54" s="1166"/>
      <c r="F54" s="1166"/>
      <c r="G54" s="1166"/>
      <c r="H54" s="1166"/>
      <c r="I54" s="1167"/>
      <c r="J54" s="1166"/>
      <c r="K54" s="1167"/>
      <c r="L54" s="1166"/>
      <c r="M54" s="1166"/>
      <c r="N54" s="1166"/>
      <c r="R54" s="1170"/>
      <c r="S54" s="1169"/>
      <c r="T54" s="1168"/>
      <c r="U54" s="1168"/>
      <c r="V54" s="1166"/>
      <c r="W54" s="1166"/>
      <c r="X54" s="1166"/>
      <c r="Y54" s="1166"/>
      <c r="Z54" s="1167"/>
      <c r="AA54" s="1166"/>
      <c r="AB54" s="1167"/>
      <c r="AC54" s="1166"/>
      <c r="AD54" s="1166"/>
      <c r="AE54" s="1166"/>
    </row>
    <row r="55" spans="1:31" ht="15" x14ac:dyDescent="0.2">
      <c r="A55" s="1175"/>
      <c r="B55" s="1175"/>
      <c r="C55" s="1174"/>
      <c r="D55" s="1174"/>
      <c r="E55" s="1173"/>
      <c r="F55" s="1173"/>
      <c r="G55" s="1173"/>
      <c r="H55" s="1173"/>
      <c r="I55" s="1172"/>
      <c r="J55" s="1173"/>
      <c r="K55" s="1172"/>
      <c r="L55" s="1171"/>
      <c r="M55" s="1171"/>
      <c r="N55" s="1171"/>
      <c r="R55" s="1175"/>
      <c r="S55" s="1175"/>
      <c r="T55" s="1174"/>
      <c r="U55" s="1174"/>
      <c r="V55" s="1173"/>
      <c r="W55" s="1173"/>
      <c r="X55" s="1173"/>
      <c r="Y55" s="1173"/>
      <c r="Z55" s="1172"/>
      <c r="AA55" s="1173"/>
      <c r="AB55" s="1172"/>
      <c r="AC55" s="1171"/>
      <c r="AD55" s="1171"/>
      <c r="AE55" s="1171"/>
    </row>
    <row r="56" spans="1:31" ht="15" x14ac:dyDescent="0.2">
      <c r="A56" s="1170"/>
      <c r="B56" s="1169"/>
      <c r="C56" s="1168"/>
      <c r="D56" s="1168"/>
      <c r="E56" s="1166"/>
      <c r="F56" s="1166"/>
      <c r="G56" s="1166"/>
      <c r="H56" s="1166"/>
      <c r="I56" s="1167"/>
      <c r="J56" s="1166"/>
      <c r="K56" s="1167"/>
      <c r="L56" s="1166"/>
      <c r="M56" s="1166"/>
      <c r="N56" s="1166"/>
      <c r="R56" s="1170"/>
      <c r="S56" s="1169"/>
      <c r="T56" s="1168"/>
      <c r="U56" s="1168"/>
      <c r="V56" s="1166"/>
      <c r="W56" s="1166"/>
      <c r="X56" s="1166"/>
      <c r="Y56" s="1166"/>
      <c r="Z56" s="1167"/>
      <c r="AA56" s="1166"/>
      <c r="AB56" s="1167"/>
      <c r="AC56" s="1166"/>
      <c r="AD56" s="1166"/>
      <c r="AE56" s="1166"/>
    </row>
    <row r="57" spans="1:31" ht="15" x14ac:dyDescent="0.2">
      <c r="A57" s="1175"/>
      <c r="B57" s="1175"/>
      <c r="C57" s="1174"/>
      <c r="D57" s="1174"/>
      <c r="E57" s="1173"/>
      <c r="F57" s="1173"/>
      <c r="G57" s="1173"/>
      <c r="H57" s="1173"/>
      <c r="I57" s="1172"/>
      <c r="J57" s="1173"/>
      <c r="K57" s="1172"/>
      <c r="L57" s="1171"/>
      <c r="M57" s="1171"/>
      <c r="N57" s="1171"/>
      <c r="R57" s="1175"/>
      <c r="S57" s="1175"/>
      <c r="T57" s="1174"/>
      <c r="U57" s="1174"/>
      <c r="V57" s="1173"/>
      <c r="W57" s="1173"/>
      <c r="X57" s="1173"/>
      <c r="Y57" s="1173"/>
      <c r="Z57" s="1172"/>
      <c r="AA57" s="1173"/>
      <c r="AB57" s="1172"/>
      <c r="AC57" s="1171"/>
      <c r="AD57" s="1171"/>
      <c r="AE57" s="1171"/>
    </row>
    <row r="58" spans="1:31" ht="15" x14ac:dyDescent="0.2">
      <c r="A58" s="1170"/>
      <c r="B58" s="1169"/>
      <c r="C58" s="1168"/>
      <c r="D58" s="1168"/>
      <c r="E58" s="1166"/>
      <c r="F58" s="1166"/>
      <c r="G58" s="1166"/>
      <c r="H58" s="1166"/>
      <c r="I58" s="1167"/>
      <c r="J58" s="1166"/>
      <c r="K58" s="1167"/>
      <c r="L58" s="1166"/>
      <c r="M58" s="1166"/>
      <c r="N58" s="1166"/>
      <c r="R58" s="1170"/>
      <c r="S58" s="1169"/>
      <c r="T58" s="1168"/>
      <c r="U58" s="1168"/>
      <c r="V58" s="1166"/>
      <c r="W58" s="1166"/>
      <c r="X58" s="1166"/>
      <c r="Y58" s="1166"/>
      <c r="Z58" s="1167"/>
      <c r="AA58" s="1166"/>
      <c r="AB58" s="1167"/>
      <c r="AC58" s="1166"/>
      <c r="AD58" s="1166"/>
      <c r="AE58" s="1166"/>
    </row>
    <row r="59" spans="1:31" ht="15" x14ac:dyDescent="0.2">
      <c r="A59" s="1175"/>
      <c r="B59" s="1175"/>
      <c r="C59" s="1174"/>
      <c r="D59" s="1174"/>
      <c r="E59" s="1173"/>
      <c r="F59" s="1173"/>
      <c r="G59" s="1173"/>
      <c r="H59" s="1173"/>
      <c r="I59" s="1172"/>
      <c r="J59" s="1173"/>
      <c r="K59" s="1172"/>
      <c r="L59" s="1171"/>
      <c r="M59" s="1171"/>
      <c r="N59" s="1171"/>
      <c r="R59" s="1175"/>
      <c r="S59" s="1175"/>
      <c r="T59" s="1174"/>
      <c r="U59" s="1174"/>
      <c r="V59" s="1173"/>
      <c r="W59" s="1173"/>
      <c r="X59" s="1173"/>
      <c r="Y59" s="1173"/>
      <c r="Z59" s="1172"/>
      <c r="AA59" s="1173"/>
      <c r="AB59" s="1172"/>
      <c r="AC59" s="1171"/>
      <c r="AD59" s="1171"/>
      <c r="AE59" s="1171"/>
    </row>
    <row r="60" spans="1:31" ht="15" x14ac:dyDescent="0.2">
      <c r="A60" s="1170"/>
      <c r="B60" s="1169"/>
      <c r="C60" s="1168"/>
      <c r="D60" s="1168"/>
      <c r="E60" s="1166"/>
      <c r="F60" s="1166"/>
      <c r="G60" s="1166"/>
      <c r="H60" s="1166"/>
      <c r="I60" s="1167"/>
      <c r="J60" s="1166"/>
      <c r="K60" s="1167"/>
      <c r="L60" s="1166"/>
      <c r="M60" s="1166"/>
      <c r="N60" s="1166"/>
      <c r="R60" s="1170"/>
      <c r="S60" s="1169"/>
      <c r="T60" s="1168"/>
      <c r="U60" s="1168"/>
      <c r="V60" s="1166"/>
      <c r="W60" s="1166"/>
      <c r="X60" s="1166"/>
      <c r="Y60" s="1166"/>
      <c r="Z60" s="1167"/>
      <c r="AA60" s="1166"/>
      <c r="AB60" s="1167"/>
      <c r="AC60" s="1166"/>
      <c r="AD60" s="1166"/>
      <c r="AE60" s="1166"/>
    </row>
  </sheetData>
  <autoFilter ref="A2:AE6" xr:uid="{3417FB20-76B2-4465-A50B-D197CC30CE40}"/>
  <phoneticPr fontId="154"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91B04-3710-447C-AA93-5680E6081544}">
  <sheetPr>
    <tabColor theme="3" tint="0.79998168889431442"/>
    <pageSetUpPr fitToPage="1"/>
  </sheetPr>
  <dimension ref="A1:BF864"/>
  <sheetViews>
    <sheetView showGridLines="0" topLeftCell="H7" zoomScale="70" zoomScaleNormal="70" workbookViewId="0">
      <selection activeCell="O21" sqref="O21"/>
    </sheetView>
  </sheetViews>
  <sheetFormatPr defaultColWidth="9.28515625" defaultRowHeight="16.5" outlineLevelRow="1" x14ac:dyDescent="0.3"/>
  <cols>
    <col min="1" max="1" width="9.28515625" style="1" hidden="1" customWidth="1"/>
    <col min="2" max="2" width="5.7109375" style="1" hidden="1" customWidth="1"/>
    <col min="3" max="3" width="4.28515625" style="1" hidden="1" customWidth="1"/>
    <col min="4" max="4" width="4.7109375" style="1" hidden="1" customWidth="1"/>
    <col min="5" max="5" width="5" style="1" hidden="1" customWidth="1"/>
    <col min="6" max="6" width="6.5703125" style="1" hidden="1" customWidth="1"/>
    <col min="7" max="7" width="5.5703125" style="1" hidden="1" customWidth="1"/>
    <col min="8" max="8" width="2.28515625" style="1" customWidth="1"/>
    <col min="9" max="9" width="6.5703125" style="2" customWidth="1"/>
    <col min="10" max="10" width="57.7109375" style="1" customWidth="1"/>
    <col min="11" max="11" width="18.7109375" style="3" customWidth="1"/>
    <col min="12" max="12" width="20" style="1" customWidth="1"/>
    <col min="13" max="13" width="1.42578125" style="1" customWidth="1"/>
    <col min="14" max="14" width="16.140625" style="1" customWidth="1"/>
    <col min="15" max="15" width="18.7109375" style="1" customWidth="1"/>
    <col min="16" max="20" width="15" style="1" customWidth="1"/>
    <col min="21" max="21" width="18.5703125" style="1" customWidth="1"/>
    <col min="22" max="29" width="15" style="1" customWidth="1"/>
    <col min="30" max="30" width="5.7109375" style="4" customWidth="1"/>
    <col min="31" max="31" width="17.28515625" style="4" customWidth="1"/>
    <col min="32" max="33" width="3.7109375" style="1" customWidth="1"/>
    <col min="34" max="34" width="21.28515625" style="1" customWidth="1"/>
    <col min="35" max="38" width="15.5703125" style="1" customWidth="1"/>
    <col min="39" max="39" width="3.28515625" style="1" customWidth="1"/>
    <col min="40" max="40" width="10.28515625" style="1" customWidth="1"/>
    <col min="41" max="41" width="10.85546875" style="1" customWidth="1"/>
    <col min="42" max="42" width="13.5703125" style="1" customWidth="1"/>
    <col min="43" max="43" width="3.42578125" style="1" customWidth="1"/>
    <col min="44" max="44" width="7.7109375" style="1" customWidth="1"/>
    <col min="45" max="45" width="13.7109375" style="1" customWidth="1"/>
    <col min="46" max="46" width="16.28515625" style="1" customWidth="1"/>
    <col min="47" max="51" width="7.7109375" style="1" customWidth="1"/>
    <col min="52" max="52" width="24.28515625" style="1" customWidth="1"/>
    <col min="53" max="56" width="22.28515625" style="1" customWidth="1"/>
    <col min="57" max="16384" width="9.28515625" style="1"/>
  </cols>
  <sheetData>
    <row r="1" spans="8:31" hidden="1" x14ac:dyDescent="0.3"/>
    <row r="2" spans="8:31" hidden="1" x14ac:dyDescent="0.3"/>
    <row r="3" spans="8:31" hidden="1" x14ac:dyDescent="0.3"/>
    <row r="4" spans="8:31" hidden="1" x14ac:dyDescent="0.3"/>
    <row r="5" spans="8:31" hidden="1" x14ac:dyDescent="0.3"/>
    <row r="6" spans="8:31" ht="14.65" hidden="1" customHeight="1" x14ac:dyDescent="0.3"/>
    <row r="7" spans="8:31" ht="34.9" customHeight="1" x14ac:dyDescent="0.2">
      <c r="H7" s="5"/>
      <c r="I7" s="1066" t="s">
        <v>0</v>
      </c>
      <c r="J7" s="1065"/>
      <c r="K7" s="1066" t="s">
        <v>463</v>
      </c>
      <c r="L7" s="533"/>
      <c r="N7" s="1003" t="s">
        <v>282</v>
      </c>
      <c r="O7" s="7"/>
      <c r="P7" s="7"/>
      <c r="Q7" s="7"/>
      <c r="R7" s="7"/>
      <c r="S7" s="7"/>
      <c r="U7" s="7"/>
      <c r="V7" s="6"/>
      <c r="W7" s="6"/>
      <c r="X7" s="6"/>
      <c r="Y7" s="6"/>
      <c r="Z7" s="6"/>
      <c r="AA7" s="6"/>
      <c r="AB7" s="6"/>
      <c r="AC7" s="6"/>
    </row>
    <row r="8" spans="8:31" ht="27.4" customHeight="1" x14ac:dyDescent="0.2">
      <c r="H8" s="5"/>
      <c r="J8" s="8" t="s">
        <v>279</v>
      </c>
      <c r="K8" s="9" t="s">
        <v>1</v>
      </c>
      <c r="L8" s="10" t="s">
        <v>280</v>
      </c>
      <c r="U8" s="11"/>
      <c r="V8" s="11"/>
      <c r="W8" s="12"/>
      <c r="X8" s="11"/>
      <c r="Y8" s="11"/>
      <c r="Z8" s="11"/>
      <c r="AA8" s="11"/>
      <c r="AB8" s="11"/>
      <c r="AC8" s="11"/>
    </row>
    <row r="9" spans="8:31" ht="39" customHeight="1" x14ac:dyDescent="0.2">
      <c r="H9" s="13"/>
      <c r="I9" s="13"/>
      <c r="J9" s="8" t="s">
        <v>457</v>
      </c>
      <c r="K9" s="14"/>
      <c r="L9" s="717" t="s">
        <v>443</v>
      </c>
      <c r="M9" s="13"/>
      <c r="Q9" s="13"/>
      <c r="R9" s="13"/>
      <c r="U9" s="13"/>
      <c r="V9" s="13"/>
      <c r="Y9" s="13"/>
      <c r="Z9" s="13"/>
      <c r="AA9" s="13"/>
      <c r="AB9" s="15" t="s">
        <v>2</v>
      </c>
      <c r="AC9" s="16" t="s">
        <v>3</v>
      </c>
    </row>
    <row r="10" spans="8:31" ht="56.65" customHeight="1" x14ac:dyDescent="0.2">
      <c r="J10" s="17" t="s">
        <v>4</v>
      </c>
      <c r="K10" s="18"/>
      <c r="L10" s="718" t="str">
        <f>IF(OR(L11=0,L11="",L12=0,L12=""),"WARNING: Must
 enter SOP YYYY &amp; MM below","OK, SOP date entered")</f>
        <v>OK, SOP date entered</v>
      </c>
      <c r="N10" s="534" t="str">
        <f>IF(AND(N220="OK",N221="OK",N241="OK",N255="OK",N305="OK",$K$49="OK,Fully Amortized"),"OK","Wrong")</f>
        <v>OK</v>
      </c>
      <c r="O10" s="19" t="str">
        <f t="shared" ref="O10:AC10" si="0">IF(AND(O220="OK",O221="OK",O241="OK",O255="OK",O305="OK"),"OK","Wrong")</f>
        <v>OK</v>
      </c>
      <c r="P10" s="19" t="str">
        <f t="shared" si="0"/>
        <v>OK</v>
      </c>
      <c r="Q10" s="19" t="str">
        <f t="shared" si="0"/>
        <v>OK</v>
      </c>
      <c r="R10" s="19" t="str">
        <f t="shared" si="0"/>
        <v>OK</v>
      </c>
      <c r="S10" s="19" t="str">
        <f t="shared" si="0"/>
        <v>OK</v>
      </c>
      <c r="T10" s="19" t="str">
        <f t="shared" si="0"/>
        <v>OK</v>
      </c>
      <c r="U10" s="19" t="str">
        <f t="shared" si="0"/>
        <v>OK</v>
      </c>
      <c r="V10" s="19" t="str">
        <f t="shared" si="0"/>
        <v>OK</v>
      </c>
      <c r="W10" s="19" t="str">
        <f t="shared" si="0"/>
        <v>OK</v>
      </c>
      <c r="X10" s="19" t="str">
        <f t="shared" si="0"/>
        <v>OK</v>
      </c>
      <c r="Y10" s="19" t="str">
        <f t="shared" si="0"/>
        <v>OK</v>
      </c>
      <c r="Z10" s="19" t="str">
        <f t="shared" si="0"/>
        <v>OK</v>
      </c>
      <c r="AA10" s="19" t="str">
        <f t="shared" si="0"/>
        <v>OK</v>
      </c>
      <c r="AB10" s="19" t="str">
        <f t="shared" si="0"/>
        <v>OK</v>
      </c>
      <c r="AC10" s="19" t="str">
        <f t="shared" si="0"/>
        <v>OK</v>
      </c>
    </row>
    <row r="11" spans="8:31" ht="21.4" customHeight="1" x14ac:dyDescent="0.25">
      <c r="H11" s="20"/>
      <c r="I11" s="21"/>
      <c r="J11" s="1187" t="str">
        <f>L8</f>
        <v>Currency:</v>
      </c>
      <c r="K11" s="22" t="s">
        <v>5</v>
      </c>
      <c r="L11" s="23">
        <v>2025</v>
      </c>
      <c r="N11" s="1064">
        <f>L11-1</f>
        <v>2024</v>
      </c>
      <c r="O11" s="24">
        <f>N11+1</f>
        <v>2025</v>
      </c>
      <c r="P11" s="24">
        <f t="shared" ref="P11:W11" si="1">O11+1</f>
        <v>2026</v>
      </c>
      <c r="Q11" s="24">
        <f t="shared" si="1"/>
        <v>2027</v>
      </c>
      <c r="R11" s="24">
        <f t="shared" si="1"/>
        <v>2028</v>
      </c>
      <c r="S11" s="24">
        <f t="shared" si="1"/>
        <v>2029</v>
      </c>
      <c r="T11" s="24">
        <f t="shared" si="1"/>
        <v>2030</v>
      </c>
      <c r="U11" s="24">
        <f t="shared" si="1"/>
        <v>2031</v>
      </c>
      <c r="V11" s="24">
        <f t="shared" si="1"/>
        <v>2032</v>
      </c>
      <c r="W11" s="24">
        <f t="shared" si="1"/>
        <v>2033</v>
      </c>
      <c r="X11" s="24">
        <f>IF(W11=0,0,W11+1)</f>
        <v>2034</v>
      </c>
      <c r="Y11" s="24">
        <f t="shared" ref="Y11:AC11" si="2">IF(X11=0,0,X11+1)</f>
        <v>2035</v>
      </c>
      <c r="Z11" s="24">
        <f t="shared" si="2"/>
        <v>2036</v>
      </c>
      <c r="AA11" s="24">
        <f t="shared" si="2"/>
        <v>2037</v>
      </c>
      <c r="AB11" s="24">
        <f t="shared" si="2"/>
        <v>2038</v>
      </c>
      <c r="AC11" s="25">
        <f t="shared" si="2"/>
        <v>2039</v>
      </c>
      <c r="AD11" s="1"/>
      <c r="AE11" s="1"/>
    </row>
    <row r="12" spans="8:31" ht="21.4" customHeight="1" x14ac:dyDescent="0.3">
      <c r="H12" s="20"/>
      <c r="I12" s="26"/>
      <c r="J12" s="1187"/>
      <c r="K12" s="27" t="s">
        <v>6</v>
      </c>
      <c r="L12" s="28">
        <v>6</v>
      </c>
      <c r="N12" s="426" t="s">
        <v>281</v>
      </c>
      <c r="O12" s="29" t="str">
        <f>N12</f>
        <v>Calendar Year</v>
      </c>
      <c r="P12" s="29" t="str">
        <f t="shared" ref="P12:AC12" si="3">O12</f>
        <v>Calendar Year</v>
      </c>
      <c r="Q12" s="29" t="str">
        <f t="shared" si="3"/>
        <v>Calendar Year</v>
      </c>
      <c r="R12" s="29" t="str">
        <f t="shared" si="3"/>
        <v>Calendar Year</v>
      </c>
      <c r="S12" s="29" t="str">
        <f t="shared" si="3"/>
        <v>Calendar Year</v>
      </c>
      <c r="T12" s="29" t="str">
        <f t="shared" si="3"/>
        <v>Calendar Year</v>
      </c>
      <c r="U12" s="29" t="str">
        <f t="shared" si="3"/>
        <v>Calendar Year</v>
      </c>
      <c r="V12" s="29" t="str">
        <f t="shared" si="3"/>
        <v>Calendar Year</v>
      </c>
      <c r="W12" s="29" t="str">
        <f t="shared" si="3"/>
        <v>Calendar Year</v>
      </c>
      <c r="X12" s="29" t="str">
        <f t="shared" si="3"/>
        <v>Calendar Year</v>
      </c>
      <c r="Y12" s="29" t="str">
        <f t="shared" si="3"/>
        <v>Calendar Year</v>
      </c>
      <c r="Z12" s="29" t="str">
        <f t="shared" si="3"/>
        <v>Calendar Year</v>
      </c>
      <c r="AA12" s="29" t="str">
        <f t="shared" si="3"/>
        <v>Calendar Year</v>
      </c>
      <c r="AB12" s="29" t="str">
        <f t="shared" si="3"/>
        <v>Calendar Year</v>
      </c>
      <c r="AC12" s="30" t="str">
        <f t="shared" si="3"/>
        <v>Calendar Year</v>
      </c>
      <c r="AD12" s="17"/>
      <c r="AE12" s="1"/>
    </row>
    <row r="13" spans="8:31" ht="17.25" thickBot="1" x14ac:dyDescent="0.35">
      <c r="AD13" s="1"/>
      <c r="AE13" s="1"/>
    </row>
    <row r="14" spans="8:31" ht="21.75" customHeight="1" x14ac:dyDescent="0.25">
      <c r="H14" s="31"/>
      <c r="I14" s="32">
        <v>1</v>
      </c>
      <c r="J14" s="33" t="s">
        <v>7</v>
      </c>
      <c r="K14" s="33"/>
      <c r="L14" s="34" t="s">
        <v>8</v>
      </c>
      <c r="N14" s="35"/>
      <c r="O14" s="36"/>
      <c r="P14" s="36"/>
      <c r="Q14" s="36"/>
      <c r="R14" s="36"/>
      <c r="S14" s="36"/>
      <c r="T14" s="36"/>
      <c r="U14" s="36"/>
      <c r="V14" s="36"/>
      <c r="W14" s="36"/>
      <c r="X14" s="36"/>
      <c r="Y14" s="36"/>
      <c r="Z14" s="36"/>
      <c r="AA14" s="36"/>
      <c r="AB14" s="36"/>
      <c r="AC14" s="37"/>
      <c r="AD14" s="1"/>
      <c r="AE14" s="1"/>
    </row>
    <row r="15" spans="8:31" ht="21.75" customHeight="1" x14ac:dyDescent="0.4">
      <c r="H15" s="31"/>
      <c r="I15" s="38" t="s">
        <v>9</v>
      </c>
      <c r="J15" s="39" t="s">
        <v>10</v>
      </c>
      <c r="K15" s="31"/>
      <c r="L15" s="40" t="s">
        <v>11</v>
      </c>
      <c r="N15" s="41"/>
      <c r="O15" s="42"/>
      <c r="P15" s="42"/>
      <c r="Q15" s="42"/>
      <c r="R15" s="42"/>
      <c r="S15" s="42"/>
      <c r="T15" s="42"/>
      <c r="U15" s="42"/>
      <c r="V15" s="42"/>
      <c r="W15" s="42"/>
      <c r="X15" s="42"/>
      <c r="Y15" s="42"/>
      <c r="Z15" s="42"/>
      <c r="AA15" s="42"/>
      <c r="AB15" s="42"/>
      <c r="AC15" s="43"/>
      <c r="AD15" s="1"/>
      <c r="AE15" s="1"/>
    </row>
    <row r="16" spans="8:31" ht="17.25" thickBot="1" x14ac:dyDescent="0.35">
      <c r="H16" s="31"/>
      <c r="I16" s="38"/>
      <c r="J16" s="44" t="s">
        <v>12</v>
      </c>
      <c r="K16" s="45" t="str">
        <f>"Years of Rev: "&amp;COUNTIF(N16:AC16,"&gt;0")&amp;" yrs"</f>
        <v>Years of Rev: 0 yrs</v>
      </c>
      <c r="L16" s="720">
        <f>SUM(N16:AC16)</f>
        <v>0</v>
      </c>
      <c r="M16" s="721"/>
      <c r="N16" s="722">
        <f t="shared" ref="N16:AC16" si="4">N118</f>
        <v>0</v>
      </c>
      <c r="O16" s="723">
        <f t="shared" si="4"/>
        <v>0</v>
      </c>
      <c r="P16" s="723">
        <f t="shared" si="4"/>
        <v>0</v>
      </c>
      <c r="Q16" s="723">
        <f t="shared" si="4"/>
        <v>0</v>
      </c>
      <c r="R16" s="723">
        <f t="shared" si="4"/>
        <v>0</v>
      </c>
      <c r="S16" s="723">
        <f t="shared" si="4"/>
        <v>0</v>
      </c>
      <c r="T16" s="723">
        <f t="shared" si="4"/>
        <v>0</v>
      </c>
      <c r="U16" s="723">
        <f t="shared" si="4"/>
        <v>0</v>
      </c>
      <c r="V16" s="723">
        <f t="shared" si="4"/>
        <v>0</v>
      </c>
      <c r="W16" s="723">
        <f t="shared" si="4"/>
        <v>0</v>
      </c>
      <c r="X16" s="723">
        <f t="shared" si="4"/>
        <v>0</v>
      </c>
      <c r="Y16" s="723">
        <f t="shared" si="4"/>
        <v>0</v>
      </c>
      <c r="Z16" s="723">
        <f t="shared" si="4"/>
        <v>0</v>
      </c>
      <c r="AA16" s="723">
        <f t="shared" si="4"/>
        <v>0</v>
      </c>
      <c r="AB16" s="723">
        <f t="shared" si="4"/>
        <v>0</v>
      </c>
      <c r="AC16" s="724">
        <f t="shared" si="4"/>
        <v>0</v>
      </c>
      <c r="AD16" s="1"/>
      <c r="AE16" s="1"/>
    </row>
    <row r="17" spans="8:34" s="50" customFormat="1" thickTop="1" x14ac:dyDescent="0.25">
      <c r="H17" s="46"/>
      <c r="I17" s="47"/>
      <c r="J17" s="48" t="s">
        <v>13</v>
      </c>
      <c r="K17" s="47"/>
      <c r="L17" s="49">
        <f>K125</f>
        <v>0</v>
      </c>
      <c r="N17" s="51">
        <f>N125</f>
        <v>0</v>
      </c>
      <c r="O17" s="52">
        <f t="shared" ref="O17:AC17" si="5">O125</f>
        <v>0</v>
      </c>
      <c r="P17" s="52">
        <f t="shared" si="5"/>
        <v>0</v>
      </c>
      <c r="Q17" s="52">
        <f t="shared" si="5"/>
        <v>0</v>
      </c>
      <c r="R17" s="52">
        <f t="shared" si="5"/>
        <v>0</v>
      </c>
      <c r="S17" s="52">
        <f t="shared" si="5"/>
        <v>0</v>
      </c>
      <c r="T17" s="52">
        <f t="shared" si="5"/>
        <v>0</v>
      </c>
      <c r="U17" s="52">
        <f t="shared" si="5"/>
        <v>0</v>
      </c>
      <c r="V17" s="52">
        <f t="shared" si="5"/>
        <v>0</v>
      </c>
      <c r="W17" s="52">
        <f t="shared" si="5"/>
        <v>0</v>
      </c>
      <c r="X17" s="52">
        <f t="shared" si="5"/>
        <v>0</v>
      </c>
      <c r="Y17" s="52">
        <f t="shared" si="5"/>
        <v>0</v>
      </c>
      <c r="Z17" s="52">
        <f t="shared" si="5"/>
        <v>0</v>
      </c>
      <c r="AA17" s="52">
        <f t="shared" si="5"/>
        <v>0</v>
      </c>
      <c r="AB17" s="52">
        <f t="shared" si="5"/>
        <v>0</v>
      </c>
      <c r="AC17" s="53">
        <f t="shared" si="5"/>
        <v>0</v>
      </c>
    </row>
    <row r="18" spans="8:34" ht="15.75" x14ac:dyDescent="0.25">
      <c r="H18" s="31"/>
      <c r="I18" s="38"/>
      <c r="J18" s="54" t="s">
        <v>14</v>
      </c>
      <c r="K18" s="38"/>
      <c r="L18" s="725">
        <f>SUM(N18:AC18)</f>
        <v>0</v>
      </c>
      <c r="M18" s="726"/>
      <c r="N18" s="727">
        <f>N153</f>
        <v>0</v>
      </c>
      <c r="O18" s="728">
        <f t="shared" ref="O18:AC18" si="6">O153</f>
        <v>0</v>
      </c>
      <c r="P18" s="728">
        <f t="shared" si="6"/>
        <v>0</v>
      </c>
      <c r="Q18" s="728">
        <f t="shared" si="6"/>
        <v>0</v>
      </c>
      <c r="R18" s="728">
        <f t="shared" si="6"/>
        <v>0</v>
      </c>
      <c r="S18" s="728">
        <f t="shared" si="6"/>
        <v>0</v>
      </c>
      <c r="T18" s="728">
        <f t="shared" si="6"/>
        <v>0</v>
      </c>
      <c r="U18" s="728">
        <f t="shared" si="6"/>
        <v>0</v>
      </c>
      <c r="V18" s="728">
        <f t="shared" si="6"/>
        <v>0</v>
      </c>
      <c r="W18" s="728">
        <f t="shared" si="6"/>
        <v>0</v>
      </c>
      <c r="X18" s="728">
        <f t="shared" si="6"/>
        <v>0</v>
      </c>
      <c r="Y18" s="728">
        <f t="shared" si="6"/>
        <v>0</v>
      </c>
      <c r="Z18" s="728">
        <f t="shared" si="6"/>
        <v>0</v>
      </c>
      <c r="AA18" s="728">
        <f t="shared" si="6"/>
        <v>0</v>
      </c>
      <c r="AB18" s="728">
        <f t="shared" si="6"/>
        <v>0</v>
      </c>
      <c r="AC18" s="729">
        <f t="shared" si="6"/>
        <v>0</v>
      </c>
      <c r="AD18" s="1"/>
      <c r="AE18" s="1"/>
    </row>
    <row r="19" spans="8:34" ht="15.75" x14ac:dyDescent="0.25">
      <c r="H19" s="31"/>
      <c r="I19" s="38"/>
      <c r="J19" s="54" t="s">
        <v>15</v>
      </c>
      <c r="K19" s="38"/>
      <c r="L19" s="58">
        <f>IFERROR(L18/L$16,0)</f>
        <v>0</v>
      </c>
      <c r="N19" s="59">
        <f>IFERROR(N18/N16,)</f>
        <v>0</v>
      </c>
      <c r="O19" s="60">
        <f t="shared" ref="O19:AC19" si="7">IFERROR(O18/O16,)</f>
        <v>0</v>
      </c>
      <c r="P19" s="60">
        <f t="shared" si="7"/>
        <v>0</v>
      </c>
      <c r="Q19" s="60">
        <f t="shared" si="7"/>
        <v>0</v>
      </c>
      <c r="R19" s="60">
        <f t="shared" si="7"/>
        <v>0</v>
      </c>
      <c r="S19" s="60">
        <f t="shared" si="7"/>
        <v>0</v>
      </c>
      <c r="T19" s="60">
        <f t="shared" si="7"/>
        <v>0</v>
      </c>
      <c r="U19" s="60">
        <f t="shared" si="7"/>
        <v>0</v>
      </c>
      <c r="V19" s="60">
        <f t="shared" si="7"/>
        <v>0</v>
      </c>
      <c r="W19" s="60">
        <f t="shared" si="7"/>
        <v>0</v>
      </c>
      <c r="X19" s="60">
        <f t="shared" si="7"/>
        <v>0</v>
      </c>
      <c r="Y19" s="60">
        <f t="shared" si="7"/>
        <v>0</v>
      </c>
      <c r="Z19" s="60">
        <f t="shared" si="7"/>
        <v>0</v>
      </c>
      <c r="AA19" s="60">
        <f t="shared" si="7"/>
        <v>0</v>
      </c>
      <c r="AB19" s="60">
        <f t="shared" si="7"/>
        <v>0</v>
      </c>
      <c r="AC19" s="61">
        <f t="shared" si="7"/>
        <v>0</v>
      </c>
      <c r="AD19" s="1"/>
      <c r="AE19" s="1"/>
    </row>
    <row r="20" spans="8:34" ht="15.75" x14ac:dyDescent="0.25">
      <c r="H20" s="31"/>
      <c r="I20" s="38"/>
      <c r="J20" s="44" t="s">
        <v>16</v>
      </c>
      <c r="K20" s="38"/>
      <c r="L20" s="730">
        <f>SUM(N20:AC20)</f>
        <v>0</v>
      </c>
      <c r="M20" s="726"/>
      <c r="N20" s="731">
        <f>N162</f>
        <v>0</v>
      </c>
      <c r="O20" s="732">
        <f t="shared" ref="O20:AC20" si="8">O162</f>
        <v>0</v>
      </c>
      <c r="P20" s="732">
        <f t="shared" si="8"/>
        <v>0</v>
      </c>
      <c r="Q20" s="732">
        <f t="shared" si="8"/>
        <v>0</v>
      </c>
      <c r="R20" s="732">
        <f t="shared" si="8"/>
        <v>0</v>
      </c>
      <c r="S20" s="732">
        <f t="shared" si="8"/>
        <v>0</v>
      </c>
      <c r="T20" s="732">
        <f t="shared" si="8"/>
        <v>0</v>
      </c>
      <c r="U20" s="732">
        <f t="shared" si="8"/>
        <v>0</v>
      </c>
      <c r="V20" s="732">
        <f t="shared" si="8"/>
        <v>0</v>
      </c>
      <c r="W20" s="732">
        <f t="shared" si="8"/>
        <v>0</v>
      </c>
      <c r="X20" s="732">
        <f t="shared" si="8"/>
        <v>0</v>
      </c>
      <c r="Y20" s="732">
        <f t="shared" si="8"/>
        <v>0</v>
      </c>
      <c r="Z20" s="732">
        <f t="shared" si="8"/>
        <v>0</v>
      </c>
      <c r="AA20" s="732">
        <f t="shared" si="8"/>
        <v>0</v>
      </c>
      <c r="AB20" s="732">
        <f t="shared" si="8"/>
        <v>0</v>
      </c>
      <c r="AC20" s="733">
        <f t="shared" si="8"/>
        <v>0</v>
      </c>
      <c r="AD20" s="1"/>
      <c r="AE20" s="1"/>
    </row>
    <row r="21" spans="8:34" ht="15.75" x14ac:dyDescent="0.25">
      <c r="H21" s="31"/>
      <c r="I21" s="38"/>
      <c r="J21" s="566" t="s">
        <v>423</v>
      </c>
      <c r="K21" s="38"/>
      <c r="L21" s="62">
        <f>IFERROR(L20/(L16+K139),0)</f>
        <v>0</v>
      </c>
      <c r="N21" s="63">
        <f>IFERROR(N20/(N16+N139),0)</f>
        <v>0</v>
      </c>
      <c r="O21" s="64">
        <f t="shared" ref="O21:AC21" si="9">IFERROR(O20/(O16+O139),0)</f>
        <v>0</v>
      </c>
      <c r="P21" s="64">
        <f t="shared" si="9"/>
        <v>0</v>
      </c>
      <c r="Q21" s="64">
        <f t="shared" si="9"/>
        <v>0</v>
      </c>
      <c r="R21" s="64">
        <f t="shared" si="9"/>
        <v>0</v>
      </c>
      <c r="S21" s="64">
        <f t="shared" si="9"/>
        <v>0</v>
      </c>
      <c r="T21" s="64">
        <f t="shared" si="9"/>
        <v>0</v>
      </c>
      <c r="U21" s="64">
        <f t="shared" si="9"/>
        <v>0</v>
      </c>
      <c r="V21" s="64">
        <f t="shared" si="9"/>
        <v>0</v>
      </c>
      <c r="W21" s="64">
        <f t="shared" si="9"/>
        <v>0</v>
      </c>
      <c r="X21" s="64">
        <f t="shared" si="9"/>
        <v>0</v>
      </c>
      <c r="Y21" s="64">
        <f t="shared" si="9"/>
        <v>0</v>
      </c>
      <c r="Z21" s="64">
        <f t="shared" si="9"/>
        <v>0</v>
      </c>
      <c r="AA21" s="64">
        <f t="shared" si="9"/>
        <v>0</v>
      </c>
      <c r="AB21" s="64">
        <f t="shared" si="9"/>
        <v>0</v>
      </c>
      <c r="AC21" s="65">
        <f t="shared" si="9"/>
        <v>0</v>
      </c>
      <c r="AD21" s="1"/>
      <c r="AE21" s="1"/>
    </row>
    <row r="22" spans="8:34" ht="15.75" x14ac:dyDescent="0.25">
      <c r="H22" s="31"/>
      <c r="I22" s="38"/>
      <c r="J22" s="538" t="s">
        <v>424</v>
      </c>
      <c r="K22" s="734"/>
      <c r="L22" s="539">
        <f>K166</f>
        <v>0</v>
      </c>
      <c r="M22" s="633"/>
      <c r="N22" s="540">
        <f>N166</f>
        <v>0</v>
      </c>
      <c r="O22" s="541">
        <f t="shared" ref="O22:AC22" si="10">O166</f>
        <v>0</v>
      </c>
      <c r="P22" s="541">
        <f t="shared" si="10"/>
        <v>0</v>
      </c>
      <c r="Q22" s="541">
        <f t="shared" si="10"/>
        <v>0</v>
      </c>
      <c r="R22" s="541">
        <f t="shared" si="10"/>
        <v>0</v>
      </c>
      <c r="S22" s="541">
        <f t="shared" si="10"/>
        <v>0</v>
      </c>
      <c r="T22" s="541">
        <f t="shared" si="10"/>
        <v>0</v>
      </c>
      <c r="U22" s="541">
        <f t="shared" si="10"/>
        <v>0</v>
      </c>
      <c r="V22" s="541">
        <f t="shared" si="10"/>
        <v>0</v>
      </c>
      <c r="W22" s="541">
        <f t="shared" si="10"/>
        <v>0</v>
      </c>
      <c r="X22" s="541">
        <f t="shared" si="10"/>
        <v>0</v>
      </c>
      <c r="Y22" s="541">
        <f t="shared" si="10"/>
        <v>0</v>
      </c>
      <c r="Z22" s="541">
        <f t="shared" si="10"/>
        <v>0</v>
      </c>
      <c r="AA22" s="541">
        <f t="shared" si="10"/>
        <v>0</v>
      </c>
      <c r="AB22" s="541">
        <f t="shared" si="10"/>
        <v>0</v>
      </c>
      <c r="AC22" s="542">
        <f t="shared" si="10"/>
        <v>0</v>
      </c>
      <c r="AD22" s="1"/>
      <c r="AE22" s="1"/>
    </row>
    <row r="23" spans="8:34" s="543" customFormat="1" ht="20.25" customHeight="1" thickBot="1" x14ac:dyDescent="0.3">
      <c r="H23" s="535"/>
      <c r="I23" s="536"/>
      <c r="J23" s="535" t="s">
        <v>17</v>
      </c>
      <c r="K23" s="38"/>
      <c r="L23" s="735">
        <f>SUM(N23:AC23)</f>
        <v>0</v>
      </c>
      <c r="M23" s="726"/>
      <c r="N23" s="736">
        <f t="shared" ref="N23:AC23" si="11">N324</f>
        <v>0</v>
      </c>
      <c r="O23" s="737">
        <f t="shared" si="11"/>
        <v>0</v>
      </c>
      <c r="P23" s="737">
        <f t="shared" si="11"/>
        <v>0</v>
      </c>
      <c r="Q23" s="737">
        <f t="shared" si="11"/>
        <v>0</v>
      </c>
      <c r="R23" s="737">
        <f t="shared" si="11"/>
        <v>0</v>
      </c>
      <c r="S23" s="737">
        <f t="shared" si="11"/>
        <v>0</v>
      </c>
      <c r="T23" s="737">
        <f t="shared" si="11"/>
        <v>0</v>
      </c>
      <c r="U23" s="737">
        <f t="shared" si="11"/>
        <v>0</v>
      </c>
      <c r="V23" s="737">
        <f t="shared" si="11"/>
        <v>0</v>
      </c>
      <c r="W23" s="737">
        <f t="shared" si="11"/>
        <v>0</v>
      </c>
      <c r="X23" s="737">
        <f t="shared" si="11"/>
        <v>0</v>
      </c>
      <c r="Y23" s="737">
        <f t="shared" si="11"/>
        <v>0</v>
      </c>
      <c r="Z23" s="737">
        <f t="shared" si="11"/>
        <v>0</v>
      </c>
      <c r="AA23" s="737">
        <f t="shared" si="11"/>
        <v>0</v>
      </c>
      <c r="AB23" s="737">
        <f t="shared" si="11"/>
        <v>0</v>
      </c>
      <c r="AC23" s="738">
        <f t="shared" si="11"/>
        <v>0</v>
      </c>
    </row>
    <row r="24" spans="8:34" s="543" customFormat="1" ht="20.25" customHeight="1" x14ac:dyDescent="0.3">
      <c r="H24" s="535"/>
      <c r="I24" s="536"/>
      <c r="J24" s="544" t="s">
        <v>374</v>
      </c>
      <c r="K24" s="45" t="str">
        <f>"Useful Life@"&amp;ROUND(L94,2)&amp;"yrs"</f>
        <v>Useful Life@8yrs</v>
      </c>
      <c r="L24" s="739">
        <f>SUM(N24:AC24)</f>
        <v>0</v>
      </c>
      <c r="M24" s="726"/>
      <c r="N24" s="740">
        <f>N70</f>
        <v>0</v>
      </c>
      <c r="O24" s="741">
        <f t="shared" ref="O24:AC24" si="12">O70</f>
        <v>0</v>
      </c>
      <c r="P24" s="741">
        <f t="shared" si="12"/>
        <v>0</v>
      </c>
      <c r="Q24" s="741">
        <f t="shared" si="12"/>
        <v>0</v>
      </c>
      <c r="R24" s="741">
        <f t="shared" si="12"/>
        <v>0</v>
      </c>
      <c r="S24" s="741">
        <f t="shared" si="12"/>
        <v>0</v>
      </c>
      <c r="T24" s="741">
        <f t="shared" si="12"/>
        <v>0</v>
      </c>
      <c r="U24" s="741">
        <f t="shared" si="12"/>
        <v>0</v>
      </c>
      <c r="V24" s="741">
        <f t="shared" si="12"/>
        <v>0</v>
      </c>
      <c r="W24" s="741">
        <f t="shared" si="12"/>
        <v>0</v>
      </c>
      <c r="X24" s="741">
        <f t="shared" si="12"/>
        <v>0</v>
      </c>
      <c r="Y24" s="741">
        <f t="shared" si="12"/>
        <v>0</v>
      </c>
      <c r="Z24" s="741">
        <f t="shared" si="12"/>
        <v>0</v>
      </c>
      <c r="AA24" s="741">
        <f t="shared" si="12"/>
        <v>0</v>
      </c>
      <c r="AB24" s="741">
        <f t="shared" si="12"/>
        <v>0</v>
      </c>
      <c r="AC24" s="742">
        <f t="shared" si="12"/>
        <v>0</v>
      </c>
    </row>
    <row r="25" spans="8:34" s="543" customFormat="1" ht="20.25" customHeight="1" thickBot="1" x14ac:dyDescent="0.3">
      <c r="H25" s="535"/>
      <c r="I25" s="536"/>
      <c r="J25" s="544" t="s">
        <v>375</v>
      </c>
      <c r="K25" s="38"/>
      <c r="L25" s="743">
        <f>SUM(N25:AC25)</f>
        <v>0</v>
      </c>
      <c r="M25" s="726"/>
      <c r="N25" s="744">
        <f>SUM(N73,N74)</f>
        <v>0</v>
      </c>
      <c r="O25" s="745">
        <f t="shared" ref="O25:AC25" si="13">SUM(O73,O74)</f>
        <v>0</v>
      </c>
      <c r="P25" s="745">
        <f t="shared" si="13"/>
        <v>0</v>
      </c>
      <c r="Q25" s="745">
        <f t="shared" si="13"/>
        <v>0</v>
      </c>
      <c r="R25" s="745">
        <f t="shared" si="13"/>
        <v>0</v>
      </c>
      <c r="S25" s="745">
        <f t="shared" si="13"/>
        <v>0</v>
      </c>
      <c r="T25" s="745">
        <f t="shared" si="13"/>
        <v>0</v>
      </c>
      <c r="U25" s="745">
        <f t="shared" si="13"/>
        <v>0</v>
      </c>
      <c r="V25" s="745">
        <f t="shared" si="13"/>
        <v>0</v>
      </c>
      <c r="W25" s="745">
        <f t="shared" si="13"/>
        <v>0</v>
      </c>
      <c r="X25" s="745">
        <f t="shared" si="13"/>
        <v>0</v>
      </c>
      <c r="Y25" s="745">
        <f t="shared" si="13"/>
        <v>0</v>
      </c>
      <c r="Z25" s="745">
        <f t="shared" si="13"/>
        <v>0</v>
      </c>
      <c r="AA25" s="745">
        <f t="shared" si="13"/>
        <v>0</v>
      </c>
      <c r="AB25" s="745">
        <f t="shared" si="13"/>
        <v>0</v>
      </c>
      <c r="AC25" s="746">
        <f t="shared" si="13"/>
        <v>0</v>
      </c>
    </row>
    <row r="26" spans="8:34" s="66" customFormat="1" ht="20.25" customHeight="1" x14ac:dyDescent="0.25">
      <c r="H26" s="31"/>
      <c r="I26" s="38"/>
      <c r="J26" s="72" t="str">
        <f>IF(L75&gt;0,"Annual Funding Gap (including IC asset transfer)","Annual Funding Gap")</f>
        <v>Annual Funding Gap</v>
      </c>
      <c r="K26" s="38"/>
      <c r="L26" s="747">
        <f>SUM(N26:AC26)</f>
        <v>0</v>
      </c>
      <c r="M26" s="726"/>
      <c r="N26" s="740">
        <f>-N65</f>
        <v>0</v>
      </c>
      <c r="O26" s="741">
        <f t="shared" ref="O26:AC26" si="14">-O65</f>
        <v>0</v>
      </c>
      <c r="P26" s="741">
        <f t="shared" si="14"/>
        <v>0</v>
      </c>
      <c r="Q26" s="741">
        <f t="shared" si="14"/>
        <v>0</v>
      </c>
      <c r="R26" s="741">
        <f t="shared" si="14"/>
        <v>0</v>
      </c>
      <c r="S26" s="741">
        <f t="shared" si="14"/>
        <v>0</v>
      </c>
      <c r="T26" s="741">
        <f t="shared" si="14"/>
        <v>0</v>
      </c>
      <c r="U26" s="741">
        <f t="shared" si="14"/>
        <v>0</v>
      </c>
      <c r="V26" s="741">
        <f t="shared" si="14"/>
        <v>0</v>
      </c>
      <c r="W26" s="741">
        <f t="shared" si="14"/>
        <v>0</v>
      </c>
      <c r="X26" s="741">
        <f t="shared" si="14"/>
        <v>0</v>
      </c>
      <c r="Y26" s="741">
        <f t="shared" si="14"/>
        <v>0</v>
      </c>
      <c r="Z26" s="741">
        <f t="shared" si="14"/>
        <v>0</v>
      </c>
      <c r="AA26" s="741">
        <f t="shared" si="14"/>
        <v>0</v>
      </c>
      <c r="AB26" s="741">
        <f t="shared" si="14"/>
        <v>0</v>
      </c>
      <c r="AC26" s="742">
        <f t="shared" si="14"/>
        <v>0</v>
      </c>
    </row>
    <row r="27" spans="8:34" s="66" customFormat="1" ht="19.5" customHeight="1" thickBot="1" x14ac:dyDescent="0.3">
      <c r="H27" s="31"/>
      <c r="I27" s="38"/>
      <c r="J27" s="72" t="str">
        <f>IF(L75&gt;0,"Peak Funding Gap (including IC asset transfer)","Peak Funding Gap")</f>
        <v>Peak Funding Gap</v>
      </c>
      <c r="K27" s="38"/>
      <c r="L27" s="748">
        <f>MIN(N27:AC27)</f>
        <v>0</v>
      </c>
      <c r="M27" s="726"/>
      <c r="N27" s="744">
        <f>N274</f>
        <v>0</v>
      </c>
      <c r="O27" s="745">
        <f t="shared" ref="O27:AC27" si="15">O274</f>
        <v>0</v>
      </c>
      <c r="P27" s="745">
        <f t="shared" si="15"/>
        <v>0</v>
      </c>
      <c r="Q27" s="745">
        <f t="shared" si="15"/>
        <v>0</v>
      </c>
      <c r="R27" s="745">
        <f t="shared" si="15"/>
        <v>0</v>
      </c>
      <c r="S27" s="745">
        <f t="shared" si="15"/>
        <v>0</v>
      </c>
      <c r="T27" s="745">
        <f t="shared" si="15"/>
        <v>0</v>
      </c>
      <c r="U27" s="745">
        <f t="shared" si="15"/>
        <v>0</v>
      </c>
      <c r="V27" s="745">
        <f t="shared" si="15"/>
        <v>0</v>
      </c>
      <c r="W27" s="745">
        <f t="shared" si="15"/>
        <v>0</v>
      </c>
      <c r="X27" s="745">
        <f t="shared" si="15"/>
        <v>0</v>
      </c>
      <c r="Y27" s="745">
        <f t="shared" si="15"/>
        <v>0</v>
      </c>
      <c r="Z27" s="745">
        <f t="shared" si="15"/>
        <v>0</v>
      </c>
      <c r="AA27" s="745">
        <f t="shared" si="15"/>
        <v>0</v>
      </c>
      <c r="AB27" s="745">
        <f t="shared" si="15"/>
        <v>0</v>
      </c>
      <c r="AC27" s="746">
        <f t="shared" si="15"/>
        <v>0</v>
      </c>
    </row>
    <row r="28" spans="8:34" ht="10.5" customHeight="1" x14ac:dyDescent="0.2">
      <c r="I28" s="1"/>
      <c r="K28" s="1"/>
      <c r="AD28" s="1"/>
      <c r="AE28" s="1"/>
    </row>
    <row r="29" spans="8:34" ht="17.649999999999999" customHeight="1" outlineLevel="1" x14ac:dyDescent="0.4">
      <c r="I29" s="1"/>
      <c r="J29" s="73" t="s">
        <v>18</v>
      </c>
      <c r="K29" s="1"/>
      <c r="AD29" s="1"/>
      <c r="AE29" s="1"/>
    </row>
    <row r="30" spans="8:34" s="76" customFormat="1" outlineLevel="1" x14ac:dyDescent="0.3">
      <c r="H30" s="31"/>
      <c r="I30" s="38"/>
      <c r="J30" s="74" t="s">
        <v>19</v>
      </c>
      <c r="K30" s="75" t="s">
        <v>20</v>
      </c>
      <c r="L30" s="867">
        <f>SUM(N30:AC30)</f>
        <v>0</v>
      </c>
      <c r="M30" s="868"/>
      <c r="N30" s="869">
        <f t="shared" ref="N30:AC30" si="16">SUM(N123,N132)</f>
        <v>0</v>
      </c>
      <c r="O30" s="870">
        <f t="shared" si="16"/>
        <v>0</v>
      </c>
      <c r="P30" s="870">
        <f t="shared" si="16"/>
        <v>0</v>
      </c>
      <c r="Q30" s="870">
        <f t="shared" si="16"/>
        <v>0</v>
      </c>
      <c r="R30" s="870">
        <f t="shared" si="16"/>
        <v>0</v>
      </c>
      <c r="S30" s="870">
        <f t="shared" si="16"/>
        <v>0</v>
      </c>
      <c r="T30" s="870">
        <f t="shared" si="16"/>
        <v>0</v>
      </c>
      <c r="U30" s="870">
        <f t="shared" si="16"/>
        <v>0</v>
      </c>
      <c r="V30" s="870">
        <f t="shared" si="16"/>
        <v>0</v>
      </c>
      <c r="W30" s="870">
        <f t="shared" si="16"/>
        <v>0</v>
      </c>
      <c r="X30" s="870">
        <f t="shared" si="16"/>
        <v>0</v>
      </c>
      <c r="Y30" s="870">
        <f t="shared" si="16"/>
        <v>0</v>
      </c>
      <c r="Z30" s="870">
        <f t="shared" si="16"/>
        <v>0</v>
      </c>
      <c r="AA30" s="870">
        <f t="shared" si="16"/>
        <v>0</v>
      </c>
      <c r="AB30" s="870">
        <f t="shared" si="16"/>
        <v>0</v>
      </c>
      <c r="AC30" s="871">
        <f t="shared" si="16"/>
        <v>0</v>
      </c>
    </row>
    <row r="31" spans="8:34" s="76" customFormat="1" ht="19.899999999999999" customHeight="1" outlineLevel="1" x14ac:dyDescent="0.3">
      <c r="H31" s="31"/>
      <c r="I31" s="38"/>
      <c r="J31" s="77" t="s">
        <v>21</v>
      </c>
      <c r="K31" s="75" t="str">
        <f>IF(P107="Yes","Imputed in ROI","Not imputed in ROI")</f>
        <v>Not imputed in ROI</v>
      </c>
      <c r="L31" s="872">
        <f>SUM(N31:AC31)</f>
        <v>0</v>
      </c>
      <c r="M31" s="868"/>
      <c r="N31" s="873">
        <f t="shared" ref="N31:AC31" si="17">IF(N167&gt;0,0,N167)</f>
        <v>0</v>
      </c>
      <c r="O31" s="874">
        <f t="shared" si="17"/>
        <v>0</v>
      </c>
      <c r="P31" s="874">
        <f t="shared" si="17"/>
        <v>0</v>
      </c>
      <c r="Q31" s="874">
        <f t="shared" si="17"/>
        <v>0</v>
      </c>
      <c r="R31" s="874">
        <f t="shared" si="17"/>
        <v>0</v>
      </c>
      <c r="S31" s="874">
        <f t="shared" si="17"/>
        <v>0</v>
      </c>
      <c r="T31" s="874">
        <f t="shared" si="17"/>
        <v>0</v>
      </c>
      <c r="U31" s="874">
        <f t="shared" si="17"/>
        <v>0</v>
      </c>
      <c r="V31" s="874">
        <f t="shared" si="17"/>
        <v>0</v>
      </c>
      <c r="W31" s="874">
        <f t="shared" si="17"/>
        <v>0</v>
      </c>
      <c r="X31" s="874">
        <f t="shared" si="17"/>
        <v>0</v>
      </c>
      <c r="Y31" s="874">
        <f t="shared" si="17"/>
        <v>0</v>
      </c>
      <c r="Z31" s="874">
        <f t="shared" si="17"/>
        <v>0</v>
      </c>
      <c r="AA31" s="874">
        <f t="shared" si="17"/>
        <v>0</v>
      </c>
      <c r="AB31" s="874">
        <f t="shared" si="17"/>
        <v>0</v>
      </c>
      <c r="AC31" s="875">
        <f t="shared" si="17"/>
        <v>0</v>
      </c>
    </row>
    <row r="32" spans="8:34" outlineLevel="1" thickBot="1" x14ac:dyDescent="0.3">
      <c r="H32" s="31"/>
      <c r="I32" s="38"/>
      <c r="J32" s="67"/>
      <c r="K32" s="67"/>
      <c r="L32" s="67"/>
      <c r="N32" s="67"/>
      <c r="O32" s="67"/>
      <c r="P32" s="67"/>
      <c r="Q32" s="67"/>
      <c r="R32" s="67"/>
      <c r="S32" s="67"/>
      <c r="T32" s="67"/>
      <c r="U32" s="67"/>
      <c r="V32" s="67"/>
      <c r="W32" s="67"/>
      <c r="X32" s="67"/>
      <c r="Y32" s="67"/>
      <c r="Z32" s="67"/>
      <c r="AA32" s="67"/>
      <c r="AB32" s="67"/>
      <c r="AC32" s="67"/>
      <c r="AD32" s="67"/>
      <c r="AE32" s="67"/>
      <c r="AF32" s="67"/>
      <c r="AG32" s="67"/>
      <c r="AH32" s="67"/>
    </row>
    <row r="33" spans="8:31" ht="18" x14ac:dyDescent="0.4">
      <c r="H33" s="31"/>
      <c r="I33" s="38" t="s">
        <v>22</v>
      </c>
      <c r="J33" s="39" t="s">
        <v>23</v>
      </c>
      <c r="K33" s="31"/>
      <c r="L33" s="78"/>
      <c r="N33" s="79"/>
      <c r="O33" s="80"/>
      <c r="P33" s="80"/>
      <c r="Q33" s="80"/>
      <c r="R33" s="80"/>
      <c r="S33" s="80"/>
      <c r="T33" s="80"/>
      <c r="U33" s="80"/>
      <c r="V33" s="80"/>
      <c r="W33" s="80"/>
      <c r="X33" s="80"/>
      <c r="Y33" s="80"/>
      <c r="Z33" s="80"/>
      <c r="AA33" s="80"/>
      <c r="AB33" s="80"/>
      <c r="AC33" s="81"/>
      <c r="AD33" s="1"/>
      <c r="AE33" s="1"/>
    </row>
    <row r="34" spans="8:31" ht="15.75" x14ac:dyDescent="0.25">
      <c r="H34" s="31"/>
      <c r="I34" s="38"/>
      <c r="J34" s="31" t="s">
        <v>24</v>
      </c>
      <c r="K34" s="1188" t="str">
        <f>IFERROR(CONCATENATE("CPCF Multiple: ",ROUND(L34/L65,1),"x"),"MOIC Multiple")</f>
        <v>MOIC Multiple</v>
      </c>
      <c r="L34" s="749">
        <f>AC34</f>
        <v>0</v>
      </c>
      <c r="M34" s="750"/>
      <c r="N34" s="751">
        <f t="shared" ref="N34:AC34" si="18">N325</f>
        <v>0</v>
      </c>
      <c r="O34" s="752">
        <f t="shared" si="18"/>
        <v>0</v>
      </c>
      <c r="P34" s="752">
        <f t="shared" si="18"/>
        <v>0</v>
      </c>
      <c r="Q34" s="752">
        <f t="shared" si="18"/>
        <v>0</v>
      </c>
      <c r="R34" s="752">
        <f t="shared" si="18"/>
        <v>0</v>
      </c>
      <c r="S34" s="752">
        <f t="shared" si="18"/>
        <v>0</v>
      </c>
      <c r="T34" s="752">
        <f t="shared" si="18"/>
        <v>0</v>
      </c>
      <c r="U34" s="752">
        <f t="shared" si="18"/>
        <v>0</v>
      </c>
      <c r="V34" s="752">
        <f t="shared" si="18"/>
        <v>0</v>
      </c>
      <c r="W34" s="752">
        <f t="shared" si="18"/>
        <v>0</v>
      </c>
      <c r="X34" s="752">
        <f t="shared" si="18"/>
        <v>0</v>
      </c>
      <c r="Y34" s="752">
        <f t="shared" si="18"/>
        <v>0</v>
      </c>
      <c r="Z34" s="752">
        <f t="shared" si="18"/>
        <v>0</v>
      </c>
      <c r="AA34" s="752">
        <f t="shared" si="18"/>
        <v>0</v>
      </c>
      <c r="AB34" s="752">
        <f t="shared" si="18"/>
        <v>0</v>
      </c>
      <c r="AC34" s="753">
        <f t="shared" si="18"/>
        <v>0</v>
      </c>
      <c r="AD34" s="83"/>
      <c r="AE34" s="1"/>
    </row>
    <row r="35" spans="8:31" ht="15.75" x14ac:dyDescent="0.25">
      <c r="H35" s="31"/>
      <c r="I35" s="38"/>
      <c r="J35" s="31" t="s">
        <v>25</v>
      </c>
      <c r="K35" s="1188"/>
      <c r="L35" s="82" t="str">
        <f>IF($L$335="No Full Recovery","No Full Recovery",CONCATENATE(ROUND(SUM(N326:AC326),1)," yrs"))</f>
        <v>0 yrs</v>
      </c>
      <c r="N35" s="84" t="str">
        <f>IF($L$335="No Full Recovery","",ROUND(N326,2)&amp;" yrs")</f>
        <v>0 yrs</v>
      </c>
      <c r="O35" s="85" t="str">
        <f>IF($L$335="No Full Recovery","",ROUND(O326,2)&amp;" yrs")</f>
        <v>0 yrs</v>
      </c>
      <c r="P35" s="85" t="str">
        <f t="shared" ref="P35:AC35" si="19">IF($L$335="No Full Recovery","",ROUND(P326,2)&amp;" yrs")</f>
        <v>0 yrs</v>
      </c>
      <c r="Q35" s="85" t="str">
        <f t="shared" si="19"/>
        <v>0 yrs</v>
      </c>
      <c r="R35" s="85" t="str">
        <f t="shared" si="19"/>
        <v>0 yrs</v>
      </c>
      <c r="S35" s="85" t="str">
        <f t="shared" si="19"/>
        <v>0 yrs</v>
      </c>
      <c r="T35" s="85" t="str">
        <f t="shared" si="19"/>
        <v>0 yrs</v>
      </c>
      <c r="U35" s="85" t="str">
        <f t="shared" si="19"/>
        <v>0 yrs</v>
      </c>
      <c r="V35" s="85" t="str">
        <f t="shared" si="19"/>
        <v>0 yrs</v>
      </c>
      <c r="W35" s="85" t="str">
        <f t="shared" si="19"/>
        <v>0 yrs</v>
      </c>
      <c r="X35" s="85" t="str">
        <f t="shared" si="19"/>
        <v>0 yrs</v>
      </c>
      <c r="Y35" s="85" t="str">
        <f t="shared" si="19"/>
        <v>0 yrs</v>
      </c>
      <c r="Z35" s="85" t="str">
        <f t="shared" si="19"/>
        <v>0 yrs</v>
      </c>
      <c r="AA35" s="85" t="str">
        <f t="shared" si="19"/>
        <v>0 yrs</v>
      </c>
      <c r="AB35" s="85" t="str">
        <f t="shared" si="19"/>
        <v>0 yrs</v>
      </c>
      <c r="AC35" s="86" t="str">
        <f t="shared" si="19"/>
        <v>0 yrs</v>
      </c>
      <c r="AD35" s="83"/>
      <c r="AE35" s="1"/>
    </row>
    <row r="36" spans="8:31" ht="15.75" x14ac:dyDescent="0.25">
      <c r="H36" s="31"/>
      <c r="I36" s="38"/>
      <c r="J36" s="31" t="s">
        <v>26</v>
      </c>
      <c r="K36" s="87" t="str">
        <f>CONCATENATE("WACC@",$L$98*100,"%")</f>
        <v>WACC@15%</v>
      </c>
      <c r="L36" s="749">
        <f>AC36</f>
        <v>0</v>
      </c>
      <c r="M36" s="750"/>
      <c r="N36" s="751">
        <f>SUM($N327:N327)</f>
        <v>0</v>
      </c>
      <c r="O36" s="752">
        <f>SUM($N327:O327)</f>
        <v>0</v>
      </c>
      <c r="P36" s="752">
        <f>SUM($N327:P327)</f>
        <v>0</v>
      </c>
      <c r="Q36" s="752">
        <f>SUM($N327:Q327)</f>
        <v>0</v>
      </c>
      <c r="R36" s="752">
        <f>SUM($N327:R327)</f>
        <v>0</v>
      </c>
      <c r="S36" s="752">
        <f>SUM($N327:S327)</f>
        <v>0</v>
      </c>
      <c r="T36" s="752">
        <f>SUM($N327:T327)</f>
        <v>0</v>
      </c>
      <c r="U36" s="752">
        <f>SUM($N327:U327)</f>
        <v>0</v>
      </c>
      <c r="V36" s="752">
        <f>SUM($N327:V327)</f>
        <v>0</v>
      </c>
      <c r="W36" s="752">
        <f>SUM($N327:W327)</f>
        <v>0</v>
      </c>
      <c r="X36" s="752">
        <f>SUM($N327:X327)</f>
        <v>0</v>
      </c>
      <c r="Y36" s="752">
        <f>SUM($N327:Y327)</f>
        <v>0</v>
      </c>
      <c r="Z36" s="752">
        <f>SUM($N327:Z327)</f>
        <v>0</v>
      </c>
      <c r="AA36" s="752">
        <f>SUM($N327:AA327)</f>
        <v>0</v>
      </c>
      <c r="AB36" s="752">
        <f>SUM($N327:AB327)</f>
        <v>0</v>
      </c>
      <c r="AC36" s="753">
        <f>SUM($N327:AC327)</f>
        <v>0</v>
      </c>
      <c r="AD36" s="83"/>
      <c r="AE36" s="1"/>
    </row>
    <row r="37" spans="8:31" ht="15.75" x14ac:dyDescent="0.25">
      <c r="H37" s="31"/>
      <c r="I37" s="38"/>
      <c r="J37" s="31"/>
      <c r="K37" s="1063" t="str">
        <f>CONCATENATE("IRR: ",ROUND($L$334*100,1),"%")</f>
        <v>IRR: 0%</v>
      </c>
      <c r="L37" s="88"/>
      <c r="N37" s="89"/>
      <c r="O37" s="90"/>
      <c r="P37" s="90"/>
      <c r="Q37" s="90"/>
      <c r="R37" s="90"/>
      <c r="S37" s="90"/>
      <c r="T37" s="90"/>
      <c r="U37" s="90"/>
      <c r="V37" s="90"/>
      <c r="W37" s="90"/>
      <c r="X37" s="90"/>
      <c r="Y37" s="90"/>
      <c r="Z37" s="90"/>
      <c r="AA37" s="90"/>
      <c r="AB37" s="90"/>
      <c r="AC37" s="91"/>
      <c r="AD37" s="83"/>
      <c r="AE37" s="1"/>
    </row>
    <row r="38" spans="8:31" ht="20.25" customHeight="1" x14ac:dyDescent="0.4">
      <c r="I38" s="38" t="s">
        <v>27</v>
      </c>
      <c r="J38" s="39" t="s">
        <v>28</v>
      </c>
      <c r="L38" s="754">
        <f>IFERROR(AVERAGEIF(O38:AC38,"&gt;100",O38:AC38),)</f>
        <v>0</v>
      </c>
      <c r="M38" s="750"/>
      <c r="N38" s="755">
        <f>SUM(N40:N48)-N41</f>
        <v>0</v>
      </c>
      <c r="O38" s="756">
        <f t="shared" ref="O38:AC38" si="20">SUM(O40:O48)-O41</f>
        <v>0</v>
      </c>
      <c r="P38" s="756">
        <f t="shared" si="20"/>
        <v>0</v>
      </c>
      <c r="Q38" s="756">
        <f t="shared" si="20"/>
        <v>0</v>
      </c>
      <c r="R38" s="756">
        <f t="shared" si="20"/>
        <v>0</v>
      </c>
      <c r="S38" s="756">
        <f t="shared" si="20"/>
        <v>0</v>
      </c>
      <c r="T38" s="756">
        <f t="shared" si="20"/>
        <v>0</v>
      </c>
      <c r="U38" s="756">
        <f t="shared" si="20"/>
        <v>0</v>
      </c>
      <c r="V38" s="756">
        <f t="shared" si="20"/>
        <v>0</v>
      </c>
      <c r="W38" s="756">
        <f t="shared" si="20"/>
        <v>0</v>
      </c>
      <c r="X38" s="756">
        <f t="shared" si="20"/>
        <v>0</v>
      </c>
      <c r="Y38" s="756">
        <f t="shared" si="20"/>
        <v>0</v>
      </c>
      <c r="Z38" s="756">
        <f t="shared" si="20"/>
        <v>0</v>
      </c>
      <c r="AA38" s="756">
        <f t="shared" si="20"/>
        <v>0</v>
      </c>
      <c r="AB38" s="756">
        <f t="shared" si="20"/>
        <v>0</v>
      </c>
      <c r="AC38" s="757">
        <f t="shared" si="20"/>
        <v>0</v>
      </c>
      <c r="AD38" s="83"/>
      <c r="AE38" s="1"/>
    </row>
    <row r="39" spans="8:31" ht="15.75" x14ac:dyDescent="0.25">
      <c r="H39" s="31"/>
      <c r="I39" s="38"/>
      <c r="J39" s="31" t="s">
        <v>29</v>
      </c>
      <c r="K39" s="38"/>
      <c r="L39" s="92" t="str">
        <f>IFERROR(SUM(N38:AC38)/SUM(N16:AC16),"")</f>
        <v/>
      </c>
      <c r="N39" s="93" t="str">
        <f t="shared" ref="N39:AC39" si="21">IFERROR(N38/N16*N78/365,"")</f>
        <v/>
      </c>
      <c r="O39" s="94" t="str">
        <f t="shared" si="21"/>
        <v/>
      </c>
      <c r="P39" s="94" t="str">
        <f t="shared" si="21"/>
        <v/>
      </c>
      <c r="Q39" s="94" t="str">
        <f t="shared" si="21"/>
        <v/>
      </c>
      <c r="R39" s="94" t="str">
        <f t="shared" si="21"/>
        <v/>
      </c>
      <c r="S39" s="94" t="str">
        <f t="shared" si="21"/>
        <v/>
      </c>
      <c r="T39" s="94" t="str">
        <f t="shared" si="21"/>
        <v/>
      </c>
      <c r="U39" s="94" t="str">
        <f t="shared" si="21"/>
        <v/>
      </c>
      <c r="V39" s="94" t="str">
        <f t="shared" si="21"/>
        <v/>
      </c>
      <c r="W39" s="94" t="str">
        <f t="shared" si="21"/>
        <v/>
      </c>
      <c r="X39" s="94" t="str">
        <f t="shared" si="21"/>
        <v/>
      </c>
      <c r="Y39" s="94" t="str">
        <f t="shared" si="21"/>
        <v/>
      </c>
      <c r="Z39" s="94" t="str">
        <f t="shared" si="21"/>
        <v/>
      </c>
      <c r="AA39" s="94" t="str">
        <f t="shared" si="21"/>
        <v/>
      </c>
      <c r="AB39" s="94" t="str">
        <f t="shared" si="21"/>
        <v/>
      </c>
      <c r="AC39" s="95" t="str">
        <f t="shared" si="21"/>
        <v/>
      </c>
      <c r="AD39" s="1"/>
      <c r="AE39" s="1"/>
    </row>
    <row r="40" spans="8:31" x14ac:dyDescent="0.3">
      <c r="I40" s="96"/>
      <c r="J40" s="97" t="s">
        <v>30</v>
      </c>
      <c r="L40" s="758">
        <f>IFERROR(AVERAGEIF(N40:AC40,"&gt;0",N40:AC40),)</f>
        <v>0</v>
      </c>
      <c r="M40" s="750"/>
      <c r="N40" s="751">
        <f t="shared" ref="N40:AC40" si="22">N200</f>
        <v>0</v>
      </c>
      <c r="O40" s="752">
        <f t="shared" si="22"/>
        <v>0</v>
      </c>
      <c r="P40" s="752">
        <f t="shared" si="22"/>
        <v>0</v>
      </c>
      <c r="Q40" s="752">
        <f t="shared" si="22"/>
        <v>0</v>
      </c>
      <c r="R40" s="752">
        <f t="shared" si="22"/>
        <v>0</v>
      </c>
      <c r="S40" s="752">
        <f t="shared" si="22"/>
        <v>0</v>
      </c>
      <c r="T40" s="752">
        <f t="shared" si="22"/>
        <v>0</v>
      </c>
      <c r="U40" s="752">
        <f t="shared" si="22"/>
        <v>0</v>
      </c>
      <c r="V40" s="752">
        <f t="shared" si="22"/>
        <v>0</v>
      </c>
      <c r="W40" s="752">
        <f t="shared" si="22"/>
        <v>0</v>
      </c>
      <c r="X40" s="752">
        <f t="shared" si="22"/>
        <v>0</v>
      </c>
      <c r="Y40" s="752">
        <f t="shared" si="22"/>
        <v>0</v>
      </c>
      <c r="Z40" s="752">
        <f t="shared" si="22"/>
        <v>0</v>
      </c>
      <c r="AA40" s="752">
        <f t="shared" si="22"/>
        <v>0</v>
      </c>
      <c r="AB40" s="752">
        <f t="shared" si="22"/>
        <v>0</v>
      </c>
      <c r="AC40" s="753">
        <f t="shared" si="22"/>
        <v>0</v>
      </c>
      <c r="AD40" s="83"/>
      <c r="AE40" s="1"/>
    </row>
    <row r="41" spans="8:31" x14ac:dyDescent="0.3">
      <c r="I41" s="96"/>
      <c r="J41" s="97" t="s">
        <v>299</v>
      </c>
      <c r="L41" s="758">
        <f>IFERROR(AVERAGEIF(N41:AC41,"&gt;0",N41:AC41),)</f>
        <v>0</v>
      </c>
      <c r="M41" s="750"/>
      <c r="N41" s="751">
        <f>SUM(N42:N45)</f>
        <v>0</v>
      </c>
      <c r="O41" s="752">
        <f t="shared" ref="O41:AC41" si="23">SUM(O42:O45)</f>
        <v>0</v>
      </c>
      <c r="P41" s="752">
        <f t="shared" si="23"/>
        <v>0</v>
      </c>
      <c r="Q41" s="752">
        <f t="shared" si="23"/>
        <v>0</v>
      </c>
      <c r="R41" s="752">
        <f t="shared" si="23"/>
        <v>0</v>
      </c>
      <c r="S41" s="752">
        <f t="shared" si="23"/>
        <v>0</v>
      </c>
      <c r="T41" s="752">
        <f t="shared" si="23"/>
        <v>0</v>
      </c>
      <c r="U41" s="752">
        <f t="shared" si="23"/>
        <v>0</v>
      </c>
      <c r="V41" s="752">
        <f t="shared" si="23"/>
        <v>0</v>
      </c>
      <c r="W41" s="752">
        <f t="shared" si="23"/>
        <v>0</v>
      </c>
      <c r="X41" s="752">
        <f t="shared" si="23"/>
        <v>0</v>
      </c>
      <c r="Y41" s="752">
        <f t="shared" si="23"/>
        <v>0</v>
      </c>
      <c r="Z41" s="752">
        <f t="shared" si="23"/>
        <v>0</v>
      </c>
      <c r="AA41" s="752">
        <f t="shared" si="23"/>
        <v>0</v>
      </c>
      <c r="AB41" s="752">
        <f t="shared" si="23"/>
        <v>0</v>
      </c>
      <c r="AC41" s="753">
        <f t="shared" si="23"/>
        <v>0</v>
      </c>
      <c r="AD41" s="83"/>
      <c r="AE41" s="1"/>
    </row>
    <row r="42" spans="8:31" x14ac:dyDescent="0.3">
      <c r="I42" s="96"/>
      <c r="J42" s="456" t="s">
        <v>295</v>
      </c>
      <c r="L42" s="759">
        <f>IFERROR(AVERAGEIF(N42:AC42,"&gt;0",N42:AC42),)</f>
        <v>0</v>
      </c>
      <c r="M42" s="760"/>
      <c r="N42" s="761">
        <f>N201</f>
        <v>0</v>
      </c>
      <c r="O42" s="762">
        <f t="shared" ref="O42:AC42" si="24">O201</f>
        <v>0</v>
      </c>
      <c r="P42" s="762">
        <f t="shared" si="24"/>
        <v>0</v>
      </c>
      <c r="Q42" s="762">
        <f t="shared" si="24"/>
        <v>0</v>
      </c>
      <c r="R42" s="762">
        <f t="shared" si="24"/>
        <v>0</v>
      </c>
      <c r="S42" s="762">
        <f t="shared" si="24"/>
        <v>0</v>
      </c>
      <c r="T42" s="762">
        <f t="shared" si="24"/>
        <v>0</v>
      </c>
      <c r="U42" s="762">
        <f t="shared" si="24"/>
        <v>0</v>
      </c>
      <c r="V42" s="762">
        <f t="shared" si="24"/>
        <v>0</v>
      </c>
      <c r="W42" s="762">
        <f t="shared" si="24"/>
        <v>0</v>
      </c>
      <c r="X42" s="762">
        <f t="shared" si="24"/>
        <v>0</v>
      </c>
      <c r="Y42" s="762">
        <f t="shared" si="24"/>
        <v>0</v>
      </c>
      <c r="Z42" s="762">
        <f t="shared" si="24"/>
        <v>0</v>
      </c>
      <c r="AA42" s="762">
        <f t="shared" si="24"/>
        <v>0</v>
      </c>
      <c r="AB42" s="762">
        <f t="shared" si="24"/>
        <v>0</v>
      </c>
      <c r="AC42" s="763">
        <f t="shared" si="24"/>
        <v>0</v>
      </c>
      <c r="AD42" s="83"/>
      <c r="AE42" s="1"/>
    </row>
    <row r="43" spans="8:31" x14ac:dyDescent="0.3">
      <c r="I43" s="96"/>
      <c r="J43" s="456" t="s">
        <v>296</v>
      </c>
      <c r="L43" s="759">
        <f t="shared" ref="L43:L45" si="25">IFERROR(AVERAGEIF(N43:AC43,"&gt;0",N43:AC43),)</f>
        <v>0</v>
      </c>
      <c r="M43" s="760"/>
      <c r="N43" s="761">
        <f t="shared" ref="N43:AC43" si="26">N202</f>
        <v>0</v>
      </c>
      <c r="O43" s="762">
        <f t="shared" si="26"/>
        <v>0</v>
      </c>
      <c r="P43" s="762">
        <f t="shared" si="26"/>
        <v>0</v>
      </c>
      <c r="Q43" s="762">
        <f t="shared" si="26"/>
        <v>0</v>
      </c>
      <c r="R43" s="762">
        <f t="shared" si="26"/>
        <v>0</v>
      </c>
      <c r="S43" s="762">
        <f t="shared" si="26"/>
        <v>0</v>
      </c>
      <c r="T43" s="762">
        <f t="shared" si="26"/>
        <v>0</v>
      </c>
      <c r="U43" s="762">
        <f t="shared" si="26"/>
        <v>0</v>
      </c>
      <c r="V43" s="762">
        <f t="shared" si="26"/>
        <v>0</v>
      </c>
      <c r="W43" s="762">
        <f t="shared" si="26"/>
        <v>0</v>
      </c>
      <c r="X43" s="762">
        <f t="shared" si="26"/>
        <v>0</v>
      </c>
      <c r="Y43" s="762">
        <f t="shared" si="26"/>
        <v>0</v>
      </c>
      <c r="Z43" s="762">
        <f t="shared" si="26"/>
        <v>0</v>
      </c>
      <c r="AA43" s="762">
        <f t="shared" si="26"/>
        <v>0</v>
      </c>
      <c r="AB43" s="762">
        <f t="shared" si="26"/>
        <v>0</v>
      </c>
      <c r="AC43" s="763">
        <f t="shared" si="26"/>
        <v>0</v>
      </c>
      <c r="AD43" s="83"/>
      <c r="AE43" s="1"/>
    </row>
    <row r="44" spans="8:31" x14ac:dyDescent="0.3">
      <c r="I44" s="96"/>
      <c r="J44" s="456" t="s">
        <v>458</v>
      </c>
      <c r="L44" s="759">
        <f t="shared" si="25"/>
        <v>0</v>
      </c>
      <c r="M44" s="760"/>
      <c r="N44" s="761">
        <f t="shared" ref="N44:AC44" si="27">N203</f>
        <v>0</v>
      </c>
      <c r="O44" s="762">
        <f t="shared" si="27"/>
        <v>0</v>
      </c>
      <c r="P44" s="762">
        <f t="shared" si="27"/>
        <v>0</v>
      </c>
      <c r="Q44" s="762">
        <f t="shared" si="27"/>
        <v>0</v>
      </c>
      <c r="R44" s="762">
        <f t="shared" si="27"/>
        <v>0</v>
      </c>
      <c r="S44" s="762">
        <f t="shared" si="27"/>
        <v>0</v>
      </c>
      <c r="T44" s="762">
        <f t="shared" si="27"/>
        <v>0</v>
      </c>
      <c r="U44" s="762">
        <f t="shared" si="27"/>
        <v>0</v>
      </c>
      <c r="V44" s="762">
        <f t="shared" si="27"/>
        <v>0</v>
      </c>
      <c r="W44" s="762">
        <f t="shared" si="27"/>
        <v>0</v>
      </c>
      <c r="X44" s="762">
        <f t="shared" si="27"/>
        <v>0</v>
      </c>
      <c r="Y44" s="762">
        <f t="shared" si="27"/>
        <v>0</v>
      </c>
      <c r="Z44" s="762">
        <f t="shared" si="27"/>
        <v>0</v>
      </c>
      <c r="AA44" s="762">
        <f t="shared" si="27"/>
        <v>0</v>
      </c>
      <c r="AB44" s="762">
        <f t="shared" si="27"/>
        <v>0</v>
      </c>
      <c r="AC44" s="763">
        <f t="shared" si="27"/>
        <v>0</v>
      </c>
      <c r="AD44" s="83"/>
      <c r="AE44" s="1"/>
    </row>
    <row r="45" spans="8:31" x14ac:dyDescent="0.3">
      <c r="I45" s="96"/>
      <c r="J45" s="456" t="s">
        <v>298</v>
      </c>
      <c r="L45" s="759">
        <f t="shared" si="25"/>
        <v>0</v>
      </c>
      <c r="M45" s="760"/>
      <c r="N45" s="761">
        <f t="shared" ref="N45:AC45" si="28">N204</f>
        <v>0</v>
      </c>
      <c r="O45" s="762">
        <f t="shared" si="28"/>
        <v>0</v>
      </c>
      <c r="P45" s="762">
        <f t="shared" si="28"/>
        <v>0</v>
      </c>
      <c r="Q45" s="762">
        <f t="shared" si="28"/>
        <v>0</v>
      </c>
      <c r="R45" s="762">
        <f t="shared" si="28"/>
        <v>0</v>
      </c>
      <c r="S45" s="762">
        <f t="shared" si="28"/>
        <v>0</v>
      </c>
      <c r="T45" s="762">
        <f t="shared" si="28"/>
        <v>0</v>
      </c>
      <c r="U45" s="762">
        <f t="shared" si="28"/>
        <v>0</v>
      </c>
      <c r="V45" s="762">
        <f t="shared" si="28"/>
        <v>0</v>
      </c>
      <c r="W45" s="762">
        <f t="shared" si="28"/>
        <v>0</v>
      </c>
      <c r="X45" s="762">
        <f t="shared" si="28"/>
        <v>0</v>
      </c>
      <c r="Y45" s="762">
        <f t="shared" si="28"/>
        <v>0</v>
      </c>
      <c r="Z45" s="762">
        <f t="shared" si="28"/>
        <v>0</v>
      </c>
      <c r="AA45" s="762">
        <f t="shared" si="28"/>
        <v>0</v>
      </c>
      <c r="AB45" s="762">
        <f t="shared" si="28"/>
        <v>0</v>
      </c>
      <c r="AC45" s="763">
        <f t="shared" si="28"/>
        <v>0</v>
      </c>
      <c r="AD45" s="83"/>
      <c r="AE45" s="1"/>
    </row>
    <row r="46" spans="8:31" x14ac:dyDescent="0.3">
      <c r="I46" s="96"/>
      <c r="J46" s="97" t="s">
        <v>31</v>
      </c>
      <c r="L46" s="758">
        <f>IFERROR(AVERAGEIF(N46:AC46,"&lt;0",N46:AC46),)</f>
        <v>0</v>
      </c>
      <c r="M46" s="750"/>
      <c r="N46" s="751">
        <f>-N211</f>
        <v>0</v>
      </c>
      <c r="O46" s="752">
        <f>-O211</f>
        <v>0</v>
      </c>
      <c r="P46" s="752">
        <f t="shared" ref="P46:AC46" si="29">-P211</f>
        <v>0</v>
      </c>
      <c r="Q46" s="752">
        <f t="shared" si="29"/>
        <v>0</v>
      </c>
      <c r="R46" s="752">
        <f t="shared" si="29"/>
        <v>0</v>
      </c>
      <c r="S46" s="752">
        <f t="shared" si="29"/>
        <v>0</v>
      </c>
      <c r="T46" s="752">
        <f t="shared" si="29"/>
        <v>0</v>
      </c>
      <c r="U46" s="752">
        <f t="shared" si="29"/>
        <v>0</v>
      </c>
      <c r="V46" s="752">
        <f t="shared" si="29"/>
        <v>0</v>
      </c>
      <c r="W46" s="752">
        <f t="shared" si="29"/>
        <v>0</v>
      </c>
      <c r="X46" s="752">
        <f t="shared" si="29"/>
        <v>0</v>
      </c>
      <c r="Y46" s="752">
        <f t="shared" si="29"/>
        <v>0</v>
      </c>
      <c r="Z46" s="752">
        <f t="shared" si="29"/>
        <v>0</v>
      </c>
      <c r="AA46" s="752">
        <f t="shared" si="29"/>
        <v>0</v>
      </c>
      <c r="AB46" s="752">
        <f t="shared" si="29"/>
        <v>0</v>
      </c>
      <c r="AC46" s="753">
        <f t="shared" si="29"/>
        <v>0</v>
      </c>
      <c r="AD46" s="83"/>
      <c r="AE46" s="1"/>
    </row>
    <row r="47" spans="8:31" x14ac:dyDescent="0.3">
      <c r="I47" s="96"/>
      <c r="J47" s="97" t="s">
        <v>32</v>
      </c>
      <c r="L47" s="758">
        <f>IFERROR(AVERAGEIF(N47:AC47,"&gt;0",N47:AC47),)</f>
        <v>0</v>
      </c>
      <c r="M47" s="750"/>
      <c r="N47" s="751">
        <f>N206</f>
        <v>0</v>
      </c>
      <c r="O47" s="752">
        <f t="shared" ref="O47:AC47" si="30">O206</f>
        <v>0</v>
      </c>
      <c r="P47" s="752">
        <f t="shared" si="30"/>
        <v>0</v>
      </c>
      <c r="Q47" s="752">
        <f t="shared" si="30"/>
        <v>0</v>
      </c>
      <c r="R47" s="752">
        <f t="shared" si="30"/>
        <v>0</v>
      </c>
      <c r="S47" s="752">
        <f t="shared" si="30"/>
        <v>0</v>
      </c>
      <c r="T47" s="752">
        <f t="shared" si="30"/>
        <v>0</v>
      </c>
      <c r="U47" s="752">
        <f t="shared" si="30"/>
        <v>0</v>
      </c>
      <c r="V47" s="752">
        <f t="shared" si="30"/>
        <v>0</v>
      </c>
      <c r="W47" s="752">
        <f t="shared" si="30"/>
        <v>0</v>
      </c>
      <c r="X47" s="752">
        <f t="shared" si="30"/>
        <v>0</v>
      </c>
      <c r="Y47" s="752">
        <f t="shared" si="30"/>
        <v>0</v>
      </c>
      <c r="Z47" s="752">
        <f t="shared" si="30"/>
        <v>0</v>
      </c>
      <c r="AA47" s="752">
        <f t="shared" si="30"/>
        <v>0</v>
      </c>
      <c r="AB47" s="752">
        <f t="shared" si="30"/>
        <v>0</v>
      </c>
      <c r="AC47" s="753">
        <f t="shared" si="30"/>
        <v>0</v>
      </c>
      <c r="AD47" s="83"/>
      <c r="AE47" s="1"/>
    </row>
    <row r="48" spans="8:31" x14ac:dyDescent="0.3">
      <c r="I48" s="96"/>
      <c r="J48" s="97" t="s">
        <v>33</v>
      </c>
      <c r="L48" s="764">
        <f>IFERROR(AVERAGEIF(N48:AC48,"&gt;&lt;0",N48:AC48),)</f>
        <v>0</v>
      </c>
      <c r="M48" s="750"/>
      <c r="N48" s="765">
        <f>N205-N212</f>
        <v>0</v>
      </c>
      <c r="O48" s="766">
        <f t="shared" ref="O48:AC48" si="31">O205-O212</f>
        <v>0</v>
      </c>
      <c r="P48" s="766">
        <f t="shared" si="31"/>
        <v>0</v>
      </c>
      <c r="Q48" s="766">
        <f t="shared" si="31"/>
        <v>0</v>
      </c>
      <c r="R48" s="766">
        <f t="shared" si="31"/>
        <v>0</v>
      </c>
      <c r="S48" s="766">
        <f t="shared" si="31"/>
        <v>0</v>
      </c>
      <c r="T48" s="766">
        <f t="shared" si="31"/>
        <v>0</v>
      </c>
      <c r="U48" s="766">
        <f t="shared" si="31"/>
        <v>0</v>
      </c>
      <c r="V48" s="766">
        <f t="shared" si="31"/>
        <v>0</v>
      </c>
      <c r="W48" s="766">
        <f t="shared" si="31"/>
        <v>0</v>
      </c>
      <c r="X48" s="766">
        <f t="shared" si="31"/>
        <v>0</v>
      </c>
      <c r="Y48" s="766">
        <f t="shared" si="31"/>
        <v>0</v>
      </c>
      <c r="Z48" s="766">
        <f t="shared" si="31"/>
        <v>0</v>
      </c>
      <c r="AA48" s="766">
        <f t="shared" si="31"/>
        <v>0</v>
      </c>
      <c r="AB48" s="766">
        <f t="shared" si="31"/>
        <v>0</v>
      </c>
      <c r="AC48" s="767">
        <f t="shared" si="31"/>
        <v>0</v>
      </c>
      <c r="AD48" s="83"/>
      <c r="AE48" s="1"/>
    </row>
    <row r="49" spans="8:31" ht="15.75" x14ac:dyDescent="0.25">
      <c r="I49" s="38"/>
      <c r="J49" s="31" t="s">
        <v>34</v>
      </c>
      <c r="K49" s="98" t="str">
        <f>K297</f>
        <v>OK,Fully Amortized</v>
      </c>
      <c r="L49" s="768">
        <f>IFERROR(AVERAGEIF(N49:AC49,"&gt;0",N49:AC49),)</f>
        <v>0</v>
      </c>
      <c r="M49" s="750"/>
      <c r="N49" s="769">
        <f>N207</f>
        <v>0</v>
      </c>
      <c r="O49" s="770">
        <f t="shared" ref="O49:AC49" si="32">O207</f>
        <v>0</v>
      </c>
      <c r="P49" s="770">
        <f t="shared" si="32"/>
        <v>0</v>
      </c>
      <c r="Q49" s="770">
        <f t="shared" si="32"/>
        <v>0</v>
      </c>
      <c r="R49" s="770">
        <f t="shared" si="32"/>
        <v>0</v>
      </c>
      <c r="S49" s="770">
        <f t="shared" si="32"/>
        <v>0</v>
      </c>
      <c r="T49" s="770">
        <f t="shared" si="32"/>
        <v>0</v>
      </c>
      <c r="U49" s="770">
        <f t="shared" si="32"/>
        <v>0</v>
      </c>
      <c r="V49" s="770">
        <f t="shared" si="32"/>
        <v>0</v>
      </c>
      <c r="W49" s="770">
        <f t="shared" si="32"/>
        <v>0</v>
      </c>
      <c r="X49" s="770">
        <f t="shared" si="32"/>
        <v>0</v>
      </c>
      <c r="Y49" s="770">
        <f t="shared" si="32"/>
        <v>0</v>
      </c>
      <c r="Z49" s="770">
        <f t="shared" si="32"/>
        <v>0</v>
      </c>
      <c r="AA49" s="770">
        <f t="shared" si="32"/>
        <v>0</v>
      </c>
      <c r="AB49" s="770">
        <f t="shared" si="32"/>
        <v>0</v>
      </c>
      <c r="AC49" s="771">
        <f t="shared" si="32"/>
        <v>0</v>
      </c>
      <c r="AD49" s="83"/>
      <c r="AE49" s="1"/>
    </row>
    <row r="50" spans="8:31" thickBot="1" x14ac:dyDescent="0.3">
      <c r="I50" s="99"/>
      <c r="J50" s="31"/>
      <c r="K50" s="31"/>
      <c r="L50" s="100"/>
      <c r="N50" s="876"/>
      <c r="O50" s="877"/>
      <c r="P50" s="877"/>
      <c r="Q50" s="877"/>
      <c r="R50" s="877"/>
      <c r="S50" s="877"/>
      <c r="T50" s="877"/>
      <c r="U50" s="877"/>
      <c r="V50" s="877"/>
      <c r="W50" s="877"/>
      <c r="X50" s="877"/>
      <c r="Y50" s="877"/>
      <c r="Z50" s="877"/>
      <c r="AA50" s="877"/>
      <c r="AB50" s="877"/>
      <c r="AC50" s="878"/>
      <c r="AD50" s="1"/>
      <c r="AE50" s="1"/>
    </row>
    <row r="51" spans="8:31" ht="18" outlineLevel="1" x14ac:dyDescent="0.2">
      <c r="I51" s="104" t="s">
        <v>35</v>
      </c>
      <c r="J51" s="105" t="s">
        <v>36</v>
      </c>
      <c r="K51" s="105"/>
      <c r="L51" s="105" t="s">
        <v>8</v>
      </c>
      <c r="M51" s="106"/>
      <c r="N51" s="107">
        <f>N$11</f>
        <v>2024</v>
      </c>
      <c r="O51" s="107">
        <f t="shared" ref="O51:AC51" si="33">O$11</f>
        <v>2025</v>
      </c>
      <c r="P51" s="107">
        <f t="shared" si="33"/>
        <v>2026</v>
      </c>
      <c r="Q51" s="107">
        <f t="shared" si="33"/>
        <v>2027</v>
      </c>
      <c r="R51" s="107">
        <f t="shared" si="33"/>
        <v>2028</v>
      </c>
      <c r="S51" s="107">
        <f t="shared" si="33"/>
        <v>2029</v>
      </c>
      <c r="T51" s="107">
        <f t="shared" si="33"/>
        <v>2030</v>
      </c>
      <c r="U51" s="107">
        <f t="shared" si="33"/>
        <v>2031</v>
      </c>
      <c r="V51" s="107">
        <f t="shared" si="33"/>
        <v>2032</v>
      </c>
      <c r="W51" s="107">
        <f t="shared" si="33"/>
        <v>2033</v>
      </c>
      <c r="X51" s="107">
        <f t="shared" si="33"/>
        <v>2034</v>
      </c>
      <c r="Y51" s="107">
        <f t="shared" si="33"/>
        <v>2035</v>
      </c>
      <c r="Z51" s="107">
        <f t="shared" si="33"/>
        <v>2036</v>
      </c>
      <c r="AA51" s="107">
        <f t="shared" si="33"/>
        <v>2037</v>
      </c>
      <c r="AB51" s="107">
        <f t="shared" si="33"/>
        <v>2038</v>
      </c>
      <c r="AC51" s="107">
        <f t="shared" si="33"/>
        <v>2039</v>
      </c>
      <c r="AD51" s="1"/>
      <c r="AE51" s="1"/>
    </row>
    <row r="52" spans="8:31" ht="25.5" customHeight="1" outlineLevel="1" x14ac:dyDescent="0.4">
      <c r="I52" s="99">
        <v>1</v>
      </c>
      <c r="J52" s="39" t="s">
        <v>37</v>
      </c>
      <c r="K52" s="31"/>
      <c r="L52" s="108" t="s">
        <v>11</v>
      </c>
      <c r="N52" s="109"/>
      <c r="O52" s="110"/>
      <c r="P52" s="110"/>
      <c r="Q52" s="110"/>
      <c r="R52" s="110"/>
      <c r="S52" s="110"/>
      <c r="T52" s="110"/>
      <c r="U52" s="110"/>
      <c r="V52" s="110"/>
      <c r="W52" s="110"/>
      <c r="X52" s="110"/>
      <c r="Y52" s="110"/>
      <c r="Z52" s="110"/>
      <c r="AA52" s="110"/>
      <c r="AB52" s="110"/>
      <c r="AC52" s="111"/>
      <c r="AD52" s="1"/>
      <c r="AE52" s="1"/>
    </row>
    <row r="53" spans="8:31" ht="18.75" customHeight="1" outlineLevel="1" x14ac:dyDescent="0.25">
      <c r="H53" s="31"/>
      <c r="I53" s="99"/>
      <c r="J53" s="31" t="s">
        <v>38</v>
      </c>
      <c r="K53" s="38"/>
      <c r="L53" s="879">
        <f>SUM(N53:AC53)</f>
        <v>0</v>
      </c>
      <c r="N53" s="880">
        <f t="shared" ref="N53:AC53" si="34">N228</f>
        <v>0</v>
      </c>
      <c r="O53" s="881">
        <f t="shared" si="34"/>
        <v>0</v>
      </c>
      <c r="P53" s="881">
        <f t="shared" si="34"/>
        <v>0</v>
      </c>
      <c r="Q53" s="881">
        <f t="shared" si="34"/>
        <v>0</v>
      </c>
      <c r="R53" s="881">
        <f t="shared" si="34"/>
        <v>0</v>
      </c>
      <c r="S53" s="881">
        <f t="shared" si="34"/>
        <v>0</v>
      </c>
      <c r="T53" s="881">
        <f t="shared" si="34"/>
        <v>0</v>
      </c>
      <c r="U53" s="881">
        <f t="shared" si="34"/>
        <v>0</v>
      </c>
      <c r="V53" s="881">
        <f t="shared" si="34"/>
        <v>0</v>
      </c>
      <c r="W53" s="881">
        <f t="shared" si="34"/>
        <v>0</v>
      </c>
      <c r="X53" s="881">
        <f t="shared" si="34"/>
        <v>0</v>
      </c>
      <c r="Y53" s="881">
        <f t="shared" si="34"/>
        <v>0</v>
      </c>
      <c r="Z53" s="881">
        <f t="shared" si="34"/>
        <v>0</v>
      </c>
      <c r="AA53" s="881">
        <f t="shared" si="34"/>
        <v>0</v>
      </c>
      <c r="AB53" s="881">
        <f t="shared" si="34"/>
        <v>0</v>
      </c>
      <c r="AC53" s="882">
        <f t="shared" si="34"/>
        <v>0</v>
      </c>
      <c r="AD53" s="1"/>
      <c r="AE53" s="1"/>
    </row>
    <row r="54" spans="8:31" ht="18.75" customHeight="1" outlineLevel="1" x14ac:dyDescent="0.25">
      <c r="H54" s="31"/>
      <c r="I54" s="99"/>
      <c r="J54" s="31" t="s">
        <v>39</v>
      </c>
      <c r="K54" s="38"/>
      <c r="L54" s="749">
        <f>SUM(N54:AC54)</f>
        <v>0</v>
      </c>
      <c r="N54" s="751">
        <f t="shared" ref="N54:AC54" si="35">-N232</f>
        <v>0</v>
      </c>
      <c r="O54" s="752">
        <f t="shared" si="35"/>
        <v>0</v>
      </c>
      <c r="P54" s="752">
        <f t="shared" si="35"/>
        <v>0</v>
      </c>
      <c r="Q54" s="752">
        <f t="shared" si="35"/>
        <v>0</v>
      </c>
      <c r="R54" s="752">
        <f t="shared" si="35"/>
        <v>0</v>
      </c>
      <c r="S54" s="752">
        <f t="shared" si="35"/>
        <v>0</v>
      </c>
      <c r="T54" s="752">
        <f t="shared" si="35"/>
        <v>0</v>
      </c>
      <c r="U54" s="752">
        <f t="shared" si="35"/>
        <v>0</v>
      </c>
      <c r="V54" s="752">
        <f t="shared" si="35"/>
        <v>0</v>
      </c>
      <c r="W54" s="752">
        <f t="shared" si="35"/>
        <v>0</v>
      </c>
      <c r="X54" s="752">
        <f t="shared" si="35"/>
        <v>0</v>
      </c>
      <c r="Y54" s="752">
        <f t="shared" si="35"/>
        <v>0</v>
      </c>
      <c r="Z54" s="752">
        <f t="shared" si="35"/>
        <v>0</v>
      </c>
      <c r="AA54" s="752">
        <f t="shared" si="35"/>
        <v>0</v>
      </c>
      <c r="AB54" s="752">
        <f t="shared" si="35"/>
        <v>0</v>
      </c>
      <c r="AC54" s="753">
        <f t="shared" si="35"/>
        <v>0</v>
      </c>
      <c r="AD54" s="1"/>
      <c r="AE54" s="1"/>
    </row>
    <row r="55" spans="8:31" ht="18.75" customHeight="1" outlineLevel="1" x14ac:dyDescent="0.25">
      <c r="H55" s="31"/>
      <c r="I55" s="99"/>
      <c r="J55" s="31" t="s">
        <v>40</v>
      </c>
      <c r="K55" s="38"/>
      <c r="L55" s="883">
        <f>SUM(N55:AC55)</f>
        <v>0</v>
      </c>
      <c r="N55" s="884">
        <f t="shared" ref="N55:AC55" si="36">SUM(N53:N54)</f>
        <v>0</v>
      </c>
      <c r="O55" s="885">
        <f t="shared" si="36"/>
        <v>0</v>
      </c>
      <c r="P55" s="885">
        <f t="shared" si="36"/>
        <v>0</v>
      </c>
      <c r="Q55" s="885">
        <f t="shared" si="36"/>
        <v>0</v>
      </c>
      <c r="R55" s="885">
        <f t="shared" si="36"/>
        <v>0</v>
      </c>
      <c r="S55" s="885">
        <f t="shared" si="36"/>
        <v>0</v>
      </c>
      <c r="T55" s="885">
        <f t="shared" si="36"/>
        <v>0</v>
      </c>
      <c r="U55" s="885">
        <f t="shared" si="36"/>
        <v>0</v>
      </c>
      <c r="V55" s="885">
        <f t="shared" si="36"/>
        <v>0</v>
      </c>
      <c r="W55" s="885">
        <f t="shared" si="36"/>
        <v>0</v>
      </c>
      <c r="X55" s="885">
        <f t="shared" si="36"/>
        <v>0</v>
      </c>
      <c r="Y55" s="885">
        <f t="shared" si="36"/>
        <v>0</v>
      </c>
      <c r="Z55" s="885">
        <f t="shared" si="36"/>
        <v>0</v>
      </c>
      <c r="AA55" s="885">
        <f t="shared" si="36"/>
        <v>0</v>
      </c>
      <c r="AB55" s="885">
        <f t="shared" si="36"/>
        <v>0</v>
      </c>
      <c r="AC55" s="886">
        <f t="shared" si="36"/>
        <v>0</v>
      </c>
      <c r="AD55" s="1"/>
      <c r="AE55" s="1"/>
    </row>
    <row r="56" spans="8:31" ht="18.75" customHeight="1" outlineLevel="1" x14ac:dyDescent="0.25">
      <c r="H56" s="31"/>
      <c r="I56" s="99"/>
      <c r="J56" s="31" t="s">
        <v>41</v>
      </c>
      <c r="K56" s="38"/>
      <c r="L56" s="749">
        <f>AC56</f>
        <v>0</v>
      </c>
      <c r="N56" s="751">
        <f>SUM($N55:N55)</f>
        <v>0</v>
      </c>
      <c r="O56" s="752">
        <f>SUM($N55:O55)</f>
        <v>0</v>
      </c>
      <c r="P56" s="752">
        <f>SUM($N55:P55)</f>
        <v>0</v>
      </c>
      <c r="Q56" s="752">
        <f>SUM($N55:Q55)</f>
        <v>0</v>
      </c>
      <c r="R56" s="752">
        <f>SUM($N55:R55)</f>
        <v>0</v>
      </c>
      <c r="S56" s="752">
        <f>SUM($N55:S55)</f>
        <v>0</v>
      </c>
      <c r="T56" s="752">
        <f>SUM($N55:T55)</f>
        <v>0</v>
      </c>
      <c r="U56" s="752">
        <f>SUM($N55:U55)</f>
        <v>0</v>
      </c>
      <c r="V56" s="752">
        <f>SUM($N55:V55)</f>
        <v>0</v>
      </c>
      <c r="W56" s="752">
        <f>SUM($N55:W55)</f>
        <v>0</v>
      </c>
      <c r="X56" s="752">
        <f>SUM($N55:X55)</f>
        <v>0</v>
      </c>
      <c r="Y56" s="752">
        <f>SUM($N55:Y55)</f>
        <v>0</v>
      </c>
      <c r="Z56" s="752">
        <f>SUM($N55:Z55)</f>
        <v>0</v>
      </c>
      <c r="AA56" s="752">
        <f>SUM($N55:AA55)</f>
        <v>0</v>
      </c>
      <c r="AB56" s="752">
        <f>SUM($N55:AB55)</f>
        <v>0</v>
      </c>
      <c r="AC56" s="753">
        <f>SUM($N55:AC55)</f>
        <v>0</v>
      </c>
      <c r="AD56" s="1"/>
      <c r="AE56" s="1"/>
    </row>
    <row r="57" spans="8:31" ht="18.75" customHeight="1" outlineLevel="1" x14ac:dyDescent="0.25">
      <c r="H57" s="31"/>
      <c r="I57" s="99"/>
      <c r="J57" s="31" t="s">
        <v>42</v>
      </c>
      <c r="K57" s="38"/>
      <c r="L57" s="749">
        <f>AC57</f>
        <v>0</v>
      </c>
      <c r="N57" s="751">
        <f>N199</f>
        <v>0</v>
      </c>
      <c r="O57" s="752">
        <f t="shared" ref="O57:AC57" si="37">O199</f>
        <v>0</v>
      </c>
      <c r="P57" s="752">
        <f t="shared" si="37"/>
        <v>0</v>
      </c>
      <c r="Q57" s="752">
        <f t="shared" si="37"/>
        <v>0</v>
      </c>
      <c r="R57" s="752">
        <f t="shared" si="37"/>
        <v>0</v>
      </c>
      <c r="S57" s="752">
        <f t="shared" si="37"/>
        <v>0</v>
      </c>
      <c r="T57" s="752">
        <f t="shared" si="37"/>
        <v>0</v>
      </c>
      <c r="U57" s="752">
        <f t="shared" si="37"/>
        <v>0</v>
      </c>
      <c r="V57" s="752">
        <f t="shared" si="37"/>
        <v>0</v>
      </c>
      <c r="W57" s="752">
        <f t="shared" si="37"/>
        <v>0</v>
      </c>
      <c r="X57" s="752">
        <f t="shared" si="37"/>
        <v>0</v>
      </c>
      <c r="Y57" s="752">
        <f t="shared" si="37"/>
        <v>0</v>
      </c>
      <c r="Z57" s="752">
        <f t="shared" si="37"/>
        <v>0</v>
      </c>
      <c r="AA57" s="752">
        <f t="shared" si="37"/>
        <v>0</v>
      </c>
      <c r="AB57" s="752">
        <f t="shared" si="37"/>
        <v>0</v>
      </c>
      <c r="AC57" s="753">
        <f t="shared" si="37"/>
        <v>0</v>
      </c>
      <c r="AD57" s="1"/>
      <c r="AE57" s="1"/>
    </row>
    <row r="58" spans="8:31" ht="28.5" customHeight="1" outlineLevel="1" x14ac:dyDescent="0.4">
      <c r="H58" s="31"/>
      <c r="I58" s="99">
        <v>2</v>
      </c>
      <c r="J58" s="39" t="s">
        <v>43</v>
      </c>
      <c r="K58" s="38"/>
      <c r="L58" s="887"/>
      <c r="N58" s="888"/>
      <c r="O58" s="889"/>
      <c r="P58" s="889"/>
      <c r="Q58" s="889"/>
      <c r="R58" s="889"/>
      <c r="S58" s="889"/>
      <c r="T58" s="889"/>
      <c r="U58" s="889"/>
      <c r="V58" s="889"/>
      <c r="W58" s="889"/>
      <c r="X58" s="889"/>
      <c r="Y58" s="889"/>
      <c r="Z58" s="889"/>
      <c r="AA58" s="889"/>
      <c r="AB58" s="889"/>
      <c r="AC58" s="890"/>
      <c r="AD58" s="1"/>
      <c r="AE58" s="1"/>
    </row>
    <row r="59" spans="8:31" ht="18.75" customHeight="1" outlineLevel="1" x14ac:dyDescent="0.25">
      <c r="H59" s="31"/>
      <c r="I59" s="99"/>
      <c r="J59" s="31" t="s">
        <v>44</v>
      </c>
      <c r="K59" s="38" t="s">
        <v>45</v>
      </c>
      <c r="L59" s="879">
        <f>IFERROR(SUM(N59:AC59)/COUNTIF(N59:AC59,"&gt;10000"),0)</f>
        <v>0</v>
      </c>
      <c r="N59" s="880">
        <f t="shared" ref="N59:AC59" si="38">N288</f>
        <v>0</v>
      </c>
      <c r="O59" s="881">
        <f t="shared" si="38"/>
        <v>0</v>
      </c>
      <c r="P59" s="881">
        <f t="shared" si="38"/>
        <v>0</v>
      </c>
      <c r="Q59" s="881">
        <f t="shared" si="38"/>
        <v>0</v>
      </c>
      <c r="R59" s="881">
        <f t="shared" si="38"/>
        <v>0</v>
      </c>
      <c r="S59" s="881">
        <f t="shared" si="38"/>
        <v>0</v>
      </c>
      <c r="T59" s="881">
        <f t="shared" si="38"/>
        <v>0</v>
      </c>
      <c r="U59" s="881">
        <f t="shared" si="38"/>
        <v>0</v>
      </c>
      <c r="V59" s="881">
        <f t="shared" si="38"/>
        <v>0</v>
      </c>
      <c r="W59" s="881">
        <f t="shared" si="38"/>
        <v>0</v>
      </c>
      <c r="X59" s="881">
        <f t="shared" si="38"/>
        <v>0</v>
      </c>
      <c r="Y59" s="881">
        <f t="shared" si="38"/>
        <v>0</v>
      </c>
      <c r="Z59" s="881">
        <f t="shared" si="38"/>
        <v>0</v>
      </c>
      <c r="AA59" s="881">
        <f t="shared" si="38"/>
        <v>0</v>
      </c>
      <c r="AB59" s="881">
        <f t="shared" si="38"/>
        <v>0</v>
      </c>
      <c r="AC59" s="882">
        <f t="shared" si="38"/>
        <v>0</v>
      </c>
      <c r="AD59" s="1"/>
      <c r="AE59" s="1"/>
    </row>
    <row r="60" spans="8:31" ht="18.75" customHeight="1" outlineLevel="1" x14ac:dyDescent="0.25">
      <c r="H60" s="31"/>
      <c r="I60" s="99"/>
      <c r="J60" s="31" t="s">
        <v>46</v>
      </c>
      <c r="K60" s="38" t="s">
        <v>45</v>
      </c>
      <c r="L60" s="749">
        <f>IFERROR(SUM(N60:AC60)/COUNTIF(N60:AC60,"&gt;1000"),0)</f>
        <v>0</v>
      </c>
      <c r="N60" s="751">
        <f t="shared" ref="N60:AC60" si="39">N295</f>
        <v>0</v>
      </c>
      <c r="O60" s="752">
        <f t="shared" si="39"/>
        <v>0</v>
      </c>
      <c r="P60" s="752">
        <f t="shared" si="39"/>
        <v>0</v>
      </c>
      <c r="Q60" s="752">
        <f t="shared" si="39"/>
        <v>0</v>
      </c>
      <c r="R60" s="752">
        <f t="shared" si="39"/>
        <v>0</v>
      </c>
      <c r="S60" s="752">
        <f t="shared" si="39"/>
        <v>0</v>
      </c>
      <c r="T60" s="752">
        <f t="shared" si="39"/>
        <v>0</v>
      </c>
      <c r="U60" s="752">
        <f t="shared" si="39"/>
        <v>0</v>
      </c>
      <c r="V60" s="752">
        <f t="shared" si="39"/>
        <v>0</v>
      </c>
      <c r="W60" s="752">
        <f t="shared" si="39"/>
        <v>0</v>
      </c>
      <c r="X60" s="752">
        <f t="shared" si="39"/>
        <v>0</v>
      </c>
      <c r="Y60" s="752">
        <f t="shared" si="39"/>
        <v>0</v>
      </c>
      <c r="Z60" s="752">
        <f t="shared" si="39"/>
        <v>0</v>
      </c>
      <c r="AA60" s="752">
        <f t="shared" si="39"/>
        <v>0</v>
      </c>
      <c r="AB60" s="752">
        <f t="shared" si="39"/>
        <v>0</v>
      </c>
      <c r="AC60" s="753">
        <f t="shared" si="39"/>
        <v>0</v>
      </c>
      <c r="AD60" s="1"/>
      <c r="AE60" s="1"/>
    </row>
    <row r="61" spans="8:31" ht="18.75" customHeight="1" outlineLevel="1" thickBot="1" x14ac:dyDescent="0.3">
      <c r="H61" s="31"/>
      <c r="I61" s="99"/>
      <c r="J61" s="120" t="s">
        <v>47</v>
      </c>
      <c r="K61" s="38" t="s">
        <v>45</v>
      </c>
      <c r="L61" s="891">
        <f>IFERROR(SUM(N61:AC61)/COUNTIF(N61:AC61,"&gt;10000"),0)</f>
        <v>0</v>
      </c>
      <c r="N61" s="892">
        <f t="shared" ref="N61:AC61" si="40">N314</f>
        <v>0</v>
      </c>
      <c r="O61" s="893">
        <f t="shared" si="40"/>
        <v>0</v>
      </c>
      <c r="P61" s="893">
        <f t="shared" si="40"/>
        <v>0</v>
      </c>
      <c r="Q61" s="893">
        <f t="shared" si="40"/>
        <v>0</v>
      </c>
      <c r="R61" s="893">
        <f t="shared" si="40"/>
        <v>0</v>
      </c>
      <c r="S61" s="893">
        <f t="shared" si="40"/>
        <v>0</v>
      </c>
      <c r="T61" s="893">
        <f t="shared" si="40"/>
        <v>0</v>
      </c>
      <c r="U61" s="893">
        <f t="shared" si="40"/>
        <v>0</v>
      </c>
      <c r="V61" s="893">
        <f t="shared" si="40"/>
        <v>0</v>
      </c>
      <c r="W61" s="893">
        <f t="shared" si="40"/>
        <v>0</v>
      </c>
      <c r="X61" s="893">
        <f t="shared" si="40"/>
        <v>0</v>
      </c>
      <c r="Y61" s="893">
        <f t="shared" si="40"/>
        <v>0</v>
      </c>
      <c r="Z61" s="893">
        <f t="shared" si="40"/>
        <v>0</v>
      </c>
      <c r="AA61" s="893">
        <f t="shared" si="40"/>
        <v>0</v>
      </c>
      <c r="AB61" s="893">
        <f t="shared" si="40"/>
        <v>0</v>
      </c>
      <c r="AC61" s="894">
        <f t="shared" si="40"/>
        <v>0</v>
      </c>
      <c r="AD61" s="1"/>
      <c r="AE61" s="1"/>
    </row>
    <row r="62" spans="8:31" ht="28.5" customHeight="1" outlineLevel="1" thickTop="1" x14ac:dyDescent="0.4">
      <c r="H62" s="31"/>
      <c r="I62" s="99">
        <v>3</v>
      </c>
      <c r="J62" s="39" t="s">
        <v>48</v>
      </c>
      <c r="K62" s="38"/>
      <c r="L62" s="895"/>
      <c r="N62" s="896"/>
      <c r="O62" s="897"/>
      <c r="P62" s="897"/>
      <c r="Q62" s="897"/>
      <c r="R62" s="897"/>
      <c r="S62" s="897"/>
      <c r="T62" s="897"/>
      <c r="U62" s="897"/>
      <c r="V62" s="897"/>
      <c r="W62" s="897"/>
      <c r="X62" s="897"/>
      <c r="Y62" s="897"/>
      <c r="Z62" s="897"/>
      <c r="AA62" s="897"/>
      <c r="AB62" s="897"/>
      <c r="AC62" s="898"/>
      <c r="AD62" s="1"/>
      <c r="AE62" s="1"/>
    </row>
    <row r="63" spans="8:31" ht="18.75" customHeight="1" outlineLevel="1" x14ac:dyDescent="0.25">
      <c r="I63" s="99"/>
      <c r="J63" s="31" t="s">
        <v>49</v>
      </c>
      <c r="K63" s="125" t="s">
        <v>50</v>
      </c>
      <c r="L63" s="749">
        <f>SUM(N63:AC63)</f>
        <v>0</v>
      </c>
      <c r="N63" s="751" t="str">
        <f t="shared" ref="N63:AC64" si="41">IF(N101&lt;=0,"Nil",N101)</f>
        <v>Nil</v>
      </c>
      <c r="O63" s="752" t="str">
        <f t="shared" si="41"/>
        <v>Nil</v>
      </c>
      <c r="P63" s="752" t="str">
        <f t="shared" si="41"/>
        <v>Nil</v>
      </c>
      <c r="Q63" s="752" t="str">
        <f t="shared" si="41"/>
        <v>Nil</v>
      </c>
      <c r="R63" s="752" t="str">
        <f t="shared" si="41"/>
        <v>Nil</v>
      </c>
      <c r="S63" s="752" t="str">
        <f t="shared" si="41"/>
        <v>Nil</v>
      </c>
      <c r="T63" s="752" t="str">
        <f t="shared" si="41"/>
        <v>Nil</v>
      </c>
      <c r="U63" s="752" t="str">
        <f t="shared" si="41"/>
        <v>Nil</v>
      </c>
      <c r="V63" s="752" t="str">
        <f t="shared" si="41"/>
        <v>Nil</v>
      </c>
      <c r="W63" s="752" t="str">
        <f t="shared" si="41"/>
        <v>Nil</v>
      </c>
      <c r="X63" s="752" t="str">
        <f t="shared" si="41"/>
        <v>Nil</v>
      </c>
      <c r="Y63" s="752" t="str">
        <f t="shared" si="41"/>
        <v>Nil</v>
      </c>
      <c r="Z63" s="752" t="str">
        <f t="shared" si="41"/>
        <v>Nil</v>
      </c>
      <c r="AA63" s="752" t="str">
        <f t="shared" si="41"/>
        <v>Nil</v>
      </c>
      <c r="AB63" s="752" t="str">
        <f t="shared" si="41"/>
        <v>Nil</v>
      </c>
      <c r="AC63" s="753" t="str">
        <f t="shared" si="41"/>
        <v>Nil</v>
      </c>
      <c r="AD63" s="1"/>
      <c r="AE63" s="1"/>
    </row>
    <row r="64" spans="8:31" ht="18.75" customHeight="1" outlineLevel="1" x14ac:dyDescent="0.25">
      <c r="H64" s="31"/>
      <c r="I64" s="99"/>
      <c r="J64" s="31" t="s">
        <v>51</v>
      </c>
      <c r="K64" s="125" t="s">
        <v>52</v>
      </c>
      <c r="L64" s="749">
        <f>SUM(N64:AC64)</f>
        <v>0</v>
      </c>
      <c r="N64" s="751" t="str">
        <f t="shared" si="41"/>
        <v>Nil</v>
      </c>
      <c r="O64" s="752" t="str">
        <f t="shared" si="41"/>
        <v>Nil</v>
      </c>
      <c r="P64" s="752" t="str">
        <f t="shared" si="41"/>
        <v>Nil</v>
      </c>
      <c r="Q64" s="752" t="str">
        <f t="shared" si="41"/>
        <v>Nil</v>
      </c>
      <c r="R64" s="752" t="str">
        <f t="shared" si="41"/>
        <v>Nil</v>
      </c>
      <c r="S64" s="752" t="str">
        <f t="shared" si="41"/>
        <v>Nil</v>
      </c>
      <c r="T64" s="752" t="str">
        <f t="shared" si="41"/>
        <v>Nil</v>
      </c>
      <c r="U64" s="752" t="str">
        <f t="shared" si="41"/>
        <v>Nil</v>
      </c>
      <c r="V64" s="752" t="str">
        <f t="shared" si="41"/>
        <v>Nil</v>
      </c>
      <c r="W64" s="752" t="str">
        <f t="shared" si="41"/>
        <v>Nil</v>
      </c>
      <c r="X64" s="752" t="str">
        <f t="shared" si="41"/>
        <v>Nil</v>
      </c>
      <c r="Y64" s="752" t="str">
        <f t="shared" si="41"/>
        <v>Nil</v>
      </c>
      <c r="Z64" s="752" t="str">
        <f t="shared" si="41"/>
        <v>Nil</v>
      </c>
      <c r="AA64" s="752" t="str">
        <f t="shared" si="41"/>
        <v>Nil</v>
      </c>
      <c r="AB64" s="752" t="str">
        <f t="shared" si="41"/>
        <v>Nil</v>
      </c>
      <c r="AC64" s="753" t="str">
        <f t="shared" si="41"/>
        <v>Nil</v>
      </c>
      <c r="AD64" s="1"/>
      <c r="AE64" s="1"/>
    </row>
    <row r="65" spans="8:46" ht="18.75" customHeight="1" outlineLevel="1" thickBot="1" x14ac:dyDescent="0.3">
      <c r="H65" s="31"/>
      <c r="I65" s="99"/>
      <c r="J65" s="31" t="s">
        <v>53</v>
      </c>
      <c r="K65" s="126"/>
      <c r="L65" s="891">
        <f>SUM(N65:AC65)</f>
        <v>0</v>
      </c>
      <c r="N65" s="892">
        <f>SUM(N63:N64)</f>
        <v>0</v>
      </c>
      <c r="O65" s="893">
        <f t="shared" ref="O65:AC65" si="42">SUM(O63:O64)</f>
        <v>0</v>
      </c>
      <c r="P65" s="893">
        <f t="shared" si="42"/>
        <v>0</v>
      </c>
      <c r="Q65" s="893">
        <f t="shared" si="42"/>
        <v>0</v>
      </c>
      <c r="R65" s="893">
        <f t="shared" si="42"/>
        <v>0</v>
      </c>
      <c r="S65" s="893">
        <f t="shared" si="42"/>
        <v>0</v>
      </c>
      <c r="T65" s="893">
        <f t="shared" si="42"/>
        <v>0</v>
      </c>
      <c r="U65" s="893">
        <f t="shared" si="42"/>
        <v>0</v>
      </c>
      <c r="V65" s="893">
        <f t="shared" si="42"/>
        <v>0</v>
      </c>
      <c r="W65" s="893">
        <f t="shared" si="42"/>
        <v>0</v>
      </c>
      <c r="X65" s="893">
        <f t="shared" si="42"/>
        <v>0</v>
      </c>
      <c r="Y65" s="893">
        <f t="shared" si="42"/>
        <v>0</v>
      </c>
      <c r="Z65" s="893">
        <f t="shared" si="42"/>
        <v>0</v>
      </c>
      <c r="AA65" s="893">
        <f t="shared" si="42"/>
        <v>0</v>
      </c>
      <c r="AB65" s="893">
        <f t="shared" si="42"/>
        <v>0</v>
      </c>
      <c r="AC65" s="894">
        <f t="shared" si="42"/>
        <v>0</v>
      </c>
      <c r="AD65" s="1"/>
      <c r="AE65" s="1"/>
    </row>
    <row r="66" spans="8:46" ht="18" outlineLevel="1" thickTop="1" thickBot="1" x14ac:dyDescent="0.35">
      <c r="H66" s="31"/>
      <c r="I66" s="99"/>
      <c r="J66" s="127"/>
      <c r="K66" s="127"/>
      <c r="L66" s="128"/>
      <c r="N66" s="129"/>
      <c r="O66" s="130"/>
      <c r="P66" s="130"/>
      <c r="Q66" s="130"/>
      <c r="R66" s="130"/>
      <c r="S66" s="130"/>
      <c r="T66" s="130"/>
      <c r="U66" s="130"/>
      <c r="V66" s="130"/>
      <c r="W66" s="130"/>
      <c r="X66" s="130"/>
      <c r="Y66" s="130"/>
      <c r="Z66" s="130"/>
      <c r="AA66" s="130"/>
      <c r="AB66" s="130"/>
      <c r="AC66" s="131"/>
      <c r="AD66" s="1"/>
      <c r="AE66" s="1"/>
    </row>
    <row r="67" spans="8:46" ht="18.75" x14ac:dyDescent="0.2">
      <c r="I67" s="132">
        <v>2</v>
      </c>
      <c r="J67" s="33" t="s">
        <v>54</v>
      </c>
      <c r="K67" s="33"/>
      <c r="L67" s="33"/>
      <c r="N67" s="133">
        <f>N$11</f>
        <v>2024</v>
      </c>
      <c r="O67" s="133">
        <f t="shared" ref="O67:AC67" si="43">O$11</f>
        <v>2025</v>
      </c>
      <c r="P67" s="133">
        <f t="shared" si="43"/>
        <v>2026</v>
      </c>
      <c r="Q67" s="133">
        <f t="shared" si="43"/>
        <v>2027</v>
      </c>
      <c r="R67" s="133">
        <f t="shared" si="43"/>
        <v>2028</v>
      </c>
      <c r="S67" s="133">
        <f t="shared" si="43"/>
        <v>2029</v>
      </c>
      <c r="T67" s="133">
        <f t="shared" si="43"/>
        <v>2030</v>
      </c>
      <c r="U67" s="133">
        <f t="shared" si="43"/>
        <v>2031</v>
      </c>
      <c r="V67" s="133">
        <f t="shared" si="43"/>
        <v>2032</v>
      </c>
      <c r="W67" s="133">
        <f t="shared" si="43"/>
        <v>2033</v>
      </c>
      <c r="X67" s="133">
        <f t="shared" si="43"/>
        <v>2034</v>
      </c>
      <c r="Y67" s="133">
        <f t="shared" si="43"/>
        <v>2035</v>
      </c>
      <c r="Z67" s="133">
        <f t="shared" si="43"/>
        <v>2036</v>
      </c>
      <c r="AA67" s="133">
        <f t="shared" si="43"/>
        <v>2037</v>
      </c>
      <c r="AB67" s="133">
        <f t="shared" si="43"/>
        <v>2038</v>
      </c>
      <c r="AC67" s="133">
        <f t="shared" si="43"/>
        <v>2039</v>
      </c>
      <c r="AD67" s="1"/>
      <c r="AE67" s="519" t="s">
        <v>353</v>
      </c>
      <c r="AF67" s="520"/>
      <c r="AG67" s="520"/>
      <c r="AH67" s="520"/>
      <c r="AI67" s="1233" t="s">
        <v>365</v>
      </c>
      <c r="AJ67" s="1234"/>
      <c r="AK67" s="1234"/>
      <c r="AL67" s="1235"/>
      <c r="AM67" s="484"/>
      <c r="AN67" s="521" t="s">
        <v>360</v>
      </c>
      <c r="AO67" s="521"/>
      <c r="AP67" s="522"/>
      <c r="AQ67" s="523"/>
      <c r="AR67" s="521" t="s">
        <v>361</v>
      </c>
      <c r="AS67" s="521"/>
      <c r="AT67" s="522"/>
    </row>
    <row r="68" spans="8:46" ht="15.4" customHeight="1" x14ac:dyDescent="0.3">
      <c r="I68" s="99"/>
      <c r="J68" s="66"/>
      <c r="K68" s="134" t="s">
        <v>55</v>
      </c>
      <c r="L68" s="135"/>
      <c r="N68" s="66"/>
      <c r="O68" s="66"/>
      <c r="P68" s="66"/>
      <c r="Q68" s="66"/>
      <c r="R68" s="66"/>
      <c r="S68" s="66"/>
      <c r="T68" s="66"/>
      <c r="U68" s="66"/>
      <c r="V68" s="66"/>
      <c r="W68" s="66"/>
      <c r="X68" s="66"/>
      <c r="Y68" s="66"/>
      <c r="Z68" s="66"/>
      <c r="AA68" s="66"/>
      <c r="AB68" s="66"/>
      <c r="AC68" s="66"/>
      <c r="AD68" s="66"/>
      <c r="AE68" s="1236" t="s">
        <v>354</v>
      </c>
      <c r="AF68" s="1237"/>
      <c r="AG68" s="1237"/>
      <c r="AH68" s="1238"/>
      <c r="AI68" s="1242" t="s">
        <v>355</v>
      </c>
      <c r="AJ68" s="1243"/>
      <c r="AK68" s="1242" t="s">
        <v>366</v>
      </c>
      <c r="AL68" s="1246"/>
      <c r="AM68" s="485"/>
      <c r="AN68" s="1214" t="s">
        <v>362</v>
      </c>
      <c r="AO68" s="1214" t="s">
        <v>363</v>
      </c>
      <c r="AP68" s="1214" t="s">
        <v>364</v>
      </c>
      <c r="AQ68" s="524"/>
      <c r="AR68" s="1205" t="s">
        <v>329</v>
      </c>
      <c r="AS68" s="1205" t="s">
        <v>367</v>
      </c>
      <c r="AT68" s="1207" t="s">
        <v>368</v>
      </c>
    </row>
    <row r="69" spans="8:46" ht="19.5" customHeight="1" x14ac:dyDescent="0.25">
      <c r="I69" s="38" t="s">
        <v>9</v>
      </c>
      <c r="J69" s="136" t="s">
        <v>384</v>
      </c>
      <c r="K69" s="137" t="s">
        <v>56</v>
      </c>
      <c r="L69" s="772">
        <f>SUM(N69:AC69)</f>
        <v>0</v>
      </c>
      <c r="M69" s="750"/>
      <c r="N69" s="773">
        <f>SUM(N70,N73,N74)</f>
        <v>0</v>
      </c>
      <c r="O69" s="774">
        <f t="shared" ref="O69:AC69" si="44">SUM(O70,O73,O74)</f>
        <v>0</v>
      </c>
      <c r="P69" s="774">
        <f t="shared" si="44"/>
        <v>0</v>
      </c>
      <c r="Q69" s="774">
        <f t="shared" si="44"/>
        <v>0</v>
      </c>
      <c r="R69" s="774">
        <f t="shared" si="44"/>
        <v>0</v>
      </c>
      <c r="S69" s="774">
        <f t="shared" si="44"/>
        <v>0</v>
      </c>
      <c r="T69" s="774">
        <f t="shared" si="44"/>
        <v>0</v>
      </c>
      <c r="U69" s="774">
        <f t="shared" si="44"/>
        <v>0</v>
      </c>
      <c r="V69" s="774">
        <f t="shared" si="44"/>
        <v>0</v>
      </c>
      <c r="W69" s="774">
        <f t="shared" si="44"/>
        <v>0</v>
      </c>
      <c r="X69" s="774">
        <f t="shared" si="44"/>
        <v>0</v>
      </c>
      <c r="Y69" s="774">
        <f t="shared" si="44"/>
        <v>0</v>
      </c>
      <c r="Z69" s="774">
        <f t="shared" si="44"/>
        <v>0</v>
      </c>
      <c r="AA69" s="774">
        <f t="shared" si="44"/>
        <v>0</v>
      </c>
      <c r="AB69" s="774">
        <f t="shared" si="44"/>
        <v>0</v>
      </c>
      <c r="AC69" s="775">
        <f t="shared" si="44"/>
        <v>0</v>
      </c>
      <c r="AD69" s="1"/>
      <c r="AE69" s="1239"/>
      <c r="AF69" s="1240"/>
      <c r="AG69" s="1240"/>
      <c r="AH69" s="1241"/>
      <c r="AI69" s="1244"/>
      <c r="AJ69" s="1245"/>
      <c r="AK69" s="1244"/>
      <c r="AL69" s="1247"/>
      <c r="AM69" s="485"/>
      <c r="AN69" s="1215"/>
      <c r="AO69" s="1215"/>
      <c r="AP69" s="1215"/>
      <c r="AQ69" s="524"/>
      <c r="AR69" s="1206"/>
      <c r="AS69" s="1206"/>
      <c r="AT69" s="1208"/>
    </row>
    <row r="70" spans="8:46" ht="19.5" customHeight="1" thickBot="1" x14ac:dyDescent="0.3">
      <c r="I70" s="38" t="s">
        <v>22</v>
      </c>
      <c r="J70" s="138" t="s">
        <v>57</v>
      </c>
      <c r="K70" s="137" t="s">
        <v>56</v>
      </c>
      <c r="L70" s="776">
        <f>SUM(N70:AC70)</f>
        <v>0</v>
      </c>
      <c r="M70" s="750"/>
      <c r="N70" s="777">
        <f>SUM(N71:N72)</f>
        <v>0</v>
      </c>
      <c r="O70" s="778">
        <f t="shared" ref="O70:AC70" si="45">SUM(O71:O72)</f>
        <v>0</v>
      </c>
      <c r="P70" s="778">
        <f t="shared" si="45"/>
        <v>0</v>
      </c>
      <c r="Q70" s="778">
        <f t="shared" si="45"/>
        <v>0</v>
      </c>
      <c r="R70" s="778">
        <f t="shared" si="45"/>
        <v>0</v>
      </c>
      <c r="S70" s="778">
        <f t="shared" si="45"/>
        <v>0</v>
      </c>
      <c r="T70" s="778">
        <f t="shared" si="45"/>
        <v>0</v>
      </c>
      <c r="U70" s="778">
        <f t="shared" si="45"/>
        <v>0</v>
      </c>
      <c r="V70" s="778">
        <f t="shared" si="45"/>
        <v>0</v>
      </c>
      <c r="W70" s="778">
        <f t="shared" si="45"/>
        <v>0</v>
      </c>
      <c r="X70" s="778">
        <f t="shared" si="45"/>
        <v>0</v>
      </c>
      <c r="Y70" s="778">
        <f t="shared" si="45"/>
        <v>0</v>
      </c>
      <c r="Z70" s="778">
        <f t="shared" si="45"/>
        <v>0</v>
      </c>
      <c r="AA70" s="778">
        <f t="shared" si="45"/>
        <v>0</v>
      </c>
      <c r="AB70" s="778">
        <f t="shared" si="45"/>
        <v>0</v>
      </c>
      <c r="AC70" s="779">
        <f t="shared" si="45"/>
        <v>0</v>
      </c>
      <c r="AD70" s="1"/>
      <c r="AE70" s="1216"/>
      <c r="AF70" s="1217"/>
      <c r="AG70" s="1218"/>
      <c r="AH70" s="1209" t="s">
        <v>356</v>
      </c>
      <c r="AI70" s="486" t="s">
        <v>330</v>
      </c>
      <c r="AJ70" s="487" t="s">
        <v>331</v>
      </c>
      <c r="AK70" s="486" t="s">
        <v>330</v>
      </c>
      <c r="AL70" s="487" t="s">
        <v>331</v>
      </c>
      <c r="AM70" s="463"/>
      <c r="AN70" s="1215"/>
      <c r="AO70" s="1215"/>
      <c r="AP70" s="1215"/>
      <c r="AQ70" s="524"/>
      <c r="AR70" s="1206"/>
      <c r="AS70" s="1206"/>
      <c r="AT70" s="1208"/>
    </row>
    <row r="71" spans="8:46" ht="19.5" customHeight="1" thickBot="1" x14ac:dyDescent="0.3">
      <c r="I71" s="38" t="s">
        <v>58</v>
      </c>
      <c r="J71" s="139" t="s">
        <v>59</v>
      </c>
      <c r="K71" s="137"/>
      <c r="L71" s="776">
        <f t="shared" ref="L71:L75" si="46">SUM(N71:AC71)</f>
        <v>0</v>
      </c>
      <c r="M71" s="750"/>
      <c r="N71" s="1011"/>
      <c r="O71" s="1012"/>
      <c r="P71" s="1012"/>
      <c r="Q71" s="1012"/>
      <c r="R71" s="1012"/>
      <c r="S71" s="1012"/>
      <c r="T71" s="1012"/>
      <c r="U71" s="1012"/>
      <c r="V71" s="1012"/>
      <c r="W71" s="1012"/>
      <c r="X71" s="1013"/>
      <c r="Y71" s="1013"/>
      <c r="Z71" s="1013"/>
      <c r="AA71" s="1013"/>
      <c r="AB71" s="1013"/>
      <c r="AC71" s="1014"/>
      <c r="AD71" s="1"/>
      <c r="AE71" s="1219" t="s">
        <v>357</v>
      </c>
      <c r="AF71" s="1220"/>
      <c r="AG71" s="1220"/>
      <c r="AH71" s="1210"/>
      <c r="AI71" s="489" t="s">
        <v>332</v>
      </c>
      <c r="AJ71" s="490"/>
      <c r="AK71" s="525" t="s">
        <v>369</v>
      </c>
      <c r="AL71" s="490"/>
      <c r="AM71" s="463"/>
      <c r="AN71" s="463"/>
      <c r="AO71" s="463"/>
      <c r="AP71" s="491"/>
      <c r="AQ71" s="516"/>
      <c r="AT71" s="351"/>
    </row>
    <row r="72" spans="8:46" ht="19.5" customHeight="1" x14ac:dyDescent="0.25">
      <c r="I72" s="38" t="s">
        <v>60</v>
      </c>
      <c r="J72" s="139" t="s">
        <v>61</v>
      </c>
      <c r="K72" s="137"/>
      <c r="L72" s="776">
        <f t="shared" si="46"/>
        <v>0</v>
      </c>
      <c r="M72" s="750"/>
      <c r="N72" s="1015"/>
      <c r="O72" s="1016"/>
      <c r="P72" s="1016"/>
      <c r="Q72" s="1016"/>
      <c r="R72" s="1016"/>
      <c r="S72" s="1016"/>
      <c r="T72" s="1016"/>
      <c r="U72" s="1016"/>
      <c r="V72" s="1016"/>
      <c r="W72" s="1016"/>
      <c r="X72" s="1016"/>
      <c r="Y72" s="1016"/>
      <c r="Z72" s="1016"/>
      <c r="AA72" s="1016"/>
      <c r="AB72" s="1016"/>
      <c r="AC72" s="1017"/>
      <c r="AD72" s="1"/>
      <c r="AE72" s="1248" t="s">
        <v>358</v>
      </c>
      <c r="AF72" s="1249"/>
      <c r="AG72" s="1249"/>
      <c r="AH72" s="492">
        <v>44927</v>
      </c>
      <c r="AI72" s="494">
        <v>0.1</v>
      </c>
      <c r="AJ72" s="493">
        <f>AI72*$AJ$71</f>
        <v>0</v>
      </c>
      <c r="AK72" s="494"/>
      <c r="AL72" s="495">
        <f>AK72*$AL$71</f>
        <v>0</v>
      </c>
      <c r="AM72" s="463"/>
      <c r="AN72" s="496">
        <f>MAX(YEAR(AH72),AN71)</f>
        <v>2023</v>
      </c>
      <c r="AO72" s="497">
        <f t="shared" ref="AO72:AO87" si="47">AJ72+AL72</f>
        <v>0</v>
      </c>
      <c r="AP72" s="498">
        <f>SUM(AO$71:AO72)</f>
        <v>0</v>
      </c>
      <c r="AQ72" s="516"/>
      <c r="AR72" s="496">
        <f>AN72</f>
        <v>2023</v>
      </c>
      <c r="AS72" s="497">
        <f>SUMIF($AN$72:$AN$88,AR72,$AO$72:$AO$88)+AS71</f>
        <v>0</v>
      </c>
      <c r="AT72" s="498">
        <f>IFERROR(IF(MATCH(AR72,$AN$72:$AN$87,0)&gt;0,MIN(_xlfn.MINIFS($AP$72:$AP$88,$AN$72:$AN$88,AR72)-IF(AS72&lt;0,AS72,0),0),0),0)</f>
        <v>0</v>
      </c>
    </row>
    <row r="73" spans="8:46" ht="19.5" customHeight="1" x14ac:dyDescent="0.25">
      <c r="I73" s="536" t="s">
        <v>349</v>
      </c>
      <c r="J73" s="138" t="s">
        <v>376</v>
      </c>
      <c r="K73" s="137" t="s">
        <v>377</v>
      </c>
      <c r="L73" s="776">
        <f t="shared" si="46"/>
        <v>0</v>
      </c>
      <c r="M73" s="750"/>
      <c r="N73" s="1018">
        <f>-IF(N142&lt;0,N142,0)</f>
        <v>0</v>
      </c>
      <c r="O73" s="1019">
        <f t="shared" ref="O73:AC73" si="48">-IF(O142&lt;0,O142,0)</f>
        <v>0</v>
      </c>
      <c r="P73" s="1019">
        <f t="shared" si="48"/>
        <v>0</v>
      </c>
      <c r="Q73" s="1019">
        <f t="shared" si="48"/>
        <v>0</v>
      </c>
      <c r="R73" s="1019">
        <f t="shared" si="48"/>
        <v>0</v>
      </c>
      <c r="S73" s="1019">
        <f t="shared" si="48"/>
        <v>0</v>
      </c>
      <c r="T73" s="1019">
        <f t="shared" si="48"/>
        <v>0</v>
      </c>
      <c r="U73" s="1019">
        <f t="shared" si="48"/>
        <v>0</v>
      </c>
      <c r="V73" s="1019">
        <f t="shared" si="48"/>
        <v>0</v>
      </c>
      <c r="W73" s="1019">
        <f t="shared" si="48"/>
        <v>0</v>
      </c>
      <c r="X73" s="1019">
        <f t="shared" si="48"/>
        <v>0</v>
      </c>
      <c r="Y73" s="1019">
        <f t="shared" si="48"/>
        <v>0</v>
      </c>
      <c r="Z73" s="1019">
        <f t="shared" si="48"/>
        <v>0</v>
      </c>
      <c r="AA73" s="1019">
        <f t="shared" si="48"/>
        <v>0</v>
      </c>
      <c r="AB73" s="1019">
        <f t="shared" si="48"/>
        <v>0</v>
      </c>
      <c r="AC73" s="1020">
        <f t="shared" si="48"/>
        <v>0</v>
      </c>
      <c r="AD73" s="1"/>
      <c r="AE73" s="1211" t="s">
        <v>359</v>
      </c>
      <c r="AF73" s="1212"/>
      <c r="AG73" s="1213"/>
      <c r="AH73" s="492">
        <v>45292</v>
      </c>
      <c r="AI73" s="499">
        <f>40%-AI72</f>
        <v>0.30000000000000004</v>
      </c>
      <c r="AJ73" s="493">
        <f t="shared" ref="AJ73:AJ79" si="49">AI73*$AJ$71</f>
        <v>0</v>
      </c>
      <c r="AK73" s="494"/>
      <c r="AL73" s="495">
        <f t="shared" ref="AL73:AL79" si="50">AK73*$AL$71</f>
        <v>0</v>
      </c>
      <c r="AM73" s="463"/>
      <c r="AN73" s="496">
        <f>MAX(YEAR(AH73),AN72)</f>
        <v>2024</v>
      </c>
      <c r="AO73" s="497">
        <f t="shared" si="47"/>
        <v>0</v>
      </c>
      <c r="AP73" s="498">
        <f>SUM(AO$71:AO73)</f>
        <v>0</v>
      </c>
      <c r="AR73" s="496">
        <f>AR72+1</f>
        <v>2024</v>
      </c>
      <c r="AS73" s="497">
        <f t="shared" ref="AS73:AS87" si="51">SUMIF($AN$72:$AN$88,AR73,$AO$72:$AO$88)+AS72</f>
        <v>0</v>
      </c>
      <c r="AT73" s="498">
        <f t="shared" ref="AT73:AT87" si="52">IFERROR(IF(MATCH(AR73,$AN$72:$AN$87,0)&gt;0,MIN(_xlfn.MINIFS($AP$72:$AP$88,$AN$72:$AN$88,AR73)-IF(AS73&lt;0,AS73,0),0),0),0)</f>
        <v>0</v>
      </c>
    </row>
    <row r="74" spans="8:46" ht="19.5" customHeight="1" x14ac:dyDescent="0.25">
      <c r="I74" s="536" t="s">
        <v>350</v>
      </c>
      <c r="J74" s="138" t="s">
        <v>378</v>
      </c>
      <c r="K74" s="137" t="s">
        <v>56</v>
      </c>
      <c r="L74" s="783">
        <f>SUM(N74:AC74)</f>
        <v>0</v>
      </c>
      <c r="M74" s="750"/>
      <c r="N74" s="1021">
        <f>-K131</f>
        <v>0</v>
      </c>
      <c r="O74" s="1022"/>
      <c r="P74" s="1022"/>
      <c r="Q74" s="1022"/>
      <c r="R74" s="1022"/>
      <c r="S74" s="1022"/>
      <c r="T74" s="1022"/>
      <c r="U74" s="1022"/>
      <c r="V74" s="1022"/>
      <c r="W74" s="1022"/>
      <c r="X74" s="1023"/>
      <c r="Y74" s="1023"/>
      <c r="Z74" s="1023"/>
      <c r="AA74" s="1023"/>
      <c r="AB74" s="1023"/>
      <c r="AC74" s="1024"/>
      <c r="AD74" s="1"/>
      <c r="AE74" s="1211" t="s">
        <v>333</v>
      </c>
      <c r="AF74" s="1212"/>
      <c r="AG74" s="1213"/>
      <c r="AH74" s="500">
        <v>45383</v>
      </c>
      <c r="AI74" s="499">
        <v>0.2</v>
      </c>
      <c r="AJ74" s="493">
        <f t="shared" si="49"/>
        <v>0</v>
      </c>
      <c r="AK74" s="494"/>
      <c r="AL74" s="495">
        <f t="shared" si="50"/>
        <v>0</v>
      </c>
      <c r="AM74" s="463"/>
      <c r="AN74" s="496">
        <f t="shared" ref="AN74:AN79" si="53">MAX(YEAR(AH74),AN73)</f>
        <v>2024</v>
      </c>
      <c r="AO74" s="497">
        <f t="shared" si="47"/>
        <v>0</v>
      </c>
      <c r="AP74" s="498">
        <f>SUM(AO$71:AO74)</f>
        <v>0</v>
      </c>
      <c r="AQ74" s="516"/>
      <c r="AR74" s="496">
        <f t="shared" ref="AR74:AR87" si="54">AR73+1</f>
        <v>2025</v>
      </c>
      <c r="AS74" s="497">
        <f t="shared" si="51"/>
        <v>0</v>
      </c>
      <c r="AT74" s="498">
        <f t="shared" si="52"/>
        <v>0</v>
      </c>
    </row>
    <row r="75" spans="8:46" ht="19.5" customHeight="1" x14ac:dyDescent="0.25">
      <c r="I75" s="536" t="s">
        <v>62</v>
      </c>
      <c r="J75" s="138" t="s">
        <v>63</v>
      </c>
      <c r="K75" s="137" t="s">
        <v>56</v>
      </c>
      <c r="L75" s="784">
        <f t="shared" si="46"/>
        <v>0</v>
      </c>
      <c r="M75" s="750"/>
      <c r="N75" s="1025"/>
      <c r="O75" s="1026"/>
      <c r="P75" s="1026"/>
      <c r="Q75" s="1026"/>
      <c r="R75" s="1026"/>
      <c r="S75" s="1026"/>
      <c r="T75" s="1026"/>
      <c r="U75" s="1026"/>
      <c r="V75" s="1026"/>
      <c r="W75" s="1026"/>
      <c r="X75" s="1026"/>
      <c r="Y75" s="1026"/>
      <c r="Z75" s="1026"/>
      <c r="AA75" s="1026"/>
      <c r="AB75" s="1026"/>
      <c r="AC75" s="1027"/>
      <c r="AD75" s="1"/>
      <c r="AE75" s="1211" t="s">
        <v>334</v>
      </c>
      <c r="AF75" s="1212"/>
      <c r="AG75" s="1213"/>
      <c r="AH75" s="500">
        <v>45383</v>
      </c>
      <c r="AI75" s="499">
        <v>0.2</v>
      </c>
      <c r="AJ75" s="493">
        <f t="shared" si="49"/>
        <v>0</v>
      </c>
      <c r="AK75" s="494"/>
      <c r="AL75" s="495">
        <f t="shared" si="50"/>
        <v>0</v>
      </c>
      <c r="AM75" s="463"/>
      <c r="AN75" s="496">
        <f t="shared" si="53"/>
        <v>2024</v>
      </c>
      <c r="AO75" s="497">
        <f t="shared" si="47"/>
        <v>0</v>
      </c>
      <c r="AP75" s="498">
        <f>SUM(AO$71:AO75)</f>
        <v>0</v>
      </c>
      <c r="AQ75" s="516"/>
      <c r="AR75" s="496">
        <f t="shared" si="54"/>
        <v>2026</v>
      </c>
      <c r="AS75" s="497">
        <f t="shared" si="51"/>
        <v>0</v>
      </c>
      <c r="AT75" s="498">
        <f t="shared" si="52"/>
        <v>0</v>
      </c>
    </row>
    <row r="76" spans="8:46" x14ac:dyDescent="0.25">
      <c r="I76" s="140"/>
      <c r="J76" s="110"/>
      <c r="K76" s="141"/>
      <c r="L76" s="141"/>
      <c r="N76" s="142"/>
      <c r="O76" s="142"/>
      <c r="P76" s="142"/>
      <c r="Q76" s="142"/>
      <c r="R76" s="142"/>
      <c r="S76" s="142"/>
      <c r="T76" s="142"/>
      <c r="U76" s="142"/>
      <c r="V76" s="142"/>
      <c r="W76" s="142"/>
      <c r="X76" s="142"/>
      <c r="Y76" s="142"/>
      <c r="Z76" s="142"/>
      <c r="AA76" s="142"/>
      <c r="AB76" s="142"/>
      <c r="AC76" s="142"/>
      <c r="AD76" s="1"/>
      <c r="AE76" s="1211" t="s">
        <v>335</v>
      </c>
      <c r="AF76" s="1212"/>
      <c r="AG76" s="1213"/>
      <c r="AH76" s="500">
        <v>45536</v>
      </c>
      <c r="AI76" s="499">
        <v>0.2</v>
      </c>
      <c r="AJ76" s="493">
        <f t="shared" si="49"/>
        <v>0</v>
      </c>
      <c r="AK76" s="494"/>
      <c r="AL76" s="495">
        <f t="shared" si="50"/>
        <v>0</v>
      </c>
      <c r="AM76" s="463"/>
      <c r="AN76" s="496">
        <f t="shared" si="53"/>
        <v>2024</v>
      </c>
      <c r="AO76" s="497">
        <f t="shared" si="47"/>
        <v>0</v>
      </c>
      <c r="AP76" s="498">
        <f>SUM(AO$71:AO76)</f>
        <v>0</v>
      </c>
      <c r="AQ76" s="516"/>
      <c r="AR76" s="496">
        <f t="shared" si="54"/>
        <v>2027</v>
      </c>
      <c r="AS76" s="497">
        <f t="shared" si="51"/>
        <v>0</v>
      </c>
      <c r="AT76" s="498">
        <f t="shared" si="52"/>
        <v>0</v>
      </c>
    </row>
    <row r="77" spans="8:46" ht="18" x14ac:dyDescent="0.4">
      <c r="I77" s="38"/>
      <c r="J77" s="143" t="s">
        <v>64</v>
      </c>
      <c r="K77" s="144"/>
      <c r="L77" s="135" t="s">
        <v>65</v>
      </c>
      <c r="N77" s="110"/>
      <c r="O77" s="110"/>
      <c r="P77" s="110"/>
      <c r="Q77" s="110"/>
      <c r="R77" s="110"/>
      <c r="S77" s="110"/>
      <c r="T77" s="110"/>
      <c r="U77" s="110"/>
      <c r="V77" s="110"/>
      <c r="W77" s="110"/>
      <c r="X77" s="110"/>
      <c r="Y77" s="110"/>
      <c r="Z77" s="110"/>
      <c r="AA77" s="110"/>
      <c r="AB77" s="110"/>
      <c r="AC77" s="110"/>
      <c r="AD77" s="1"/>
      <c r="AE77" s="1211" t="s">
        <v>336</v>
      </c>
      <c r="AF77" s="1212"/>
      <c r="AG77" s="1213"/>
      <c r="AH77" s="500">
        <v>45536</v>
      </c>
      <c r="AI77" s="499">
        <v>0</v>
      </c>
      <c r="AJ77" s="493">
        <f t="shared" si="49"/>
        <v>0</v>
      </c>
      <c r="AK77" s="494"/>
      <c r="AL77" s="495">
        <f t="shared" si="50"/>
        <v>0</v>
      </c>
      <c r="AM77" s="463"/>
      <c r="AN77" s="496">
        <f t="shared" si="53"/>
        <v>2024</v>
      </c>
      <c r="AO77" s="497">
        <f t="shared" si="47"/>
        <v>0</v>
      </c>
      <c r="AP77" s="498">
        <f>SUM(AO$71:AO77)</f>
        <v>0</v>
      </c>
      <c r="AQ77" s="516"/>
      <c r="AR77" s="496">
        <f t="shared" si="54"/>
        <v>2028</v>
      </c>
      <c r="AS77" s="497">
        <f t="shared" si="51"/>
        <v>0</v>
      </c>
      <c r="AT77" s="498">
        <f t="shared" si="52"/>
        <v>0</v>
      </c>
    </row>
    <row r="78" spans="8:46" x14ac:dyDescent="0.25">
      <c r="I78" s="38" t="s">
        <v>66</v>
      </c>
      <c r="J78" s="97" t="s">
        <v>444</v>
      </c>
      <c r="K78" s="137"/>
      <c r="N78" s="145">
        <v>1</v>
      </c>
      <c r="O78" s="531">
        <f>ROUND((13-$L$12)*365/12,0)</f>
        <v>213</v>
      </c>
      <c r="P78" s="146">
        <v>365</v>
      </c>
      <c r="Q78" s="146">
        <f t="shared" ref="Q78:AC85" si="55">P78</f>
        <v>365</v>
      </c>
      <c r="R78" s="146">
        <f t="shared" si="55"/>
        <v>365</v>
      </c>
      <c r="S78" s="146">
        <f t="shared" si="55"/>
        <v>365</v>
      </c>
      <c r="T78" s="146">
        <f t="shared" si="55"/>
        <v>365</v>
      </c>
      <c r="U78" s="146">
        <f t="shared" si="55"/>
        <v>365</v>
      </c>
      <c r="V78" s="146">
        <f t="shared" si="55"/>
        <v>365</v>
      </c>
      <c r="W78" s="146">
        <f t="shared" si="55"/>
        <v>365</v>
      </c>
      <c r="X78" s="146">
        <f t="shared" si="55"/>
        <v>365</v>
      </c>
      <c r="Y78" s="146">
        <f t="shared" si="55"/>
        <v>365</v>
      </c>
      <c r="Z78" s="146">
        <f t="shared" si="55"/>
        <v>365</v>
      </c>
      <c r="AA78" s="146">
        <f t="shared" si="55"/>
        <v>365</v>
      </c>
      <c r="AB78" s="146">
        <f t="shared" si="55"/>
        <v>365</v>
      </c>
      <c r="AC78" s="147">
        <f t="shared" si="55"/>
        <v>365</v>
      </c>
      <c r="AD78" s="1"/>
      <c r="AE78" s="1211" t="s">
        <v>337</v>
      </c>
      <c r="AF78" s="1212"/>
      <c r="AG78" s="1213"/>
      <c r="AH78" s="500"/>
      <c r="AI78" s="501"/>
      <c r="AJ78" s="493">
        <f t="shared" si="49"/>
        <v>0</v>
      </c>
      <c r="AK78" s="494"/>
      <c r="AL78" s="495">
        <f t="shared" si="50"/>
        <v>0</v>
      </c>
      <c r="AM78" s="463"/>
      <c r="AN78" s="496">
        <f t="shared" si="53"/>
        <v>2024</v>
      </c>
      <c r="AO78" s="497">
        <f t="shared" si="47"/>
        <v>0</v>
      </c>
      <c r="AP78" s="498">
        <f>SUM(AO$71:AO78)</f>
        <v>0</v>
      </c>
      <c r="AQ78" s="516"/>
      <c r="AR78" s="496">
        <f t="shared" si="54"/>
        <v>2029</v>
      </c>
      <c r="AS78" s="497">
        <f t="shared" si="51"/>
        <v>0</v>
      </c>
      <c r="AT78" s="498">
        <f t="shared" si="52"/>
        <v>0</v>
      </c>
    </row>
    <row r="79" spans="8:46" ht="17.25" thickBot="1" x14ac:dyDescent="0.3">
      <c r="I79" s="38" t="s">
        <v>67</v>
      </c>
      <c r="J79" s="97" t="s">
        <v>68</v>
      </c>
      <c r="K79" s="137" t="s">
        <v>56</v>
      </c>
      <c r="L79" s="149">
        <f>IFERROR(AVERAGEIF(N79:AC79,"&gt;0.001",N79:AC79),)</f>
        <v>0</v>
      </c>
      <c r="N79" s="150"/>
      <c r="O79" s="151">
        <f>N79</f>
        <v>0</v>
      </c>
      <c r="P79" s="151">
        <f>O79</f>
        <v>0</v>
      </c>
      <c r="Q79" s="151">
        <f t="shared" si="55"/>
        <v>0</v>
      </c>
      <c r="R79" s="151">
        <f t="shared" si="55"/>
        <v>0</v>
      </c>
      <c r="S79" s="151">
        <f t="shared" si="55"/>
        <v>0</v>
      </c>
      <c r="T79" s="151">
        <f t="shared" si="55"/>
        <v>0</v>
      </c>
      <c r="U79" s="151">
        <f t="shared" si="55"/>
        <v>0</v>
      </c>
      <c r="V79" s="151">
        <f t="shared" si="55"/>
        <v>0</v>
      </c>
      <c r="W79" s="151">
        <f t="shared" si="55"/>
        <v>0</v>
      </c>
      <c r="X79" s="151">
        <f t="shared" si="55"/>
        <v>0</v>
      </c>
      <c r="Y79" s="151">
        <f t="shared" si="55"/>
        <v>0</v>
      </c>
      <c r="Z79" s="151">
        <f t="shared" si="55"/>
        <v>0</v>
      </c>
      <c r="AA79" s="151">
        <f t="shared" si="55"/>
        <v>0</v>
      </c>
      <c r="AB79" s="151">
        <f t="shared" si="55"/>
        <v>0</v>
      </c>
      <c r="AC79" s="152">
        <f t="shared" si="55"/>
        <v>0</v>
      </c>
      <c r="AD79" s="1"/>
      <c r="AE79" s="1221" t="s">
        <v>338</v>
      </c>
      <c r="AF79" s="1222"/>
      <c r="AG79" s="1223"/>
      <c r="AH79" s="502"/>
      <c r="AI79" s="503"/>
      <c r="AJ79" s="493">
        <f t="shared" si="49"/>
        <v>0</v>
      </c>
      <c r="AK79" s="494"/>
      <c r="AL79" s="495">
        <f t="shared" si="50"/>
        <v>0</v>
      </c>
      <c r="AM79" s="463"/>
      <c r="AN79" s="496">
        <f t="shared" si="53"/>
        <v>2024</v>
      </c>
      <c r="AO79" s="497">
        <f t="shared" si="47"/>
        <v>0</v>
      </c>
      <c r="AP79" s="498">
        <f>SUM(AO$71:AO79)</f>
        <v>0</v>
      </c>
      <c r="AQ79" s="516"/>
      <c r="AR79" s="496">
        <f t="shared" si="54"/>
        <v>2030</v>
      </c>
      <c r="AS79" s="497">
        <f t="shared" si="51"/>
        <v>0</v>
      </c>
      <c r="AT79" s="498">
        <f t="shared" si="52"/>
        <v>0</v>
      </c>
    </row>
    <row r="80" spans="8:46" ht="17.25" thickBot="1" x14ac:dyDescent="0.3">
      <c r="I80" s="38" t="s">
        <v>69</v>
      </c>
      <c r="J80" s="97" t="s">
        <v>289</v>
      </c>
      <c r="K80" s="137"/>
      <c r="L80" s="137"/>
      <c r="N80" s="453"/>
      <c r="O80" s="454"/>
      <c r="P80" s="454"/>
      <c r="Q80" s="454"/>
      <c r="R80" s="454"/>
      <c r="S80" s="454"/>
      <c r="T80" s="454"/>
      <c r="U80" s="454"/>
      <c r="V80" s="454"/>
      <c r="W80" s="454"/>
      <c r="X80" s="454"/>
      <c r="Y80" s="454"/>
      <c r="Z80" s="454"/>
      <c r="AA80" s="454"/>
      <c r="AB80" s="454"/>
      <c r="AC80" s="455"/>
      <c r="AD80" s="1"/>
      <c r="AE80" s="1224" t="s">
        <v>339</v>
      </c>
      <c r="AF80" s="1225"/>
      <c r="AG80" s="1225"/>
      <c r="AH80" s="1226"/>
      <c r="AI80" s="504">
        <f>SUM(AI72:AI79)</f>
        <v>1</v>
      </c>
      <c r="AJ80" s="505">
        <f>SUM(AJ72:AJ79)</f>
        <v>0</v>
      </c>
      <c r="AK80" s="504">
        <f>SUM(AK72:AK79)</f>
        <v>0</v>
      </c>
      <c r="AL80" s="506">
        <f>SUM(AL72:AL79)</f>
        <v>0</v>
      </c>
      <c r="AM80" s="463"/>
      <c r="AN80" s="463"/>
      <c r="AO80" s="526">
        <f>(AJ80+AL80)-AP79</f>
        <v>0</v>
      </c>
      <c r="AP80" s="527" t="str">
        <f>IF(ABS(AO80)&lt;1,"OK","Check!")</f>
        <v>OK</v>
      </c>
      <c r="AQ80" s="516"/>
      <c r="AR80" s="496">
        <f t="shared" si="54"/>
        <v>2031</v>
      </c>
      <c r="AS80" s="497">
        <f t="shared" si="51"/>
        <v>0</v>
      </c>
      <c r="AT80" s="498">
        <f t="shared" si="52"/>
        <v>0</v>
      </c>
    </row>
    <row r="81" spans="9:46" ht="24.4" customHeight="1" thickBot="1" x14ac:dyDescent="0.35">
      <c r="I81" s="38" t="s">
        <v>290</v>
      </c>
      <c r="J81" s="456" t="s">
        <v>291</v>
      </c>
      <c r="K81" s="137" t="s">
        <v>56</v>
      </c>
      <c r="L81" s="153">
        <f>IFERROR(AVERAGEIF(N81:AC81,"&gt;0.001",N81:AC81),)</f>
        <v>0</v>
      </c>
      <c r="N81" s="150"/>
      <c r="O81" s="151">
        <f>N81</f>
        <v>0</v>
      </c>
      <c r="P81" s="151">
        <f t="shared" ref="P81:AC84" si="56">O81</f>
        <v>0</v>
      </c>
      <c r="Q81" s="151">
        <f t="shared" si="56"/>
        <v>0</v>
      </c>
      <c r="R81" s="151">
        <f t="shared" si="56"/>
        <v>0</v>
      </c>
      <c r="S81" s="151">
        <f t="shared" si="56"/>
        <v>0</v>
      </c>
      <c r="T81" s="151">
        <f t="shared" si="56"/>
        <v>0</v>
      </c>
      <c r="U81" s="151">
        <f t="shared" si="56"/>
        <v>0</v>
      </c>
      <c r="V81" s="151">
        <f t="shared" si="56"/>
        <v>0</v>
      </c>
      <c r="W81" s="151">
        <f t="shared" si="56"/>
        <v>0</v>
      </c>
      <c r="X81" s="151">
        <f t="shared" si="56"/>
        <v>0</v>
      </c>
      <c r="Y81" s="151">
        <f t="shared" si="56"/>
        <v>0</v>
      </c>
      <c r="Z81" s="151">
        <f t="shared" si="56"/>
        <v>0</v>
      </c>
      <c r="AA81" s="151">
        <f t="shared" si="56"/>
        <v>0</v>
      </c>
      <c r="AB81" s="151">
        <f t="shared" si="56"/>
        <v>0</v>
      </c>
      <c r="AC81" s="152">
        <f t="shared" si="56"/>
        <v>0</v>
      </c>
      <c r="AD81" s="1"/>
      <c r="AE81" s="1227" t="s">
        <v>340</v>
      </c>
      <c r="AF81" s="1228"/>
      <c r="AG81" s="1229"/>
      <c r="AH81" s="488"/>
      <c r="AI81" s="489" t="s">
        <v>332</v>
      </c>
      <c r="AJ81" s="490"/>
      <c r="AK81" s="525" t="s">
        <v>369</v>
      </c>
      <c r="AL81" s="490"/>
      <c r="AM81" s="463"/>
      <c r="AN81" s="463"/>
      <c r="AO81" s="463"/>
      <c r="AP81" s="491"/>
      <c r="AQ81" s="516"/>
      <c r="AR81" s="496">
        <f t="shared" si="54"/>
        <v>2032</v>
      </c>
      <c r="AS81" s="497">
        <f t="shared" si="51"/>
        <v>0</v>
      </c>
      <c r="AT81" s="498">
        <f t="shared" si="52"/>
        <v>0</v>
      </c>
    </row>
    <row r="82" spans="9:46" x14ac:dyDescent="0.3">
      <c r="I82" s="38" t="s">
        <v>292</v>
      </c>
      <c r="J82" s="456" t="str">
        <f>"WIP (Prod leadtime, level load), O/head absorptn @"&amp;(K82*100)&amp;"%"</f>
        <v>WIP (Prod leadtime, level load), O/head absorptn @50%</v>
      </c>
      <c r="K82" s="457">
        <v>0.5</v>
      </c>
      <c r="L82" s="153">
        <f t="shared" ref="L82:L84" si="57">IFERROR(AVERAGEIF(N82:AC82,"&gt;0.001",N82:AC82),)</f>
        <v>0</v>
      </c>
      <c r="N82" s="150"/>
      <c r="O82" s="151">
        <f>N82</f>
        <v>0</v>
      </c>
      <c r="P82" s="151">
        <f t="shared" si="56"/>
        <v>0</v>
      </c>
      <c r="Q82" s="151">
        <f t="shared" si="56"/>
        <v>0</v>
      </c>
      <c r="R82" s="151">
        <f t="shared" si="56"/>
        <v>0</v>
      </c>
      <c r="S82" s="151">
        <f t="shared" si="56"/>
        <v>0</v>
      </c>
      <c r="T82" s="151">
        <f t="shared" si="56"/>
        <v>0</v>
      </c>
      <c r="U82" s="151">
        <f t="shared" si="56"/>
        <v>0</v>
      </c>
      <c r="V82" s="151">
        <f t="shared" si="56"/>
        <v>0</v>
      </c>
      <c r="W82" s="151">
        <f t="shared" si="56"/>
        <v>0</v>
      </c>
      <c r="X82" s="151">
        <f t="shared" si="56"/>
        <v>0</v>
      </c>
      <c r="Y82" s="151">
        <f t="shared" si="56"/>
        <v>0</v>
      </c>
      <c r="Z82" s="151">
        <f t="shared" si="56"/>
        <v>0</v>
      </c>
      <c r="AA82" s="151">
        <f t="shared" si="56"/>
        <v>0</v>
      </c>
      <c r="AB82" s="151">
        <f t="shared" si="56"/>
        <v>0</v>
      </c>
      <c r="AC82" s="152">
        <f t="shared" si="56"/>
        <v>0</v>
      </c>
      <c r="AD82" s="1"/>
      <c r="AE82" s="1230" t="str">
        <f>AE73</f>
        <v>Tooling Vendor PO / Materials PO</v>
      </c>
      <c r="AF82" s="1231"/>
      <c r="AG82" s="1232"/>
      <c r="AH82" s="507">
        <v>45658</v>
      </c>
      <c r="AI82" s="494">
        <v>0.3</v>
      </c>
      <c r="AJ82" s="493">
        <f t="shared" ref="AJ82:AJ87" si="58">AI82*$AJ$81</f>
        <v>0</v>
      </c>
      <c r="AK82" s="494"/>
      <c r="AL82" s="495">
        <f t="shared" ref="AL82:AL87" si="59">AK82*$AL$81</f>
        <v>0</v>
      </c>
      <c r="AM82" s="463"/>
      <c r="AN82" s="496">
        <f>MAX(YEAR(AH82),AN81)</f>
        <v>2025</v>
      </c>
      <c r="AO82" s="497">
        <f t="shared" si="47"/>
        <v>0</v>
      </c>
      <c r="AP82" s="498">
        <f>SUM($AO$72:$AO$79)+SUM(AO$81:AO82)</f>
        <v>0</v>
      </c>
      <c r="AQ82" s="516"/>
      <c r="AR82" s="496">
        <f t="shared" si="54"/>
        <v>2033</v>
      </c>
      <c r="AS82" s="497">
        <f t="shared" si="51"/>
        <v>0</v>
      </c>
      <c r="AT82" s="498">
        <f t="shared" si="52"/>
        <v>0</v>
      </c>
    </row>
    <row r="83" spans="9:46" x14ac:dyDescent="0.3">
      <c r="I83" s="38" t="s">
        <v>293</v>
      </c>
      <c r="J83" s="462" t="s">
        <v>459</v>
      </c>
      <c r="K83" s="137" t="s">
        <v>56</v>
      </c>
      <c r="L83" s="153">
        <f t="shared" si="57"/>
        <v>0</v>
      </c>
      <c r="N83" s="150"/>
      <c r="O83" s="151">
        <f>N83</f>
        <v>0</v>
      </c>
      <c r="P83" s="151">
        <f t="shared" si="56"/>
        <v>0</v>
      </c>
      <c r="Q83" s="151">
        <f t="shared" si="56"/>
        <v>0</v>
      </c>
      <c r="R83" s="151">
        <f t="shared" si="56"/>
        <v>0</v>
      </c>
      <c r="S83" s="151">
        <f t="shared" si="56"/>
        <v>0</v>
      </c>
      <c r="T83" s="151">
        <f t="shared" si="56"/>
        <v>0</v>
      </c>
      <c r="U83" s="151">
        <f t="shared" si="56"/>
        <v>0</v>
      </c>
      <c r="V83" s="151">
        <f t="shared" si="56"/>
        <v>0</v>
      </c>
      <c r="W83" s="151">
        <f t="shared" si="56"/>
        <v>0</v>
      </c>
      <c r="X83" s="151">
        <f t="shared" si="56"/>
        <v>0</v>
      </c>
      <c r="Y83" s="151">
        <f t="shared" si="56"/>
        <v>0</v>
      </c>
      <c r="Z83" s="151">
        <f t="shared" si="56"/>
        <v>0</v>
      </c>
      <c r="AA83" s="151">
        <f t="shared" si="56"/>
        <v>0</v>
      </c>
      <c r="AB83" s="151">
        <f t="shared" si="56"/>
        <v>0</v>
      </c>
      <c r="AC83" s="152">
        <f t="shared" si="56"/>
        <v>0</v>
      </c>
      <c r="AD83" s="1"/>
      <c r="AE83" s="1211" t="str">
        <f>AE74</f>
        <v>Completion &amp; Testing</v>
      </c>
      <c r="AF83" s="1212"/>
      <c r="AG83" s="1213"/>
      <c r="AH83" s="500">
        <v>46023</v>
      </c>
      <c r="AI83" s="501">
        <f>60%-AI82</f>
        <v>0.3</v>
      </c>
      <c r="AJ83" s="493">
        <f t="shared" si="58"/>
        <v>0</v>
      </c>
      <c r="AK83" s="508"/>
      <c r="AL83" s="495">
        <f t="shared" si="59"/>
        <v>0</v>
      </c>
      <c r="AM83" s="463"/>
      <c r="AN83" s="496">
        <f t="shared" ref="AN83:AN87" si="60">MAX(YEAR(AH83),AN82)</f>
        <v>2026</v>
      </c>
      <c r="AO83" s="497">
        <f t="shared" si="47"/>
        <v>0</v>
      </c>
      <c r="AP83" s="498">
        <f>SUM($AO$72:$AO$79)+SUM(AO$81:AO83)</f>
        <v>0</v>
      </c>
      <c r="AQ83" s="516"/>
      <c r="AR83" s="496">
        <f t="shared" si="54"/>
        <v>2034</v>
      </c>
      <c r="AS83" s="497">
        <f t="shared" si="51"/>
        <v>0</v>
      </c>
      <c r="AT83" s="498">
        <f t="shared" si="52"/>
        <v>0</v>
      </c>
    </row>
    <row r="84" spans="9:46" x14ac:dyDescent="0.3">
      <c r="I84" s="38" t="s">
        <v>294</v>
      </c>
      <c r="J84" s="462" t="s">
        <v>297</v>
      </c>
      <c r="K84" s="137" t="s">
        <v>56</v>
      </c>
      <c r="L84" s="153">
        <f t="shared" si="57"/>
        <v>0</v>
      </c>
      <c r="N84" s="150"/>
      <c r="O84" s="151">
        <f>N84</f>
        <v>0</v>
      </c>
      <c r="P84" s="151">
        <f t="shared" si="56"/>
        <v>0</v>
      </c>
      <c r="Q84" s="151">
        <f t="shared" si="56"/>
        <v>0</v>
      </c>
      <c r="R84" s="151">
        <f t="shared" si="56"/>
        <v>0</v>
      </c>
      <c r="S84" s="151">
        <f t="shared" si="56"/>
        <v>0</v>
      </c>
      <c r="T84" s="151">
        <f t="shared" si="56"/>
        <v>0</v>
      </c>
      <c r="U84" s="151">
        <f t="shared" si="56"/>
        <v>0</v>
      </c>
      <c r="V84" s="151">
        <f t="shared" si="56"/>
        <v>0</v>
      </c>
      <c r="W84" s="151">
        <f t="shared" si="56"/>
        <v>0</v>
      </c>
      <c r="X84" s="151">
        <f t="shared" si="56"/>
        <v>0</v>
      </c>
      <c r="Y84" s="151">
        <f t="shared" si="56"/>
        <v>0</v>
      </c>
      <c r="Z84" s="151">
        <f t="shared" si="56"/>
        <v>0</v>
      </c>
      <c r="AA84" s="151">
        <f t="shared" si="56"/>
        <v>0</v>
      </c>
      <c r="AB84" s="151">
        <f t="shared" si="56"/>
        <v>0</v>
      </c>
      <c r="AC84" s="152">
        <f t="shared" si="56"/>
        <v>0</v>
      </c>
      <c r="AD84" s="1"/>
      <c r="AE84" s="1211" t="str">
        <f>AE75</f>
        <v>First of Tool</v>
      </c>
      <c r="AF84" s="1212"/>
      <c r="AG84" s="1213"/>
      <c r="AH84" s="500">
        <v>46388</v>
      </c>
      <c r="AI84" s="501">
        <v>0.2</v>
      </c>
      <c r="AJ84" s="493">
        <f t="shared" si="58"/>
        <v>0</v>
      </c>
      <c r="AK84" s="508"/>
      <c r="AL84" s="495">
        <f t="shared" si="59"/>
        <v>0</v>
      </c>
      <c r="AM84" s="463"/>
      <c r="AN84" s="496">
        <f t="shared" si="60"/>
        <v>2027</v>
      </c>
      <c r="AO84" s="497">
        <f t="shared" si="47"/>
        <v>0</v>
      </c>
      <c r="AP84" s="498">
        <f>SUM($AO$72:$AO$79)+SUM(AO$81:AO84)</f>
        <v>0</v>
      </c>
      <c r="AQ84" s="516"/>
      <c r="AR84" s="496">
        <f t="shared" si="54"/>
        <v>2035</v>
      </c>
      <c r="AS84" s="497">
        <f t="shared" si="51"/>
        <v>0</v>
      </c>
      <c r="AT84" s="498">
        <f t="shared" si="52"/>
        <v>0</v>
      </c>
    </row>
    <row r="85" spans="9:46" x14ac:dyDescent="0.25">
      <c r="I85" s="38" t="s">
        <v>70</v>
      </c>
      <c r="J85" s="97" t="s">
        <v>71</v>
      </c>
      <c r="K85" s="137" t="s">
        <v>56</v>
      </c>
      <c r="N85" s="154"/>
      <c r="O85" s="155">
        <f>N85</f>
        <v>0</v>
      </c>
      <c r="P85" s="155">
        <f>O85</f>
        <v>0</v>
      </c>
      <c r="Q85" s="155">
        <f t="shared" si="55"/>
        <v>0</v>
      </c>
      <c r="R85" s="155">
        <f t="shared" si="55"/>
        <v>0</v>
      </c>
      <c r="S85" s="155">
        <f t="shared" si="55"/>
        <v>0</v>
      </c>
      <c r="T85" s="155">
        <f t="shared" si="55"/>
        <v>0</v>
      </c>
      <c r="U85" s="155">
        <f t="shared" si="55"/>
        <v>0</v>
      </c>
      <c r="V85" s="155">
        <f t="shared" si="55"/>
        <v>0</v>
      </c>
      <c r="W85" s="155">
        <f t="shared" si="55"/>
        <v>0</v>
      </c>
      <c r="X85" s="155">
        <f t="shared" si="55"/>
        <v>0</v>
      </c>
      <c r="Y85" s="155">
        <f t="shared" si="55"/>
        <v>0</v>
      </c>
      <c r="Z85" s="155">
        <f t="shared" si="55"/>
        <v>0</v>
      </c>
      <c r="AA85" s="155">
        <f t="shared" si="55"/>
        <v>0</v>
      </c>
      <c r="AB85" s="155">
        <f t="shared" si="55"/>
        <v>0</v>
      </c>
      <c r="AC85" s="156">
        <f t="shared" si="55"/>
        <v>0</v>
      </c>
      <c r="AD85" s="1"/>
      <c r="AE85" s="1211" t="str">
        <f>AE76</f>
        <v>PPAP Submission</v>
      </c>
      <c r="AF85" s="1212"/>
      <c r="AG85" s="1213"/>
      <c r="AH85" s="500">
        <v>46753</v>
      </c>
      <c r="AI85" s="501">
        <v>0.2</v>
      </c>
      <c r="AJ85" s="493">
        <f t="shared" si="58"/>
        <v>0</v>
      </c>
      <c r="AK85" s="508"/>
      <c r="AL85" s="495">
        <f t="shared" si="59"/>
        <v>0</v>
      </c>
      <c r="AM85" s="463"/>
      <c r="AN85" s="496">
        <f t="shared" si="60"/>
        <v>2028</v>
      </c>
      <c r="AO85" s="497">
        <f t="shared" si="47"/>
        <v>0</v>
      </c>
      <c r="AP85" s="498">
        <f>SUM($AO$72:$AO$79)+SUM(AO$81:AO85)</f>
        <v>0</v>
      </c>
      <c r="AQ85" s="516"/>
      <c r="AR85" s="496">
        <f t="shared" si="54"/>
        <v>2036</v>
      </c>
      <c r="AS85" s="497">
        <f t="shared" si="51"/>
        <v>0</v>
      </c>
      <c r="AT85" s="498">
        <f t="shared" si="52"/>
        <v>0</v>
      </c>
    </row>
    <row r="86" spans="9:46" x14ac:dyDescent="0.25">
      <c r="I86" s="38" t="s">
        <v>344</v>
      </c>
      <c r="J86" s="565" t="s">
        <v>385</v>
      </c>
      <c r="K86" s="514" t="s">
        <v>345</v>
      </c>
      <c r="L86" s="899" t="s">
        <v>347</v>
      </c>
      <c r="N86" s="780">
        <f>IF($L$86="Milestone Calculation",IFERROR(-MIN((_xlfn.XLOOKUP(N67,$AR$72:$AR$87,$AS$72:$AS$87,0)-SUMIF($N$142:N142,"&lt;0",$N$142:N142)),0),),N87)</f>
        <v>0</v>
      </c>
      <c r="O86" s="781">
        <f>IF($L$86="Milestone Calculation",IFERROR(-MIN((_xlfn.XLOOKUP(O67,$AR$72:$AR$87,$AS$72:$AS$87,0)-SUMIF($N$142:O142,"&lt;0",$N$142:O142)),0),),O87)</f>
        <v>0</v>
      </c>
      <c r="P86" s="781">
        <f>IF($L$86="Milestone Calculation",IFERROR(-MIN((_xlfn.XLOOKUP(P67,$AR$72:$AR$87,$AS$72:$AS$87,0)-SUMIF($N$142:P142,"&lt;0",$N$142:P142)),0),),P87)</f>
        <v>0</v>
      </c>
      <c r="Q86" s="781">
        <f>IF($L$86="Milestone Calculation",IFERROR(-MIN((_xlfn.XLOOKUP(Q67,$AR$72:$AR$87,$AS$72:$AS$87,0)-SUMIF($N$142:Q142,"&lt;0",$N$142:Q142)),0),),Q87)</f>
        <v>0</v>
      </c>
      <c r="R86" s="781">
        <f>IF($L$86="Milestone Calculation",IFERROR(-MIN((_xlfn.XLOOKUP(R67,$AR$72:$AR$87,$AS$72:$AS$87,0)-SUMIF($N$142:R142,"&lt;0",$N$142:R142)),0),),R87)</f>
        <v>0</v>
      </c>
      <c r="S86" s="781">
        <f>IF($L$86="Milestone Calculation",IFERROR(-MIN((_xlfn.XLOOKUP(S67,$AR$72:$AR$87,$AS$72:$AS$87,0)-SUMIF($N$142:S142,"&lt;0",$N$142:S142)),0),),S87)</f>
        <v>0</v>
      </c>
      <c r="T86" s="781">
        <f>IF($L$86="Milestone Calculation",IFERROR(-MIN((_xlfn.XLOOKUP(T67,$AR$72:$AR$87,$AS$72:$AS$87,0)-SUMIF($N$142:T142,"&lt;0",$N$142:T142)),0),),T87)</f>
        <v>0</v>
      </c>
      <c r="U86" s="781">
        <f>IF($L$86="Milestone Calculation",IFERROR(-MIN((_xlfn.XLOOKUP(U67,$AR$72:$AR$87,$AS$72:$AS$87,0)-SUMIF($N$142:U142,"&lt;0",$N$142:U142)),0),),U87)</f>
        <v>0</v>
      </c>
      <c r="V86" s="781">
        <f>IF($L$86="Milestone Calculation",IFERROR(-MIN((_xlfn.XLOOKUP(V67,$AR$72:$AR$87,$AS$72:$AS$87,0)-SUMIF($N$142:V142,"&lt;0",$N$142:V142)),0),),V87)</f>
        <v>0</v>
      </c>
      <c r="W86" s="781">
        <f>IF($L$86="Milestone Calculation",IFERROR(-MIN((_xlfn.XLOOKUP(W67,$AR$72:$AR$87,$AS$72:$AS$87,0)-SUMIF($N$142:W142,"&lt;0",$N$142:W142)),0),),W87)</f>
        <v>0</v>
      </c>
      <c r="X86" s="781">
        <f>IF($L$86="Milestone Calculation",IFERROR(-MIN((_xlfn.XLOOKUP(X67,$AR$72:$AR$87,$AS$72:$AS$87,0)-SUMIF($N$142:X142,"&lt;0",$N$142:X142)),0),),X87)</f>
        <v>0</v>
      </c>
      <c r="Y86" s="781">
        <f>IF($L$86="Milestone Calculation",IFERROR(-MIN((_xlfn.XLOOKUP(Y67,$AR$72:$AR$87,$AS$72:$AS$87,0)-SUMIF($N$142:Y142,"&lt;0",$N$142:Y142)),0),),Y87)</f>
        <v>0</v>
      </c>
      <c r="Z86" s="781">
        <f>IF($L$86="Milestone Calculation",IFERROR(-MIN((_xlfn.XLOOKUP(Z67,$AR$72:$AR$87,$AS$72:$AS$87,0)-SUMIF($N$142:Z142,"&lt;0",$N$142:Z142)),0),),Z87)</f>
        <v>0</v>
      </c>
      <c r="AA86" s="781">
        <f>IF($L$86="Milestone Calculation",IFERROR(-MIN((_xlfn.XLOOKUP(AA67,$AR$72:$AR$87,$AS$72:$AS$87,0)-SUMIF($N$142:AA142,"&lt;0",$N$142:AA142)),0),),AA87)</f>
        <v>0</v>
      </c>
      <c r="AB86" s="781">
        <f>IF($L$86="Milestone Calculation",IFERROR(-MIN((_xlfn.XLOOKUP(AB67,$AR$72:$AR$87,$AS$72:$AS$87,0)-SUMIF($N$142:AB142,"&lt;0",$N$142:AB142)),0),),AB87)</f>
        <v>0</v>
      </c>
      <c r="AC86" s="782">
        <f>IF($L$86="Milestone Calculation",IFERROR(-MIN((_xlfn.XLOOKUP(AC67,$AR$72:$AR$87,$AS$72:$AS$87,0)-SUMIF($N$142:AC142,"&lt;0",$N$142:AC142)),0),),AC87)</f>
        <v>0</v>
      </c>
      <c r="AD86" s="1"/>
      <c r="AE86" s="1211" t="str">
        <f>AE77</f>
        <v>PPAP Approval</v>
      </c>
      <c r="AF86" s="1212"/>
      <c r="AG86" s="1213"/>
      <c r="AH86" s="500">
        <v>47088</v>
      </c>
      <c r="AI86" s="501"/>
      <c r="AJ86" s="493">
        <f t="shared" si="58"/>
        <v>0</v>
      </c>
      <c r="AK86" s="508"/>
      <c r="AL86" s="495">
        <f t="shared" si="59"/>
        <v>0</v>
      </c>
      <c r="AM86" s="463"/>
      <c r="AN86" s="496">
        <f t="shared" si="60"/>
        <v>2028</v>
      </c>
      <c r="AO86" s="497">
        <f t="shared" si="47"/>
        <v>0</v>
      </c>
      <c r="AP86" s="498">
        <f>SUM($AO$72:$AO$79)+SUM(AO$81:AO86)</f>
        <v>0</v>
      </c>
      <c r="AQ86" s="528"/>
      <c r="AR86" s="496">
        <f t="shared" si="54"/>
        <v>2037</v>
      </c>
      <c r="AS86" s="497">
        <f t="shared" si="51"/>
        <v>0</v>
      </c>
      <c r="AT86" s="498">
        <f t="shared" si="52"/>
        <v>0</v>
      </c>
    </row>
    <row r="87" spans="9:46" s="157" customFormat="1" ht="17.25" thickBot="1" x14ac:dyDescent="0.3">
      <c r="I87" s="38" t="s">
        <v>346</v>
      </c>
      <c r="J87" s="565" t="s">
        <v>370</v>
      </c>
      <c r="K87"/>
      <c r="L87" s="529"/>
      <c r="M87" s="900"/>
      <c r="N87" s="150"/>
      <c r="O87" s="151"/>
      <c r="P87" s="151"/>
      <c r="Q87" s="151"/>
      <c r="R87" s="151"/>
      <c r="S87" s="151"/>
      <c r="T87" s="151"/>
      <c r="U87" s="151"/>
      <c r="V87" s="151"/>
      <c r="W87" s="151"/>
      <c r="X87" s="151"/>
      <c r="Y87" s="151"/>
      <c r="Z87" s="151"/>
      <c r="AA87" s="151"/>
      <c r="AB87" s="151"/>
      <c r="AC87" s="152"/>
      <c r="AE87" s="1221" t="s">
        <v>341</v>
      </c>
      <c r="AF87" s="1222"/>
      <c r="AG87" s="1223"/>
      <c r="AH87" s="502"/>
      <c r="AI87" s="503"/>
      <c r="AJ87" s="493">
        <f t="shared" si="58"/>
        <v>0</v>
      </c>
      <c r="AK87" s="509"/>
      <c r="AL87" s="495">
        <f t="shared" si="59"/>
        <v>0</v>
      </c>
      <c r="AM87" s="463"/>
      <c r="AN87" s="496">
        <f t="shared" si="60"/>
        <v>2028</v>
      </c>
      <c r="AO87" s="497">
        <f t="shared" si="47"/>
        <v>0</v>
      </c>
      <c r="AP87" s="498">
        <f>SUM($AO$72:$AO$79)+SUM(AO$81:AO87)</f>
        <v>0</v>
      </c>
      <c r="AQ87" s="516"/>
      <c r="AR87" s="496">
        <f t="shared" si="54"/>
        <v>2038</v>
      </c>
      <c r="AS87" s="497">
        <f t="shared" si="51"/>
        <v>0</v>
      </c>
      <c r="AT87" s="498">
        <f t="shared" si="52"/>
        <v>0</v>
      </c>
    </row>
    <row r="88" spans="9:46" ht="17.25" thickBot="1" x14ac:dyDescent="0.3">
      <c r="I88" s="38" t="s">
        <v>74</v>
      </c>
      <c r="J88" s="97" t="s">
        <v>75</v>
      </c>
      <c r="K88" s="137" t="s">
        <v>56</v>
      </c>
      <c r="L88" s="153">
        <f>IFERROR(AVERAGEIF(N88:AC88,"&gt;0.001",N88:AC88),)</f>
        <v>0</v>
      </c>
      <c r="N88" s="150"/>
      <c r="O88" s="151">
        <f>N88</f>
        <v>0</v>
      </c>
      <c r="P88" s="151">
        <f>O88</f>
        <v>0</v>
      </c>
      <c r="Q88" s="151">
        <f t="shared" ref="Q88:AC89" si="61">P88</f>
        <v>0</v>
      </c>
      <c r="R88" s="151">
        <f t="shared" si="61"/>
        <v>0</v>
      </c>
      <c r="S88" s="151">
        <f t="shared" si="61"/>
        <v>0</v>
      </c>
      <c r="T88" s="151">
        <f t="shared" si="61"/>
        <v>0</v>
      </c>
      <c r="U88" s="151">
        <f t="shared" si="61"/>
        <v>0</v>
      </c>
      <c r="V88" s="151">
        <f t="shared" si="61"/>
        <v>0</v>
      </c>
      <c r="W88" s="151">
        <f t="shared" si="61"/>
        <v>0</v>
      </c>
      <c r="X88" s="151">
        <f t="shared" si="61"/>
        <v>0</v>
      </c>
      <c r="Y88" s="151">
        <f t="shared" si="61"/>
        <v>0</v>
      </c>
      <c r="Z88" s="151">
        <f t="shared" si="61"/>
        <v>0</v>
      </c>
      <c r="AA88" s="151">
        <f t="shared" si="61"/>
        <v>0</v>
      </c>
      <c r="AB88" s="151">
        <f t="shared" si="61"/>
        <v>0</v>
      </c>
      <c r="AC88" s="152">
        <f t="shared" si="61"/>
        <v>0</v>
      </c>
      <c r="AD88" s="1"/>
      <c r="AE88" s="1224" t="s">
        <v>342</v>
      </c>
      <c r="AF88" s="1225"/>
      <c r="AG88" s="1225"/>
      <c r="AH88" s="1226"/>
      <c r="AI88" s="504">
        <f>SUM(AI82:AI87)</f>
        <v>1</v>
      </c>
      <c r="AJ88" s="505">
        <f>SUM(AJ82:AJ87)</f>
        <v>0</v>
      </c>
      <c r="AK88" s="504">
        <f>SUM(AK82:AK87)</f>
        <v>0</v>
      </c>
      <c r="AL88" s="506">
        <f>SUM(AL82:AL87)</f>
        <v>0</v>
      </c>
      <c r="AM88" s="463"/>
      <c r="AN88" s="510"/>
      <c r="AO88" s="526">
        <f>(AJ80+AL80)+(AJ88+AL88)-AP87</f>
        <v>0</v>
      </c>
      <c r="AP88" s="527" t="str">
        <f>IF(ABS(AO88)&lt;1,"OK","Check!")</f>
        <v>OK</v>
      </c>
      <c r="AQ88" s="516"/>
      <c r="AT88" s="351"/>
    </row>
    <row r="89" spans="9:46" ht="17.25" thickBot="1" x14ac:dyDescent="0.3">
      <c r="I89" s="38" t="s">
        <v>76</v>
      </c>
      <c r="J89" s="97" t="s">
        <v>77</v>
      </c>
      <c r="K89" s="137" t="s">
        <v>78</v>
      </c>
      <c r="L89" s="159">
        <f>IFERROR(AVERAGEIF(N89:AC89,"&gt;0.001",N89:AC89),)</f>
        <v>0</v>
      </c>
      <c r="N89" s="160"/>
      <c r="O89" s="161">
        <f>N89</f>
        <v>0</v>
      </c>
      <c r="P89" s="161">
        <f>O89</f>
        <v>0</v>
      </c>
      <c r="Q89" s="161">
        <f t="shared" si="61"/>
        <v>0</v>
      </c>
      <c r="R89" s="161">
        <f t="shared" si="61"/>
        <v>0</v>
      </c>
      <c r="S89" s="161">
        <f t="shared" si="61"/>
        <v>0</v>
      </c>
      <c r="T89" s="161">
        <f t="shared" si="61"/>
        <v>0</v>
      </c>
      <c r="U89" s="161">
        <f t="shared" si="61"/>
        <v>0</v>
      </c>
      <c r="V89" s="161">
        <f t="shared" si="61"/>
        <v>0</v>
      </c>
      <c r="W89" s="161">
        <f t="shared" si="61"/>
        <v>0</v>
      </c>
      <c r="X89" s="161">
        <f t="shared" si="61"/>
        <v>0</v>
      </c>
      <c r="Y89" s="161">
        <f t="shared" si="61"/>
        <v>0</v>
      </c>
      <c r="Z89" s="161">
        <f t="shared" si="61"/>
        <v>0</v>
      </c>
      <c r="AA89" s="161">
        <f t="shared" si="61"/>
        <v>0</v>
      </c>
      <c r="AB89" s="161">
        <f t="shared" si="61"/>
        <v>0</v>
      </c>
      <c r="AC89" s="162">
        <f t="shared" si="61"/>
        <v>0</v>
      </c>
      <c r="AD89" s="1"/>
      <c r="AE89" s="511"/>
      <c r="AF89" s="512"/>
      <c r="AG89" s="512" t="s">
        <v>343</v>
      </c>
      <c r="AH89" s="512"/>
      <c r="AI89" s="512"/>
      <c r="AJ89" s="512"/>
      <c r="AK89" s="512"/>
      <c r="AL89" s="512"/>
      <c r="AM89" s="512"/>
      <c r="AN89" s="512"/>
      <c r="AO89" s="512"/>
      <c r="AP89" s="513"/>
      <c r="AQ89" s="517"/>
      <c r="AR89" s="358"/>
      <c r="AS89" s="358"/>
      <c r="AT89" s="518"/>
    </row>
    <row r="90" spans="9:46" ht="15.75" x14ac:dyDescent="0.25">
      <c r="I90" s="38"/>
      <c r="J90" s="97"/>
      <c r="K90" s="97"/>
      <c r="L90" s="97"/>
      <c r="M90" s="97"/>
      <c r="N90" s="97"/>
      <c r="O90" s="97"/>
      <c r="P90" s="97"/>
      <c r="Q90" s="97"/>
      <c r="R90" s="97"/>
      <c r="S90" s="97"/>
      <c r="T90" s="97"/>
      <c r="U90" s="97"/>
      <c r="V90" s="97"/>
      <c r="W90" s="97"/>
      <c r="X90" s="97"/>
      <c r="Y90" s="97"/>
      <c r="Z90" s="97"/>
      <c r="AA90" s="97"/>
      <c r="AB90" s="97"/>
      <c r="AC90" s="97"/>
      <c r="AD90" s="97"/>
      <c r="AE90" s="1"/>
    </row>
    <row r="91" spans="9:46" ht="18" x14ac:dyDescent="0.25">
      <c r="I91" s="132" t="s">
        <v>79</v>
      </c>
      <c r="J91" s="33" t="s">
        <v>80</v>
      </c>
      <c r="K91" s="195"/>
      <c r="L91" s="196"/>
      <c r="N91" s="197">
        <f>N$11</f>
        <v>2024</v>
      </c>
      <c r="O91" s="133">
        <f t="shared" ref="O91:AC91" si="62">O$11</f>
        <v>2025</v>
      </c>
      <c r="P91" s="133">
        <f t="shared" si="62"/>
        <v>2026</v>
      </c>
      <c r="Q91" s="133">
        <f t="shared" si="62"/>
        <v>2027</v>
      </c>
      <c r="R91" s="133">
        <f t="shared" si="62"/>
        <v>2028</v>
      </c>
      <c r="S91" s="133">
        <f t="shared" si="62"/>
        <v>2029</v>
      </c>
      <c r="T91" s="133">
        <f t="shared" si="62"/>
        <v>2030</v>
      </c>
      <c r="U91" s="133">
        <f t="shared" si="62"/>
        <v>2031</v>
      </c>
      <c r="V91" s="133">
        <f t="shared" si="62"/>
        <v>2032</v>
      </c>
      <c r="W91" s="133">
        <f t="shared" si="62"/>
        <v>2033</v>
      </c>
      <c r="X91" s="133">
        <f t="shared" si="62"/>
        <v>2034</v>
      </c>
      <c r="Y91" s="133">
        <f t="shared" si="62"/>
        <v>2035</v>
      </c>
      <c r="Z91" s="133">
        <f t="shared" si="62"/>
        <v>2036</v>
      </c>
      <c r="AA91" s="133">
        <f t="shared" si="62"/>
        <v>2037</v>
      </c>
      <c r="AB91" s="133">
        <f t="shared" si="62"/>
        <v>2038</v>
      </c>
      <c r="AC91" s="198">
        <f t="shared" si="62"/>
        <v>2039</v>
      </c>
      <c r="AD91" s="1"/>
      <c r="AE91" s="1"/>
      <c r="AH91" s="148"/>
    </row>
    <row r="92" spans="9:46" ht="15.75" x14ac:dyDescent="0.25">
      <c r="I92" s="38"/>
      <c r="J92" s="97"/>
      <c r="K92" s="97"/>
      <c r="L92" s="97"/>
      <c r="M92" s="97"/>
      <c r="N92" s="97"/>
      <c r="O92" s="97"/>
      <c r="P92" s="97"/>
      <c r="Q92" s="97"/>
      <c r="R92" s="97"/>
      <c r="S92" s="97"/>
      <c r="T92" s="97"/>
      <c r="U92" s="97"/>
      <c r="V92" s="97"/>
      <c r="W92" s="97"/>
      <c r="X92" s="97"/>
      <c r="Y92" s="97"/>
      <c r="Z92" s="97"/>
      <c r="AA92" s="97"/>
      <c r="AB92" s="97"/>
      <c r="AC92" s="97"/>
      <c r="AD92" s="97"/>
      <c r="AE92" s="1"/>
    </row>
    <row r="93" spans="9:46" ht="18" x14ac:dyDescent="0.4">
      <c r="I93" s="38"/>
      <c r="J93" s="39" t="s">
        <v>81</v>
      </c>
      <c r="K93" s="163"/>
      <c r="L93" s="163"/>
      <c r="M93" s="163"/>
      <c r="N93" s="163"/>
      <c r="O93" s="31"/>
      <c r="P93" s="31"/>
      <c r="Q93" s="31"/>
      <c r="R93" s="31"/>
      <c r="S93" s="31"/>
      <c r="T93" s="31"/>
      <c r="U93" s="31"/>
      <c r="V93" s="31"/>
      <c r="W93" s="31"/>
      <c r="X93" s="31"/>
      <c r="Y93" s="31"/>
      <c r="Z93" s="31"/>
      <c r="AA93" s="31"/>
      <c r="AB93" s="31"/>
      <c r="AC93" s="31"/>
      <c r="AD93" s="1"/>
      <c r="AE93" s="1"/>
    </row>
    <row r="94" spans="9:46" ht="15.75" x14ac:dyDescent="0.25">
      <c r="I94" s="38"/>
      <c r="J94" s="97" t="s">
        <v>82</v>
      </c>
      <c r="K94" s="164" t="s">
        <v>83</v>
      </c>
      <c r="L94" s="901">
        <f>IFERROR(AVERAGEIF(N94:AC94,"&gt;0.001",N94:AC94),)</f>
        <v>8</v>
      </c>
      <c r="N94" s="902">
        <v>8</v>
      </c>
      <c r="O94" s="903">
        <f t="shared" ref="O94:AC95" si="63">N94</f>
        <v>8</v>
      </c>
      <c r="P94" s="903">
        <f t="shared" si="63"/>
        <v>8</v>
      </c>
      <c r="Q94" s="903">
        <f t="shared" si="63"/>
        <v>8</v>
      </c>
      <c r="R94" s="903">
        <f t="shared" si="63"/>
        <v>8</v>
      </c>
      <c r="S94" s="903">
        <f t="shared" si="63"/>
        <v>8</v>
      </c>
      <c r="T94" s="903">
        <f t="shared" si="63"/>
        <v>8</v>
      </c>
      <c r="U94" s="903">
        <f t="shared" si="63"/>
        <v>8</v>
      </c>
      <c r="V94" s="903">
        <f t="shared" si="63"/>
        <v>8</v>
      </c>
      <c r="W94" s="903">
        <f t="shared" si="63"/>
        <v>8</v>
      </c>
      <c r="X94" s="903">
        <f t="shared" si="63"/>
        <v>8</v>
      </c>
      <c r="Y94" s="903">
        <f t="shared" si="63"/>
        <v>8</v>
      </c>
      <c r="Z94" s="903">
        <f t="shared" si="63"/>
        <v>8</v>
      </c>
      <c r="AA94" s="903">
        <f t="shared" si="63"/>
        <v>8</v>
      </c>
      <c r="AB94" s="903">
        <f t="shared" si="63"/>
        <v>8</v>
      </c>
      <c r="AC94" s="904">
        <f t="shared" si="63"/>
        <v>8</v>
      </c>
      <c r="AD94" s="1"/>
      <c r="AE94" s="1"/>
    </row>
    <row r="95" spans="9:46" ht="15.75" x14ac:dyDescent="0.25">
      <c r="I95" s="38"/>
      <c r="J95" s="97" t="s">
        <v>84</v>
      </c>
      <c r="K95" s="148" t="s">
        <v>56</v>
      </c>
      <c r="L95" s="165">
        <f>IFERROR(AVERAGEIF(N95:AC95,"&gt;0.001",N95:AC95),)</f>
        <v>0.20000000000000004</v>
      </c>
      <c r="N95" s="166">
        <v>0.2</v>
      </c>
      <c r="O95" s="167">
        <f>N95</f>
        <v>0.2</v>
      </c>
      <c r="P95" s="167">
        <f t="shared" si="63"/>
        <v>0.2</v>
      </c>
      <c r="Q95" s="167">
        <f t="shared" si="63"/>
        <v>0.2</v>
      </c>
      <c r="R95" s="167">
        <f t="shared" si="63"/>
        <v>0.2</v>
      </c>
      <c r="S95" s="167">
        <f t="shared" si="63"/>
        <v>0.2</v>
      </c>
      <c r="T95" s="167">
        <f t="shared" si="63"/>
        <v>0.2</v>
      </c>
      <c r="U95" s="167">
        <f t="shared" si="63"/>
        <v>0.2</v>
      </c>
      <c r="V95" s="167">
        <f t="shared" si="63"/>
        <v>0.2</v>
      </c>
      <c r="W95" s="167">
        <f t="shared" si="63"/>
        <v>0.2</v>
      </c>
      <c r="X95" s="167">
        <f t="shared" si="63"/>
        <v>0.2</v>
      </c>
      <c r="Y95" s="167">
        <f t="shared" si="63"/>
        <v>0.2</v>
      </c>
      <c r="Z95" s="167">
        <f t="shared" si="63"/>
        <v>0.2</v>
      </c>
      <c r="AA95" s="167">
        <f t="shared" si="63"/>
        <v>0.2</v>
      </c>
      <c r="AB95" s="167">
        <f t="shared" si="63"/>
        <v>0.2</v>
      </c>
      <c r="AC95" s="168">
        <f t="shared" si="63"/>
        <v>0.2</v>
      </c>
      <c r="AD95" s="1"/>
      <c r="AE95" s="148"/>
      <c r="AF95" s="148"/>
    </row>
    <row r="96" spans="9:46" ht="15.75" x14ac:dyDescent="0.25">
      <c r="I96" s="38"/>
      <c r="J96" s="97"/>
      <c r="K96" s="148"/>
      <c r="L96" s="148"/>
      <c r="M96" s="148"/>
      <c r="N96" s="148"/>
      <c r="Q96" s="148"/>
      <c r="R96" s="148"/>
      <c r="S96" s="148"/>
      <c r="T96" s="148"/>
      <c r="U96" s="148"/>
      <c r="V96" s="148"/>
      <c r="W96" s="148"/>
      <c r="X96" s="148"/>
      <c r="Y96" s="148"/>
      <c r="Z96" s="148"/>
      <c r="AA96" s="148"/>
      <c r="AB96" s="148"/>
      <c r="AC96" s="148"/>
      <c r="AD96" s="148"/>
      <c r="AE96" s="1"/>
    </row>
    <row r="97" spans="9:31" ht="18" outlineLevel="1" x14ac:dyDescent="0.4">
      <c r="I97" s="38"/>
      <c r="J97" s="39" t="s">
        <v>85</v>
      </c>
      <c r="K97" s="169"/>
      <c r="L97" s="31"/>
      <c r="N97" s="170" t="s">
        <v>86</v>
      </c>
      <c r="O97" s="171" t="str">
        <f>L39</f>
        <v/>
      </c>
      <c r="Q97" s="170" t="str">
        <f>"Proj NPV @"&amp;L98*100&amp;"%"</f>
        <v>Proj NPV @15%</v>
      </c>
      <c r="R97" s="172">
        <f>L36</f>
        <v>0</v>
      </c>
      <c r="T97" s="170" t="s">
        <v>87</v>
      </c>
      <c r="U97" s="173" t="str">
        <f>IFERROR(ROUND(L34/L65,1),"")</f>
        <v/>
      </c>
      <c r="V97" s="174"/>
      <c r="W97" s="174"/>
      <c r="X97" s="174"/>
      <c r="Y97" s="174"/>
      <c r="Z97" s="174"/>
      <c r="AA97" s="174"/>
      <c r="AB97" s="174"/>
      <c r="AC97" s="174"/>
      <c r="AD97" s="1"/>
      <c r="AE97" s="1"/>
    </row>
    <row r="98" spans="9:31" ht="15.75" outlineLevel="1" x14ac:dyDescent="0.25">
      <c r="I98" s="38"/>
      <c r="J98" s="97" t="s">
        <v>88</v>
      </c>
      <c r="K98" s="169"/>
      <c r="L98" s="175">
        <v>0.15</v>
      </c>
      <c r="W98" s="31"/>
      <c r="X98" s="31"/>
      <c r="Y98" s="31"/>
      <c r="Z98" s="31"/>
      <c r="AA98" s="31"/>
      <c r="AB98" s="31"/>
      <c r="AC98" s="31"/>
      <c r="AD98" s="1"/>
      <c r="AE98" s="1"/>
    </row>
    <row r="99" spans="9:31" ht="15.75" outlineLevel="1" x14ac:dyDescent="0.25">
      <c r="I99" s="38"/>
      <c r="J99" s="97" t="s">
        <v>89</v>
      </c>
      <c r="K99" s="169"/>
      <c r="L99" s="176" t="s">
        <v>90</v>
      </c>
      <c r="N99" s="31"/>
      <c r="O99" s="31"/>
      <c r="P99" s="31"/>
      <c r="Q99" s="31"/>
      <c r="R99" s="31"/>
      <c r="S99" s="31"/>
      <c r="T99" s="31"/>
      <c r="U99" s="31"/>
      <c r="V99" s="31"/>
      <c r="W99" s="31"/>
      <c r="X99" s="31"/>
      <c r="Y99" s="31"/>
      <c r="Z99" s="31"/>
      <c r="AA99" s="31"/>
      <c r="AB99" s="31"/>
      <c r="AC99" s="31"/>
      <c r="AD99" s="1"/>
      <c r="AE99" s="1"/>
    </row>
    <row r="100" spans="9:31" ht="15.75" outlineLevel="1" x14ac:dyDescent="0.25">
      <c r="I100" s="38"/>
      <c r="J100" s="97" t="s">
        <v>91</v>
      </c>
      <c r="K100" s="148" t="s">
        <v>56</v>
      </c>
      <c r="L100" s="177">
        <f>IFERROR(AVERAGEIF(N100:AC100,"&gt;0.001",N100:AC100),)</f>
        <v>7.0000000000000034E-2</v>
      </c>
      <c r="N100" s="178">
        <v>7.0000000000000007E-2</v>
      </c>
      <c r="O100" s="179">
        <f t="shared" ref="O100:AC100" si="64">N100</f>
        <v>7.0000000000000007E-2</v>
      </c>
      <c r="P100" s="179">
        <f t="shared" si="64"/>
        <v>7.0000000000000007E-2</v>
      </c>
      <c r="Q100" s="179">
        <f t="shared" si="64"/>
        <v>7.0000000000000007E-2</v>
      </c>
      <c r="R100" s="179">
        <f t="shared" si="64"/>
        <v>7.0000000000000007E-2</v>
      </c>
      <c r="S100" s="179">
        <f t="shared" si="64"/>
        <v>7.0000000000000007E-2</v>
      </c>
      <c r="T100" s="179">
        <f t="shared" si="64"/>
        <v>7.0000000000000007E-2</v>
      </c>
      <c r="U100" s="179">
        <f t="shared" si="64"/>
        <v>7.0000000000000007E-2</v>
      </c>
      <c r="V100" s="179">
        <f t="shared" si="64"/>
        <v>7.0000000000000007E-2</v>
      </c>
      <c r="W100" s="179">
        <f t="shared" si="64"/>
        <v>7.0000000000000007E-2</v>
      </c>
      <c r="X100" s="179">
        <f t="shared" si="64"/>
        <v>7.0000000000000007E-2</v>
      </c>
      <c r="Y100" s="179">
        <f t="shared" si="64"/>
        <v>7.0000000000000007E-2</v>
      </c>
      <c r="Z100" s="179">
        <f t="shared" si="64"/>
        <v>7.0000000000000007E-2</v>
      </c>
      <c r="AA100" s="179">
        <f t="shared" si="64"/>
        <v>7.0000000000000007E-2</v>
      </c>
      <c r="AB100" s="179">
        <f t="shared" si="64"/>
        <v>7.0000000000000007E-2</v>
      </c>
      <c r="AC100" s="180">
        <f t="shared" si="64"/>
        <v>7.0000000000000007E-2</v>
      </c>
      <c r="AD100" s="1"/>
      <c r="AE100" s="1"/>
    </row>
    <row r="101" spans="9:31" ht="15.75" outlineLevel="1" x14ac:dyDescent="0.25">
      <c r="I101" s="38"/>
      <c r="J101" s="97" t="s">
        <v>92</v>
      </c>
      <c r="K101" s="148" t="s">
        <v>93</v>
      </c>
      <c r="L101" s="98" t="str">
        <f>IF(ABS(SUM(N101:AC101))=0,"OK, fully repaid","Error, must fully repay")</f>
        <v>OK, fully repaid</v>
      </c>
      <c r="N101" s="181"/>
      <c r="O101" s="182"/>
      <c r="P101" s="182"/>
      <c r="Q101" s="182"/>
      <c r="R101" s="182"/>
      <c r="S101" s="182"/>
      <c r="T101" s="182"/>
      <c r="U101" s="182"/>
      <c r="V101" s="182"/>
      <c r="W101" s="182"/>
      <c r="X101" s="182"/>
      <c r="Y101" s="182"/>
      <c r="Z101" s="182"/>
      <c r="AA101" s="182"/>
      <c r="AB101" s="182"/>
      <c r="AC101" s="183"/>
      <c r="AD101" s="1"/>
      <c r="AE101" s="1"/>
    </row>
    <row r="102" spans="9:31" ht="15.75" outlineLevel="1" x14ac:dyDescent="0.25">
      <c r="I102" s="38"/>
      <c r="J102" s="97" t="s">
        <v>94</v>
      </c>
      <c r="K102" s="169"/>
      <c r="L102" s="184"/>
      <c r="N102" s="905">
        <f t="shared" ref="N102:AC102" si="65">N235</f>
        <v>0</v>
      </c>
      <c r="O102" s="906">
        <f t="shared" si="65"/>
        <v>0</v>
      </c>
      <c r="P102" s="906">
        <f t="shared" si="65"/>
        <v>0</v>
      </c>
      <c r="Q102" s="906">
        <f t="shared" si="65"/>
        <v>0</v>
      </c>
      <c r="R102" s="906">
        <f t="shared" si="65"/>
        <v>0</v>
      </c>
      <c r="S102" s="906">
        <f t="shared" si="65"/>
        <v>0</v>
      </c>
      <c r="T102" s="906">
        <f t="shared" si="65"/>
        <v>0</v>
      </c>
      <c r="U102" s="906">
        <f t="shared" si="65"/>
        <v>0</v>
      </c>
      <c r="V102" s="906">
        <f t="shared" si="65"/>
        <v>0</v>
      </c>
      <c r="W102" s="906">
        <f t="shared" si="65"/>
        <v>0</v>
      </c>
      <c r="X102" s="906">
        <f t="shared" si="65"/>
        <v>0</v>
      </c>
      <c r="Y102" s="906">
        <f t="shared" si="65"/>
        <v>0</v>
      </c>
      <c r="Z102" s="906">
        <f t="shared" si="65"/>
        <v>0</v>
      </c>
      <c r="AA102" s="906">
        <f t="shared" si="65"/>
        <v>0</v>
      </c>
      <c r="AB102" s="906">
        <f t="shared" si="65"/>
        <v>0</v>
      </c>
      <c r="AC102" s="907">
        <f t="shared" si="65"/>
        <v>0</v>
      </c>
      <c r="AD102" s="1"/>
      <c r="AE102" s="1"/>
    </row>
    <row r="103" spans="9:31" ht="15.75" outlineLevel="1" x14ac:dyDescent="0.25">
      <c r="I103" s="38"/>
      <c r="J103" s="97" t="s">
        <v>95</v>
      </c>
      <c r="K103" s="169"/>
      <c r="L103" s="184"/>
      <c r="N103" s="908">
        <f t="shared" ref="N103:AC103" si="66">N199</f>
        <v>0</v>
      </c>
      <c r="O103" s="909">
        <f t="shared" si="66"/>
        <v>0</v>
      </c>
      <c r="P103" s="909">
        <f t="shared" si="66"/>
        <v>0</v>
      </c>
      <c r="Q103" s="909">
        <f t="shared" si="66"/>
        <v>0</v>
      </c>
      <c r="R103" s="909">
        <f t="shared" si="66"/>
        <v>0</v>
      </c>
      <c r="S103" s="909">
        <f t="shared" si="66"/>
        <v>0</v>
      </c>
      <c r="T103" s="909">
        <f t="shared" si="66"/>
        <v>0</v>
      </c>
      <c r="U103" s="909">
        <f t="shared" si="66"/>
        <v>0</v>
      </c>
      <c r="V103" s="909">
        <f t="shared" si="66"/>
        <v>0</v>
      </c>
      <c r="W103" s="909">
        <f t="shared" si="66"/>
        <v>0</v>
      </c>
      <c r="X103" s="909">
        <f t="shared" si="66"/>
        <v>0</v>
      </c>
      <c r="Y103" s="909">
        <f t="shared" si="66"/>
        <v>0</v>
      </c>
      <c r="Z103" s="909">
        <f t="shared" si="66"/>
        <v>0</v>
      </c>
      <c r="AA103" s="909">
        <f t="shared" si="66"/>
        <v>0</v>
      </c>
      <c r="AB103" s="909">
        <f t="shared" si="66"/>
        <v>0</v>
      </c>
      <c r="AC103" s="910">
        <f t="shared" si="66"/>
        <v>0</v>
      </c>
      <c r="AD103" s="1"/>
      <c r="AE103" s="1"/>
    </row>
    <row r="104" spans="9:31" ht="15.75" outlineLevel="1" x14ac:dyDescent="0.25">
      <c r="I104" s="38"/>
      <c r="J104" s="97"/>
      <c r="K104" s="169"/>
      <c r="L104" s="184"/>
      <c r="N104" s="97"/>
      <c r="O104" s="97"/>
      <c r="P104" s="97"/>
      <c r="Q104" s="97"/>
      <c r="R104" s="97"/>
      <c r="S104" s="97"/>
      <c r="T104" s="97"/>
      <c r="U104" s="97"/>
      <c r="V104" s="97"/>
      <c r="W104" s="97"/>
      <c r="X104" s="97"/>
      <c r="Y104" s="97"/>
      <c r="Z104" s="97"/>
      <c r="AA104" s="97"/>
      <c r="AB104" s="97"/>
      <c r="AC104" s="97"/>
      <c r="AD104" s="1"/>
      <c r="AE104" s="1"/>
    </row>
    <row r="105" spans="9:31" ht="18" outlineLevel="1" x14ac:dyDescent="0.2">
      <c r="I105" s="104" t="s">
        <v>96</v>
      </c>
      <c r="J105" s="105" t="s">
        <v>97</v>
      </c>
      <c r="K105" s="105"/>
      <c r="L105" s="105"/>
      <c r="M105" s="106"/>
      <c r="N105" s="107"/>
      <c r="O105" s="107"/>
      <c r="P105" s="107"/>
      <c r="Q105" s="107"/>
      <c r="R105" s="107"/>
      <c r="S105" s="107"/>
      <c r="T105" s="107"/>
      <c r="U105" s="107"/>
      <c r="V105" s="107"/>
      <c r="W105" s="107"/>
      <c r="X105" s="107"/>
      <c r="Y105" s="107"/>
      <c r="Z105" s="107"/>
      <c r="AA105" s="107"/>
      <c r="AB105" s="107"/>
      <c r="AC105" s="107"/>
      <c r="AD105" s="1"/>
      <c r="AE105" s="1"/>
    </row>
    <row r="106" spans="9:31" ht="15.75" outlineLevel="1" x14ac:dyDescent="0.25">
      <c r="I106" s="38"/>
      <c r="J106" s="97"/>
      <c r="K106" s="169"/>
      <c r="L106"/>
      <c r="N106" s="97"/>
      <c r="O106" s="97"/>
      <c r="P106" s="97"/>
      <c r="Q106" s="97"/>
      <c r="R106" s="97"/>
      <c r="S106" s="97"/>
      <c r="T106" s="97"/>
      <c r="U106" s="97"/>
      <c r="V106" s="97"/>
      <c r="W106" s="97"/>
      <c r="X106" s="97"/>
      <c r="Y106" s="97"/>
      <c r="Z106" s="97"/>
      <c r="AA106" s="97"/>
      <c r="AB106" s="97"/>
      <c r="AC106" s="97"/>
      <c r="AD106" s="1"/>
      <c r="AE106" s="1"/>
    </row>
    <row r="107" spans="9:31" ht="21" customHeight="1" outlineLevel="1" x14ac:dyDescent="0.4">
      <c r="I107" s="38"/>
      <c r="J107" s="39" t="s">
        <v>98</v>
      </c>
      <c r="K107" s="169" t="s">
        <v>99</v>
      </c>
      <c r="L107"/>
      <c r="O107" s="47" t="s">
        <v>100</v>
      </c>
      <c r="P107" s="188" t="s">
        <v>90</v>
      </c>
      <c r="Q107" s="97"/>
      <c r="R107" s="97"/>
      <c r="S107" s="97"/>
      <c r="T107" s="97"/>
      <c r="U107" s="97"/>
      <c r="V107" s="97"/>
      <c r="W107" s="97"/>
      <c r="X107" s="97"/>
      <c r="Y107" s="97"/>
      <c r="Z107" s="97"/>
      <c r="AA107" s="97"/>
      <c r="AB107" s="97"/>
      <c r="AC107" s="97"/>
      <c r="AD107" s="1"/>
      <c r="AE107" s="1"/>
    </row>
    <row r="108" spans="9:31" ht="15.75" outlineLevel="1" x14ac:dyDescent="0.25">
      <c r="I108" s="38" t="s">
        <v>72</v>
      </c>
      <c r="J108" s="97" t="s">
        <v>101</v>
      </c>
      <c r="K108" s="189">
        <v>45</v>
      </c>
      <c r="L108"/>
      <c r="N108" s="911">
        <f t="shared" ref="N108:AC108" si="67">MAX(N200-N118*IF(N78&lt;$K$108,N78,$K$108)/N78,)</f>
        <v>0</v>
      </c>
      <c r="O108" s="912">
        <f t="shared" si="67"/>
        <v>0</v>
      </c>
      <c r="P108" s="912">
        <f t="shared" si="67"/>
        <v>0</v>
      </c>
      <c r="Q108" s="912">
        <f t="shared" si="67"/>
        <v>0</v>
      </c>
      <c r="R108" s="912">
        <f t="shared" si="67"/>
        <v>0</v>
      </c>
      <c r="S108" s="912">
        <f t="shared" si="67"/>
        <v>0</v>
      </c>
      <c r="T108" s="912">
        <f t="shared" si="67"/>
        <v>0</v>
      </c>
      <c r="U108" s="912">
        <f t="shared" si="67"/>
        <v>0</v>
      </c>
      <c r="V108" s="912">
        <f t="shared" si="67"/>
        <v>0</v>
      </c>
      <c r="W108" s="912">
        <f t="shared" si="67"/>
        <v>0</v>
      </c>
      <c r="X108" s="912">
        <f t="shared" si="67"/>
        <v>0</v>
      </c>
      <c r="Y108" s="912">
        <f t="shared" si="67"/>
        <v>0</v>
      </c>
      <c r="Z108" s="912">
        <f t="shared" si="67"/>
        <v>0</v>
      </c>
      <c r="AA108" s="912">
        <f t="shared" si="67"/>
        <v>0</v>
      </c>
      <c r="AB108" s="912">
        <f t="shared" si="67"/>
        <v>0</v>
      </c>
      <c r="AC108" s="913">
        <f t="shared" si="67"/>
        <v>0</v>
      </c>
      <c r="AD108" s="1"/>
      <c r="AE108" s="1"/>
    </row>
    <row r="109" spans="9:31" ht="15.75" outlineLevel="1" x14ac:dyDescent="0.25">
      <c r="I109" s="38" t="s">
        <v>74</v>
      </c>
      <c r="J109" s="97" t="s">
        <v>102</v>
      </c>
      <c r="K109" s="190">
        <v>30</v>
      </c>
      <c r="L109"/>
      <c r="N109" s="794">
        <f t="shared" ref="N109:AC109" si="68">MAX(SUM(N203,N201)-(-(SUM(N119:N123)+SUM(N126:N129)*50%)*IF(N78&lt;$K$109,N78,$K$109)/N78),0)</f>
        <v>0</v>
      </c>
      <c r="O109" s="914">
        <f t="shared" si="68"/>
        <v>0</v>
      </c>
      <c r="P109" s="914">
        <f t="shared" si="68"/>
        <v>0</v>
      </c>
      <c r="Q109" s="914">
        <f t="shared" si="68"/>
        <v>0</v>
      </c>
      <c r="R109" s="914">
        <f t="shared" si="68"/>
        <v>0</v>
      </c>
      <c r="S109" s="914">
        <f t="shared" si="68"/>
        <v>0</v>
      </c>
      <c r="T109" s="914">
        <f t="shared" si="68"/>
        <v>0</v>
      </c>
      <c r="U109" s="914">
        <f t="shared" si="68"/>
        <v>0</v>
      </c>
      <c r="V109" s="914">
        <f t="shared" si="68"/>
        <v>0</v>
      </c>
      <c r="W109" s="914">
        <f t="shared" si="68"/>
        <v>0</v>
      </c>
      <c r="X109" s="914">
        <f t="shared" si="68"/>
        <v>0</v>
      </c>
      <c r="Y109" s="914">
        <f t="shared" si="68"/>
        <v>0</v>
      </c>
      <c r="Z109" s="914">
        <f t="shared" si="68"/>
        <v>0</v>
      </c>
      <c r="AA109" s="914">
        <f t="shared" si="68"/>
        <v>0</v>
      </c>
      <c r="AB109" s="914">
        <f t="shared" si="68"/>
        <v>0</v>
      </c>
      <c r="AC109" s="915">
        <f t="shared" si="68"/>
        <v>0</v>
      </c>
      <c r="AD109" s="1"/>
      <c r="AE109" s="1"/>
    </row>
    <row r="110" spans="9:31" ht="15.75" outlineLevel="1" x14ac:dyDescent="0.25">
      <c r="I110" s="38" t="s">
        <v>76</v>
      </c>
      <c r="J110" s="97" t="s">
        <v>103</v>
      </c>
      <c r="K110" s="191">
        <v>60</v>
      </c>
      <c r="L110"/>
      <c r="N110" s="916">
        <f t="shared" ref="N110:AC110" si="69">IF(SUM(N108:N109)&gt;0,MAX(-N211-((SUM(N119:N123)+SUM(N127,N129))*IF(N78&lt;$K$110,N78,$K$110)/N78),-SUM(N108:N109)),0)</f>
        <v>0</v>
      </c>
      <c r="O110" s="917">
        <f t="shared" si="69"/>
        <v>0</v>
      </c>
      <c r="P110" s="917">
        <f t="shared" si="69"/>
        <v>0</v>
      </c>
      <c r="Q110" s="917">
        <f t="shared" si="69"/>
        <v>0</v>
      </c>
      <c r="R110" s="917">
        <f t="shared" si="69"/>
        <v>0</v>
      </c>
      <c r="S110" s="917">
        <f t="shared" si="69"/>
        <v>0</v>
      </c>
      <c r="T110" s="917">
        <f t="shared" si="69"/>
        <v>0</v>
      </c>
      <c r="U110" s="917">
        <f t="shared" si="69"/>
        <v>0</v>
      </c>
      <c r="V110" s="917">
        <f t="shared" si="69"/>
        <v>0</v>
      </c>
      <c r="W110" s="917">
        <f t="shared" si="69"/>
        <v>0</v>
      </c>
      <c r="X110" s="917">
        <f t="shared" si="69"/>
        <v>0</v>
      </c>
      <c r="Y110" s="917">
        <f t="shared" si="69"/>
        <v>0</v>
      </c>
      <c r="Z110" s="917">
        <f t="shared" si="69"/>
        <v>0</v>
      </c>
      <c r="AA110" s="917">
        <f t="shared" si="69"/>
        <v>0</v>
      </c>
      <c r="AB110" s="917">
        <f t="shared" si="69"/>
        <v>0</v>
      </c>
      <c r="AC110" s="918">
        <f t="shared" si="69"/>
        <v>0</v>
      </c>
      <c r="AD110" s="1"/>
      <c r="AE110" s="1"/>
    </row>
    <row r="111" spans="9:31" ht="15.75" outlineLevel="1" x14ac:dyDescent="0.25">
      <c r="I111" s="38" t="s">
        <v>62</v>
      </c>
      <c r="J111" s="192" t="s">
        <v>104</v>
      </c>
      <c r="K111" s="148"/>
      <c r="L111"/>
      <c r="N111" s="919">
        <f>MAX(SUM(N108:N110),0)</f>
        <v>0</v>
      </c>
      <c r="O111" s="920">
        <f t="shared" ref="O111:AC111" si="70">MAX(SUM(O108:O110),0)</f>
        <v>0</v>
      </c>
      <c r="P111" s="920">
        <f t="shared" si="70"/>
        <v>0</v>
      </c>
      <c r="Q111" s="920">
        <f t="shared" si="70"/>
        <v>0</v>
      </c>
      <c r="R111" s="920">
        <f t="shared" si="70"/>
        <v>0</v>
      </c>
      <c r="S111" s="920">
        <f t="shared" si="70"/>
        <v>0</v>
      </c>
      <c r="T111" s="920">
        <f t="shared" si="70"/>
        <v>0</v>
      </c>
      <c r="U111" s="920">
        <f t="shared" si="70"/>
        <v>0</v>
      </c>
      <c r="V111" s="920">
        <f t="shared" si="70"/>
        <v>0</v>
      </c>
      <c r="W111" s="920">
        <f t="shared" si="70"/>
        <v>0</v>
      </c>
      <c r="X111" s="920">
        <f t="shared" si="70"/>
        <v>0</v>
      </c>
      <c r="Y111" s="920">
        <f t="shared" si="70"/>
        <v>0</v>
      </c>
      <c r="Z111" s="920">
        <f t="shared" si="70"/>
        <v>0</v>
      </c>
      <c r="AA111" s="920">
        <f t="shared" si="70"/>
        <v>0</v>
      </c>
      <c r="AB111" s="920">
        <f t="shared" si="70"/>
        <v>0</v>
      </c>
      <c r="AC111" s="921">
        <f t="shared" si="70"/>
        <v>0</v>
      </c>
      <c r="AD111" s="1"/>
      <c r="AE111" s="1"/>
    </row>
    <row r="112" spans="9:31" outlineLevel="1" x14ac:dyDescent="0.3">
      <c r="I112" s="99"/>
      <c r="K112" s="193"/>
      <c r="N112" s="194"/>
      <c r="O112" s="194"/>
      <c r="P112" s="194"/>
      <c r="Q112" s="194"/>
      <c r="R112" s="194"/>
      <c r="S112" s="194"/>
      <c r="T112" s="194"/>
      <c r="U112" s="194"/>
      <c r="V112" s="194"/>
      <c r="W112" s="194"/>
      <c r="X112" s="194"/>
      <c r="Y112" s="194"/>
      <c r="Z112" s="194"/>
      <c r="AA112" s="194"/>
      <c r="AB112" s="194"/>
      <c r="AC112" s="194"/>
      <c r="AD112" s="1"/>
      <c r="AE112" s="1"/>
    </row>
    <row r="113" spans="8:58" ht="18" x14ac:dyDescent="0.2">
      <c r="I113" s="132">
        <v>3</v>
      </c>
      <c r="J113" s="33" t="s">
        <v>283</v>
      </c>
      <c r="K113" s="195" t="s">
        <v>8</v>
      </c>
      <c r="L113" s="196"/>
      <c r="N113" s="197">
        <f>N$11</f>
        <v>2024</v>
      </c>
      <c r="O113" s="133">
        <f t="shared" ref="O113:AC113" si="71">O$11</f>
        <v>2025</v>
      </c>
      <c r="P113" s="133">
        <f t="shared" si="71"/>
        <v>2026</v>
      </c>
      <c r="Q113" s="133">
        <f t="shared" si="71"/>
        <v>2027</v>
      </c>
      <c r="R113" s="133">
        <f t="shared" si="71"/>
        <v>2028</v>
      </c>
      <c r="S113" s="133">
        <f t="shared" si="71"/>
        <v>2029</v>
      </c>
      <c r="T113" s="133">
        <f t="shared" si="71"/>
        <v>2030</v>
      </c>
      <c r="U113" s="133">
        <f t="shared" si="71"/>
        <v>2031</v>
      </c>
      <c r="V113" s="133">
        <f t="shared" si="71"/>
        <v>2032</v>
      </c>
      <c r="W113" s="133">
        <f t="shared" si="71"/>
        <v>2033</v>
      </c>
      <c r="X113" s="133">
        <f t="shared" si="71"/>
        <v>2034</v>
      </c>
      <c r="Y113" s="133">
        <f t="shared" si="71"/>
        <v>2035</v>
      </c>
      <c r="Z113" s="133">
        <f t="shared" si="71"/>
        <v>2036</v>
      </c>
      <c r="AA113" s="133">
        <f t="shared" si="71"/>
        <v>2037</v>
      </c>
      <c r="AB113" s="133">
        <f t="shared" si="71"/>
        <v>2038</v>
      </c>
      <c r="AC113" s="198">
        <f t="shared" si="71"/>
        <v>2039</v>
      </c>
      <c r="AD113" s="1"/>
      <c r="AE113" s="1"/>
    </row>
    <row r="114" spans="8:58" ht="21.4" customHeight="1" x14ac:dyDescent="0.2">
      <c r="I114" s="199" t="e">
        <f>INDEX($J$118:$AC$171,MATCH(#REF!,$J$118:$J$171,0),MATCH($I$118,$J$118:$AC$118,0))</f>
        <v>#REF!</v>
      </c>
      <c r="J114" s="449" t="s">
        <v>105</v>
      </c>
      <c r="K114" s="1"/>
      <c r="AC114" s="201"/>
      <c r="AD114" s="1"/>
      <c r="AE114" s="1"/>
    </row>
    <row r="115" spans="8:58" s="4" customFormat="1" ht="15.75" x14ac:dyDescent="0.25">
      <c r="H115" s="1"/>
      <c r="I115" s="202"/>
      <c r="J115" s="447" t="s">
        <v>286</v>
      </c>
      <c r="K115" s="452">
        <f>SUM(N115:AC115)</f>
        <v>0</v>
      </c>
      <c r="L115" s="451" t="s">
        <v>287</v>
      </c>
      <c r="N115" s="1054"/>
      <c r="O115" s="1054"/>
      <c r="P115" s="1054"/>
      <c r="Q115" s="1054"/>
      <c r="R115" s="1054"/>
      <c r="S115" s="1054"/>
      <c r="T115" s="1054"/>
      <c r="U115" s="1054"/>
      <c r="V115" s="1054"/>
      <c r="W115" s="1054"/>
      <c r="X115" s="1054"/>
      <c r="Y115" s="1054"/>
      <c r="Z115" s="1054"/>
      <c r="AA115" s="1054"/>
      <c r="AB115" s="1054"/>
      <c r="AC115" s="1055"/>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row>
    <row r="116" spans="8:58" s="4" customFormat="1" ht="15.75" x14ac:dyDescent="0.25">
      <c r="H116" s="1"/>
      <c r="I116" s="202"/>
      <c r="J116" s="448" t="s">
        <v>386</v>
      </c>
      <c r="K116" s="922">
        <f>IFERROR(K118/K115,)</f>
        <v>0</v>
      </c>
      <c r="L116" s="923" t="s">
        <v>300</v>
      </c>
      <c r="M116" s="924"/>
      <c r="N116" s="1009"/>
      <c r="O116" s="1009"/>
      <c r="P116" s="1009"/>
      <c r="Q116" s="1009"/>
      <c r="R116" s="1009"/>
      <c r="S116" s="1009"/>
      <c r="T116" s="1009"/>
      <c r="U116" s="1009"/>
      <c r="V116" s="1009"/>
      <c r="W116" s="1009"/>
      <c r="X116" s="1009"/>
      <c r="Y116" s="1009"/>
      <c r="Z116" s="1009"/>
      <c r="AA116" s="1009"/>
      <c r="AB116" s="1009"/>
      <c r="AC116" s="1010"/>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row>
    <row r="117" spans="8:58" ht="7.9" customHeight="1" x14ac:dyDescent="0.2">
      <c r="I117" s="199"/>
      <c r="J117" s="200"/>
      <c r="K117" s="1"/>
      <c r="N117" s="750"/>
      <c r="O117" s="750"/>
      <c r="P117" s="750"/>
      <c r="Q117" s="750"/>
      <c r="R117" s="750"/>
      <c r="S117" s="750"/>
      <c r="T117" s="750"/>
      <c r="U117" s="750"/>
      <c r="V117" s="750"/>
      <c r="W117" s="750"/>
      <c r="X117" s="750"/>
      <c r="Y117" s="750"/>
      <c r="Z117" s="750"/>
      <c r="AA117" s="750"/>
      <c r="AB117" s="750"/>
      <c r="AC117" s="800"/>
      <c r="AD117" s="1"/>
      <c r="AE117" s="1"/>
    </row>
    <row r="118" spans="8:58" s="4" customFormat="1" ht="22.5" customHeight="1" x14ac:dyDescent="0.25">
      <c r="H118" s="1"/>
      <c r="I118" s="202">
        <f>MAX(N118:AC118)</f>
        <v>0</v>
      </c>
      <c r="J118" s="203" t="s">
        <v>12</v>
      </c>
      <c r="K118" s="810">
        <f>SUM(N118:AC118)</f>
        <v>0</v>
      </c>
      <c r="L118" s="204" t="s">
        <v>106</v>
      </c>
      <c r="N118" s="1052">
        <f>N116*N115</f>
        <v>0</v>
      </c>
      <c r="O118" s="1052">
        <f t="shared" ref="O118:V118" si="72">O116*O115</f>
        <v>0</v>
      </c>
      <c r="P118" s="1052">
        <f t="shared" si="72"/>
        <v>0</v>
      </c>
      <c r="Q118" s="1052">
        <f t="shared" si="72"/>
        <v>0</v>
      </c>
      <c r="R118" s="1052">
        <f t="shared" si="72"/>
        <v>0</v>
      </c>
      <c r="S118" s="1052">
        <f t="shared" si="72"/>
        <v>0</v>
      </c>
      <c r="T118" s="1052">
        <f t="shared" si="72"/>
        <v>0</v>
      </c>
      <c r="U118" s="1052">
        <f t="shared" si="72"/>
        <v>0</v>
      </c>
      <c r="V118" s="1052">
        <f t="shared" si="72"/>
        <v>0</v>
      </c>
      <c r="W118" s="1052">
        <f>W116*W115</f>
        <v>0</v>
      </c>
      <c r="X118" s="1052">
        <f t="shared" ref="X118:AB118" si="73">X116*X115</f>
        <v>0</v>
      </c>
      <c r="Y118" s="1052">
        <f t="shared" si="73"/>
        <v>0</v>
      </c>
      <c r="Z118" s="1052">
        <f t="shared" si="73"/>
        <v>0</v>
      </c>
      <c r="AA118" s="1052">
        <f t="shared" si="73"/>
        <v>0</v>
      </c>
      <c r="AB118" s="1052">
        <f t="shared" si="73"/>
        <v>0</v>
      </c>
      <c r="AC118" s="1053"/>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row>
    <row r="119" spans="8:58" s="4" customFormat="1" ht="15.75" x14ac:dyDescent="0.25">
      <c r="H119" s="1"/>
      <c r="I119" s="202">
        <f>INDEX($J$118:$AC$171,MATCH($J119,$J$118:$J$171,0),MATCH($I$118,$J$118:$AC$118,0))</f>
        <v>0</v>
      </c>
      <c r="J119" s="97" t="s">
        <v>107</v>
      </c>
      <c r="K119" s="811">
        <f>SUM(N119:AC119)</f>
        <v>0</v>
      </c>
      <c r="L119" s="221">
        <f t="shared" ref="L119:L124" si="74">IFERROR(K119/$K$118,)</f>
        <v>0</v>
      </c>
      <c r="N119" s="1004"/>
      <c r="O119" s="1005"/>
      <c r="P119" s="1005"/>
      <c r="Q119" s="1006"/>
      <c r="R119" s="1006"/>
      <c r="S119" s="1006"/>
      <c r="T119" s="1006"/>
      <c r="U119" s="1006"/>
      <c r="V119" s="1006"/>
      <c r="W119" s="1006"/>
      <c r="X119" s="1006"/>
      <c r="Y119" s="1006"/>
      <c r="Z119" s="1006"/>
      <c r="AA119" s="1006"/>
      <c r="AB119" s="1006"/>
      <c r="AC119" s="1007"/>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row>
    <row r="120" spans="8:58" s="4" customFormat="1" ht="15.75" x14ac:dyDescent="0.25">
      <c r="H120" s="1"/>
      <c r="I120" s="202"/>
      <c r="J120" s="97" t="s">
        <v>108</v>
      </c>
      <c r="K120" s="812">
        <f t="shared" ref="K120:K132" si="75">SUM(N120:AC120)</f>
        <v>0</v>
      </c>
      <c r="L120" s="221">
        <f t="shared" si="74"/>
        <v>0</v>
      </c>
      <c r="N120" s="1004"/>
      <c r="O120" s="1005"/>
      <c r="P120" s="1005"/>
      <c r="Q120" s="1006"/>
      <c r="R120" s="1006"/>
      <c r="S120" s="1006"/>
      <c r="T120" s="1006"/>
      <c r="U120" s="1006"/>
      <c r="V120" s="1006"/>
      <c r="W120" s="1006"/>
      <c r="X120" s="1006"/>
      <c r="Y120" s="1006"/>
      <c r="Z120" s="1006"/>
      <c r="AA120" s="1006"/>
      <c r="AB120" s="1006"/>
      <c r="AC120" s="1007"/>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row>
    <row r="121" spans="8:58" s="4" customFormat="1" ht="15.75" x14ac:dyDescent="0.25">
      <c r="H121" s="1"/>
      <c r="I121" s="202"/>
      <c r="J121" s="97" t="s">
        <v>109</v>
      </c>
      <c r="K121" s="812">
        <f t="shared" si="75"/>
        <v>0</v>
      </c>
      <c r="L121" s="221">
        <f t="shared" si="74"/>
        <v>0</v>
      </c>
      <c r="N121" s="1004"/>
      <c r="O121" s="1004"/>
      <c r="P121" s="1004"/>
      <c r="Q121" s="1004"/>
      <c r="R121" s="1004"/>
      <c r="S121" s="1004"/>
      <c r="T121" s="1004"/>
      <c r="U121" s="1004"/>
      <c r="V121" s="1004"/>
      <c r="W121" s="1004"/>
      <c r="X121" s="1004"/>
      <c r="Y121" s="1004"/>
      <c r="Z121" s="1004"/>
      <c r="AA121" s="1004"/>
      <c r="AB121" s="1004"/>
      <c r="AC121" s="1007"/>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row>
    <row r="122" spans="8:58" s="4" customFormat="1" ht="15.75" x14ac:dyDescent="0.25">
      <c r="H122" s="1"/>
      <c r="I122" s="202"/>
      <c r="J122" s="97" t="s">
        <v>110</v>
      </c>
      <c r="K122" s="812">
        <f t="shared" si="75"/>
        <v>0</v>
      </c>
      <c r="L122" s="221">
        <f t="shared" si="74"/>
        <v>0</v>
      </c>
      <c r="N122" s="1004"/>
      <c r="O122" s="1005"/>
      <c r="P122" s="1005"/>
      <c r="Q122" s="1006"/>
      <c r="R122" s="1006"/>
      <c r="S122" s="1006"/>
      <c r="T122" s="1006"/>
      <c r="U122" s="1006"/>
      <c r="V122" s="1006"/>
      <c r="W122" s="1006"/>
      <c r="X122" s="1006"/>
      <c r="Y122" s="1006"/>
      <c r="Z122" s="1006"/>
      <c r="AA122" s="1006"/>
      <c r="AB122" s="1006"/>
      <c r="AC122" s="1007"/>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row>
    <row r="123" spans="8:58" s="4" customFormat="1" ht="15.75" x14ac:dyDescent="0.25">
      <c r="H123" s="1"/>
      <c r="I123" s="202"/>
      <c r="J123" s="74" t="s">
        <v>111</v>
      </c>
      <c r="K123" s="813">
        <f t="shared" si="75"/>
        <v>0</v>
      </c>
      <c r="L123" s="209">
        <f t="shared" si="74"/>
        <v>0</v>
      </c>
      <c r="N123" s="1004"/>
      <c r="O123" s="1005"/>
      <c r="P123" s="1005"/>
      <c r="Q123" s="1006"/>
      <c r="R123" s="1006"/>
      <c r="S123" s="1006"/>
      <c r="T123" s="1006"/>
      <c r="U123" s="1006"/>
      <c r="V123" s="1006"/>
      <c r="W123" s="1006"/>
      <c r="X123" s="1006"/>
      <c r="Y123" s="1006"/>
      <c r="Z123" s="1006"/>
      <c r="AA123" s="1006"/>
      <c r="AB123" s="1006"/>
      <c r="AC123" s="1007"/>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row>
    <row r="124" spans="8:58" s="4" customFormat="1" ht="15.75" x14ac:dyDescent="0.25">
      <c r="H124" s="1"/>
      <c r="I124" s="202"/>
      <c r="J124" s="210" t="s">
        <v>112</v>
      </c>
      <c r="K124" s="823">
        <f>SUM(K118:K123)</f>
        <v>0</v>
      </c>
      <c r="L124" s="211">
        <f t="shared" si="74"/>
        <v>0</v>
      </c>
      <c r="N124" s="802">
        <f t="shared" ref="N124:AC124" si="76">SUM(N118:N123)</f>
        <v>0</v>
      </c>
      <c r="O124" s="802">
        <f t="shared" si="76"/>
        <v>0</v>
      </c>
      <c r="P124" s="802">
        <f t="shared" si="76"/>
        <v>0</v>
      </c>
      <c r="Q124" s="802">
        <f t="shared" si="76"/>
        <v>0</v>
      </c>
      <c r="R124" s="802">
        <f t="shared" si="76"/>
        <v>0</v>
      </c>
      <c r="S124" s="802">
        <f t="shared" si="76"/>
        <v>0</v>
      </c>
      <c r="T124" s="802">
        <f t="shared" si="76"/>
        <v>0</v>
      </c>
      <c r="U124" s="802">
        <f t="shared" si="76"/>
        <v>0</v>
      </c>
      <c r="V124" s="802">
        <f t="shared" si="76"/>
        <v>0</v>
      </c>
      <c r="W124" s="802">
        <f t="shared" si="76"/>
        <v>0</v>
      </c>
      <c r="X124" s="802">
        <f t="shared" si="76"/>
        <v>0</v>
      </c>
      <c r="Y124" s="802">
        <f t="shared" si="76"/>
        <v>0</v>
      </c>
      <c r="Z124" s="802">
        <f t="shared" si="76"/>
        <v>0</v>
      </c>
      <c r="AA124" s="802">
        <f t="shared" si="76"/>
        <v>0</v>
      </c>
      <c r="AB124" s="802">
        <f t="shared" si="76"/>
        <v>0</v>
      </c>
      <c r="AC124" s="802">
        <f t="shared" si="76"/>
        <v>0</v>
      </c>
      <c r="AD124" s="1"/>
      <c r="AE124" s="212"/>
      <c r="AF124" s="212"/>
      <c r="AG124" s="212"/>
      <c r="AH124" s="212"/>
      <c r="AI124" s="212"/>
      <c r="AJ124" s="212"/>
      <c r="AK124" s="212"/>
      <c r="AL124" s="212"/>
      <c r="AM124" s="212"/>
      <c r="AN124" s="212"/>
      <c r="AO124" s="212"/>
      <c r="AP124" s="212"/>
      <c r="AQ124" s="212"/>
      <c r="AR124" s="212"/>
      <c r="AS124" s="212"/>
      <c r="AT124" s="212"/>
      <c r="AU124" s="1"/>
      <c r="AV124" s="1"/>
      <c r="AW124" s="1"/>
      <c r="AX124" s="1"/>
      <c r="AY124" s="1"/>
      <c r="AZ124" s="1"/>
      <c r="BA124" s="1"/>
      <c r="BB124" s="1"/>
      <c r="BC124" s="1"/>
      <c r="BD124" s="1"/>
      <c r="BE124" s="1"/>
      <c r="BF124" s="1"/>
    </row>
    <row r="125" spans="8:58" s="217" customFormat="1" ht="13.5" customHeight="1" x14ac:dyDescent="0.2">
      <c r="H125" s="212"/>
      <c r="I125" s="213"/>
      <c r="J125" s="214" t="s">
        <v>113</v>
      </c>
      <c r="K125" s="215">
        <f>IFERROR(K124/K$118,)</f>
        <v>0</v>
      </c>
      <c r="L125" s="216"/>
      <c r="N125" s="272">
        <f t="shared" ref="N125:AC125" si="77">IFERROR(N124/N$118,)</f>
        <v>0</v>
      </c>
      <c r="O125" s="272">
        <f t="shared" si="77"/>
        <v>0</v>
      </c>
      <c r="P125" s="272">
        <f t="shared" si="77"/>
        <v>0</v>
      </c>
      <c r="Q125" s="272">
        <f t="shared" si="77"/>
        <v>0</v>
      </c>
      <c r="R125" s="272">
        <f t="shared" si="77"/>
        <v>0</v>
      </c>
      <c r="S125" s="272">
        <f t="shared" si="77"/>
        <v>0</v>
      </c>
      <c r="T125" s="272">
        <f t="shared" si="77"/>
        <v>0</v>
      </c>
      <c r="U125" s="272">
        <f t="shared" si="77"/>
        <v>0</v>
      </c>
      <c r="V125" s="272">
        <f t="shared" si="77"/>
        <v>0</v>
      </c>
      <c r="W125" s="272">
        <f t="shared" si="77"/>
        <v>0</v>
      </c>
      <c r="X125" s="272">
        <f t="shared" si="77"/>
        <v>0</v>
      </c>
      <c r="Y125" s="272">
        <f t="shared" si="77"/>
        <v>0</v>
      </c>
      <c r="Z125" s="272">
        <f t="shared" si="77"/>
        <v>0</v>
      </c>
      <c r="AA125" s="272">
        <f t="shared" si="77"/>
        <v>0</v>
      </c>
      <c r="AB125" s="272">
        <f t="shared" si="77"/>
        <v>0</v>
      </c>
      <c r="AC125" s="272">
        <f t="shared" si="77"/>
        <v>0</v>
      </c>
      <c r="AD125" s="212"/>
      <c r="AE125" s="1"/>
      <c r="AF125" s="1"/>
      <c r="AG125" s="1"/>
      <c r="AH125" s="1"/>
      <c r="AI125" s="1"/>
      <c r="AJ125" s="1"/>
      <c r="AK125" s="1"/>
      <c r="AL125" s="1"/>
      <c r="AM125" s="1"/>
      <c r="AN125" s="1"/>
      <c r="AO125" s="1"/>
      <c r="AP125" s="1"/>
      <c r="AQ125" s="1"/>
      <c r="AR125" s="1"/>
      <c r="AS125" s="1"/>
      <c r="AT125" s="1"/>
      <c r="AU125" s="212"/>
      <c r="AV125" s="212"/>
      <c r="AW125" s="212"/>
      <c r="AX125" s="212"/>
      <c r="AY125" s="212"/>
      <c r="AZ125" s="212"/>
      <c r="BA125" s="212"/>
      <c r="BB125" s="212"/>
      <c r="BC125" s="212"/>
      <c r="BD125" s="212"/>
      <c r="BE125" s="212"/>
      <c r="BF125" s="212"/>
    </row>
    <row r="126" spans="8:58" s="4" customFormat="1" ht="15.75" x14ac:dyDescent="0.25">
      <c r="H126" s="1"/>
      <c r="I126" s="202"/>
      <c r="J126" s="97" t="s">
        <v>114</v>
      </c>
      <c r="K126" s="812">
        <f t="shared" si="75"/>
        <v>0</v>
      </c>
      <c r="L126" s="221">
        <f>IFERROR(K126/$K$118,)</f>
        <v>0</v>
      </c>
      <c r="N126" s="1004"/>
      <c r="O126" s="1005"/>
      <c r="P126" s="1005"/>
      <c r="Q126" s="1006"/>
      <c r="R126" s="1006"/>
      <c r="S126" s="1006"/>
      <c r="T126" s="1006"/>
      <c r="U126" s="1006"/>
      <c r="V126" s="1006"/>
      <c r="W126" s="1006"/>
      <c r="X126" s="1006"/>
      <c r="Y126" s="1006"/>
      <c r="Z126" s="1006"/>
      <c r="AA126" s="1006"/>
      <c r="AB126" s="1006"/>
      <c r="AC126" s="1007"/>
      <c r="AD126" s="219"/>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8:58" s="4" customFormat="1" ht="15.75" x14ac:dyDescent="0.25">
      <c r="H127" s="1"/>
      <c r="I127" s="202"/>
      <c r="J127" s="97" t="s">
        <v>115</v>
      </c>
      <c r="K127" s="812">
        <f t="shared" si="75"/>
        <v>0</v>
      </c>
      <c r="L127" s="221">
        <f t="shared" ref="L127:L132" si="78">IFERROR(K127/$K$118,)</f>
        <v>0</v>
      </c>
      <c r="N127" s="1004"/>
      <c r="O127" s="1005"/>
      <c r="P127" s="1005"/>
      <c r="Q127" s="1006"/>
      <c r="R127" s="1006"/>
      <c r="S127" s="1006"/>
      <c r="T127" s="1006"/>
      <c r="U127" s="1006"/>
      <c r="V127" s="1006"/>
      <c r="W127" s="1006"/>
      <c r="X127" s="1006"/>
      <c r="Y127" s="1006"/>
      <c r="Z127" s="1006"/>
      <c r="AA127" s="1006"/>
      <c r="AB127" s="1006"/>
      <c r="AC127" s="1007"/>
      <c r="AD127" s="219"/>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row>
    <row r="128" spans="8:58" s="4" customFormat="1" ht="15.75" x14ac:dyDescent="0.25">
      <c r="H128" s="1"/>
      <c r="I128" s="202"/>
      <c r="J128" s="97" t="s">
        <v>116</v>
      </c>
      <c r="K128" s="812">
        <f t="shared" si="75"/>
        <v>0</v>
      </c>
      <c r="L128" s="221">
        <f t="shared" si="78"/>
        <v>0</v>
      </c>
      <c r="N128" s="1004"/>
      <c r="O128" s="1005"/>
      <c r="P128" s="1005"/>
      <c r="Q128" s="1006"/>
      <c r="R128" s="1006"/>
      <c r="S128" s="1006"/>
      <c r="T128" s="1006"/>
      <c r="U128" s="1006"/>
      <c r="V128" s="1006"/>
      <c r="W128" s="1006"/>
      <c r="X128" s="1006"/>
      <c r="Y128" s="1006"/>
      <c r="Z128" s="1006"/>
      <c r="AA128" s="1006"/>
      <c r="AB128" s="1006"/>
      <c r="AC128" s="1007"/>
      <c r="AD128" s="219"/>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row>
    <row r="129" spans="8:58" s="4" customFormat="1" ht="15.75" x14ac:dyDescent="0.25">
      <c r="H129" s="1"/>
      <c r="I129" s="202"/>
      <c r="J129" s="97" t="s">
        <v>117</v>
      </c>
      <c r="K129" s="812">
        <f t="shared" si="75"/>
        <v>0</v>
      </c>
      <c r="L129" s="221">
        <f t="shared" si="78"/>
        <v>0</v>
      </c>
      <c r="N129" s="1004"/>
      <c r="O129" s="1005"/>
      <c r="P129" s="1005"/>
      <c r="Q129" s="1006"/>
      <c r="R129" s="1006"/>
      <c r="S129" s="1006"/>
      <c r="T129" s="1006"/>
      <c r="U129" s="1006"/>
      <c r="V129" s="1006"/>
      <c r="W129" s="1006"/>
      <c r="X129" s="1006"/>
      <c r="Y129" s="1006"/>
      <c r="Z129" s="1006"/>
      <c r="AA129" s="1006"/>
      <c r="AB129" s="1006"/>
      <c r="AC129" s="1007"/>
      <c r="AD129" s="219"/>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8:58" s="4" customFormat="1" ht="15.75" x14ac:dyDescent="0.25">
      <c r="H130" s="1"/>
      <c r="I130" s="202">
        <f>INDEX($J$118:$AC$171,MATCH($J130,$J$118:$J$171,0),MATCH($I$118,$J$118:$AC$118,0))</f>
        <v>0</v>
      </c>
      <c r="J130" s="97" t="s">
        <v>118</v>
      </c>
      <c r="K130" s="812">
        <f t="shared" si="75"/>
        <v>0</v>
      </c>
      <c r="L130" s="221">
        <f t="shared" si="78"/>
        <v>0</v>
      </c>
      <c r="N130" s="1004"/>
      <c r="O130" s="1005"/>
      <c r="P130" s="1005"/>
      <c r="Q130" s="1006"/>
      <c r="R130" s="1006"/>
      <c r="S130" s="1006"/>
      <c r="T130" s="1006"/>
      <c r="U130" s="1006"/>
      <c r="V130" s="1006"/>
      <c r="W130" s="1006"/>
      <c r="X130" s="1006"/>
      <c r="Y130" s="1006"/>
      <c r="Z130" s="1006"/>
      <c r="AA130" s="1006"/>
      <c r="AB130" s="1006"/>
      <c r="AC130" s="1007"/>
      <c r="AD130" s="219"/>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8:58" s="4" customFormat="1" ht="15.75" x14ac:dyDescent="0.25">
      <c r="H131" s="1"/>
      <c r="I131" s="202"/>
      <c r="J131" s="97" t="s">
        <v>119</v>
      </c>
      <c r="K131" s="812">
        <f t="shared" si="75"/>
        <v>0</v>
      </c>
      <c r="L131" s="221">
        <f t="shared" si="78"/>
        <v>0</v>
      </c>
      <c r="N131" s="1004"/>
      <c r="O131" s="1005"/>
      <c r="P131" s="1005"/>
      <c r="Q131" s="1006"/>
      <c r="R131" s="1006"/>
      <c r="S131" s="1006"/>
      <c r="T131" s="1006"/>
      <c r="U131" s="1006"/>
      <c r="V131" s="1006"/>
      <c r="W131" s="1006"/>
      <c r="X131" s="1006"/>
      <c r="Y131" s="1006"/>
      <c r="Z131" s="1006"/>
      <c r="AA131" s="1006"/>
      <c r="AB131" s="1006"/>
      <c r="AC131" s="1007"/>
      <c r="AD131" s="219"/>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row>
    <row r="132" spans="8:58" s="4" customFormat="1" ht="15.75" x14ac:dyDescent="0.25">
      <c r="H132" s="1"/>
      <c r="I132" s="202"/>
      <c r="J132" s="74" t="s">
        <v>120</v>
      </c>
      <c r="K132" s="812">
        <f t="shared" si="75"/>
        <v>0</v>
      </c>
      <c r="L132" s="221">
        <f t="shared" si="78"/>
        <v>0</v>
      </c>
      <c r="N132" s="1004"/>
      <c r="O132" s="1005"/>
      <c r="P132" s="1005"/>
      <c r="Q132" s="1006"/>
      <c r="R132" s="1006"/>
      <c r="S132" s="1006"/>
      <c r="T132" s="1006"/>
      <c r="U132" s="1006"/>
      <c r="V132" s="1006"/>
      <c r="W132" s="1006"/>
      <c r="X132" s="1006"/>
      <c r="Y132" s="1006"/>
      <c r="Z132" s="1006"/>
      <c r="AA132" s="1006"/>
      <c r="AB132" s="1006"/>
      <c r="AC132" s="1007"/>
      <c r="AD132" s="219"/>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row>
    <row r="133" spans="8:58" s="4" customFormat="1" ht="15.75" x14ac:dyDescent="0.25">
      <c r="H133" s="1"/>
      <c r="I133" s="202">
        <f>INDEX($J$118:$AC$171,MATCH($J133,$J$118:$J$171,0),MATCH($I$118,$J$118:$AC$118,0))</f>
        <v>0</v>
      </c>
      <c r="J133" s="210" t="s">
        <v>121</v>
      </c>
      <c r="K133" s="814">
        <f>K124+SUM(K126:K132)</f>
        <v>0</v>
      </c>
      <c r="L133" s="220">
        <f>IFERROR(K133/$K$118,)</f>
        <v>0</v>
      </c>
      <c r="N133" s="804">
        <f>N124+SUM(N126:N132)</f>
        <v>0</v>
      </c>
      <c r="O133" s="804">
        <f t="shared" ref="O133:AC133" si="79">O124+SUM(O126:O132)</f>
        <v>0</v>
      </c>
      <c r="P133" s="804">
        <f t="shared" si="79"/>
        <v>0</v>
      </c>
      <c r="Q133" s="804">
        <f t="shared" si="79"/>
        <v>0</v>
      </c>
      <c r="R133" s="804">
        <f t="shared" si="79"/>
        <v>0</v>
      </c>
      <c r="S133" s="804">
        <f t="shared" si="79"/>
        <v>0</v>
      </c>
      <c r="T133" s="804">
        <f t="shared" si="79"/>
        <v>0</v>
      </c>
      <c r="U133" s="804">
        <f t="shared" si="79"/>
        <v>0</v>
      </c>
      <c r="V133" s="804">
        <f t="shared" si="79"/>
        <v>0</v>
      </c>
      <c r="W133" s="804">
        <f t="shared" si="79"/>
        <v>0</v>
      </c>
      <c r="X133" s="804">
        <f t="shared" si="79"/>
        <v>0</v>
      </c>
      <c r="Y133" s="804">
        <f t="shared" si="79"/>
        <v>0</v>
      </c>
      <c r="Z133" s="804">
        <f t="shared" si="79"/>
        <v>0</v>
      </c>
      <c r="AA133" s="804">
        <f t="shared" si="79"/>
        <v>0</v>
      </c>
      <c r="AB133" s="804">
        <f t="shared" si="79"/>
        <v>0</v>
      </c>
      <c r="AC133" s="804">
        <f t="shared" si="79"/>
        <v>0</v>
      </c>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row>
    <row r="134" spans="8:58" s="4" customFormat="1" ht="15.75" x14ac:dyDescent="0.25">
      <c r="H134" s="1"/>
      <c r="I134" s="202">
        <f>INDEX($J$118:$AC$171,MATCH($J134,$J$118:$J$171,0),MATCH($I$118,$J$118:$AC$118,0))</f>
        <v>0</v>
      </c>
      <c r="J134" s="97" t="s">
        <v>122</v>
      </c>
      <c r="K134" s="812">
        <f>SUM(N134:AC134)</f>
        <v>0</v>
      </c>
      <c r="L134" s="221">
        <f>IFERROR(K134/$K$118,)</f>
        <v>0</v>
      </c>
      <c r="N134" s="1004"/>
      <c r="O134" s="1005"/>
      <c r="P134" s="1005"/>
      <c r="Q134" s="1006"/>
      <c r="R134" s="1006"/>
      <c r="S134" s="1006"/>
      <c r="T134" s="1006"/>
      <c r="U134" s="1006"/>
      <c r="V134" s="1006"/>
      <c r="W134" s="1006"/>
      <c r="X134" s="1006"/>
      <c r="Y134" s="1006"/>
      <c r="Z134" s="1006"/>
      <c r="AA134" s="1006"/>
      <c r="AB134" s="1006"/>
      <c r="AC134" s="1007"/>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8:58" s="4" customFormat="1" ht="15.75" x14ac:dyDescent="0.25">
      <c r="H135" s="1"/>
      <c r="I135" s="202"/>
      <c r="J135" s="97" t="s">
        <v>284</v>
      </c>
      <c r="K135" s="815">
        <f>SUM(N135:AC135)</f>
        <v>0</v>
      </c>
      <c r="L135" s="221">
        <f>IFERROR(K135/$K$118,)</f>
        <v>0</v>
      </c>
      <c r="N135" s="1004"/>
      <c r="O135" s="1004"/>
      <c r="P135" s="1004"/>
      <c r="Q135" s="1004"/>
      <c r="R135" s="1004"/>
      <c r="S135" s="1004"/>
      <c r="T135" s="1004"/>
      <c r="U135" s="1004"/>
      <c r="V135" s="1004"/>
      <c r="W135" s="1004"/>
      <c r="X135" s="1004"/>
      <c r="Y135" s="1004"/>
      <c r="Z135" s="1004"/>
      <c r="AA135" s="1004"/>
      <c r="AB135" s="1004"/>
      <c r="AC135" s="1004"/>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8:58" s="4" customFormat="1" ht="15.75" x14ac:dyDescent="0.25">
      <c r="H136" s="1"/>
      <c r="I136" s="202"/>
      <c r="J136" s="97" t="s">
        <v>123</v>
      </c>
      <c r="K136" s="812">
        <f>SUM(N136:AC136)</f>
        <v>0</v>
      </c>
      <c r="L136" s="221">
        <f t="shared" ref="L136:L143" si="80">IFERROR(K136/$K$118,)</f>
        <v>0</v>
      </c>
      <c r="N136" s="1004"/>
      <c r="O136" s="1005"/>
      <c r="P136" s="1005"/>
      <c r="Q136" s="1006"/>
      <c r="R136" s="1006"/>
      <c r="S136" s="1006"/>
      <c r="T136" s="1006"/>
      <c r="U136" s="1006"/>
      <c r="V136" s="1006"/>
      <c r="W136" s="1006"/>
      <c r="X136" s="1006"/>
      <c r="Y136" s="1006"/>
      <c r="Z136" s="1006"/>
      <c r="AA136" s="1006"/>
      <c r="AB136" s="1006"/>
      <c r="AC136" s="1007"/>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row>
    <row r="137" spans="8:58" ht="15.75" x14ac:dyDescent="0.25">
      <c r="I137" s="202">
        <f>INDEX($J$118:$AC$171,MATCH($J137,$J$118:$J$171,0),MATCH($I$118,$J$118:$AC$118,0))</f>
        <v>0</v>
      </c>
      <c r="J137" s="31" t="s">
        <v>124</v>
      </c>
      <c r="K137" s="816">
        <f>SUM(N137:AC137)</f>
        <v>0</v>
      </c>
      <c r="L137" s="221">
        <f t="shared" si="80"/>
        <v>0</v>
      </c>
      <c r="N137" s="1004"/>
      <c r="O137" s="1005"/>
      <c r="P137" s="1005"/>
      <c r="Q137" s="1006"/>
      <c r="R137" s="1006"/>
      <c r="S137" s="1006"/>
      <c r="T137" s="1006"/>
      <c r="U137" s="1006"/>
      <c r="V137" s="1006"/>
      <c r="W137" s="1006"/>
      <c r="X137" s="1006"/>
      <c r="Y137" s="1006"/>
      <c r="Z137" s="1006"/>
      <c r="AA137" s="1006"/>
      <c r="AB137" s="1006"/>
      <c r="AC137" s="1007"/>
      <c r="AD137" s="1"/>
      <c r="AE137" s="1"/>
    </row>
    <row r="138" spans="8:58" ht="15.75" x14ac:dyDescent="0.25">
      <c r="I138" s="202">
        <f>INDEX($J$118:$AC$171,MATCH($J138,$J$118:$J$171,0),MATCH($I$118,$J$118:$AC$118,0))</f>
        <v>0</v>
      </c>
      <c r="J138" s="222" t="s">
        <v>125</v>
      </c>
      <c r="K138" s="817">
        <f>K133+SUM(K134:K137)</f>
        <v>0</v>
      </c>
      <c r="L138" s="223">
        <f t="shared" si="80"/>
        <v>0</v>
      </c>
      <c r="N138" s="805">
        <f t="shared" ref="N138:AC138" si="81">N133+SUM(N134:N137)</f>
        <v>0</v>
      </c>
      <c r="O138" s="805">
        <f t="shared" si="81"/>
        <v>0</v>
      </c>
      <c r="P138" s="805">
        <f t="shared" si="81"/>
        <v>0</v>
      </c>
      <c r="Q138" s="805">
        <f t="shared" si="81"/>
        <v>0</v>
      </c>
      <c r="R138" s="805">
        <f t="shared" si="81"/>
        <v>0</v>
      </c>
      <c r="S138" s="805">
        <f t="shared" si="81"/>
        <v>0</v>
      </c>
      <c r="T138" s="805">
        <f t="shared" si="81"/>
        <v>0</v>
      </c>
      <c r="U138" s="805">
        <f t="shared" si="81"/>
        <v>0</v>
      </c>
      <c r="V138" s="805">
        <f t="shared" si="81"/>
        <v>0</v>
      </c>
      <c r="W138" s="805">
        <f t="shared" si="81"/>
        <v>0</v>
      </c>
      <c r="X138" s="805">
        <f t="shared" si="81"/>
        <v>0</v>
      </c>
      <c r="Y138" s="805">
        <f t="shared" si="81"/>
        <v>0</v>
      </c>
      <c r="Z138" s="805">
        <f t="shared" si="81"/>
        <v>0</v>
      </c>
      <c r="AA138" s="805">
        <f t="shared" si="81"/>
        <v>0</v>
      </c>
      <c r="AB138" s="805">
        <f t="shared" si="81"/>
        <v>0</v>
      </c>
      <c r="AC138" s="805">
        <f t="shared" si="81"/>
        <v>0</v>
      </c>
      <c r="AD138" s="1"/>
      <c r="AE138" s="1"/>
    </row>
    <row r="139" spans="8:58" ht="15.75" x14ac:dyDescent="0.25">
      <c r="I139" s="202">
        <f>INDEX($J$118:$AC$171,MATCH($J139,$J$118:$J$171,0),MATCH($I$118,$J$118:$AC$118,0))</f>
        <v>0</v>
      </c>
      <c r="J139" s="565" t="s">
        <v>126</v>
      </c>
      <c r="K139" s="815">
        <f>SUM(N139:AC139)</f>
        <v>0</v>
      </c>
      <c r="L139" s="205">
        <f t="shared" si="80"/>
        <v>0</v>
      </c>
      <c r="N139" s="1004"/>
      <c r="O139" s="1005"/>
      <c r="P139" s="1005"/>
      <c r="Q139" s="1006"/>
      <c r="R139" s="1006"/>
      <c r="S139" s="1006"/>
      <c r="T139" s="1006"/>
      <c r="U139" s="1006"/>
      <c r="V139" s="1006"/>
      <c r="W139" s="1006"/>
      <c r="X139" s="1006"/>
      <c r="Y139" s="1006"/>
      <c r="Z139" s="1006"/>
      <c r="AA139" s="1006"/>
      <c r="AB139" s="1006"/>
      <c r="AC139" s="1007"/>
      <c r="AD139" s="1"/>
      <c r="AE139" s="1"/>
    </row>
    <row r="140" spans="8:58" ht="15.75" x14ac:dyDescent="0.25">
      <c r="I140" s="202">
        <f>INDEX($J$118:$AC$171,MATCH($J140,$J$118:$J$171,0),MATCH($I$118,$J$118:$AC$118,0))</f>
        <v>0</v>
      </c>
      <c r="J140" s="565" t="s">
        <v>416</v>
      </c>
      <c r="K140" s="816">
        <f>SUM(N140:AC140)</f>
        <v>0</v>
      </c>
      <c r="L140" s="221">
        <f t="shared" si="80"/>
        <v>0</v>
      </c>
      <c r="N140" s="1008"/>
      <c r="O140" s="1008"/>
      <c r="P140" s="1008"/>
      <c r="Q140" s="1008"/>
      <c r="R140" s="1008"/>
      <c r="S140" s="1008"/>
      <c r="T140" s="1008"/>
      <c r="U140" s="1008"/>
      <c r="V140" s="1008"/>
      <c r="W140" s="1008"/>
      <c r="X140" s="1008"/>
      <c r="Y140" s="1008"/>
      <c r="Z140" s="1008"/>
      <c r="AA140" s="1008"/>
      <c r="AB140" s="1008"/>
      <c r="AC140" s="1008"/>
      <c r="AD140" s="1"/>
      <c r="AE140" s="1"/>
    </row>
    <row r="141" spans="8:58" ht="15.75" x14ac:dyDescent="0.25">
      <c r="I141" s="202"/>
      <c r="J141" s="565" t="s">
        <v>460</v>
      </c>
      <c r="K141" s="816">
        <f>SUM(N141:AC141)</f>
        <v>0</v>
      </c>
      <c r="L141" s="221">
        <f t="shared" si="80"/>
        <v>0</v>
      </c>
      <c r="M141" s="4"/>
      <c r="N141" s="1008"/>
      <c r="O141" s="1008"/>
      <c r="P141" s="1008"/>
      <c r="Q141" s="1008"/>
      <c r="R141" s="1008"/>
      <c r="S141" s="1008"/>
      <c r="T141" s="1008"/>
      <c r="U141" s="1008"/>
      <c r="V141" s="1008"/>
      <c r="W141" s="1008"/>
      <c r="X141" s="1008"/>
      <c r="Y141" s="1008"/>
      <c r="Z141" s="1008"/>
      <c r="AA141" s="1008"/>
      <c r="AB141" s="1008"/>
      <c r="AC141" s="1008"/>
      <c r="AD141" s="1"/>
      <c r="AE141" s="1"/>
    </row>
    <row r="142" spans="8:58" ht="15.75" x14ac:dyDescent="0.25">
      <c r="I142" s="202">
        <f>INDEX($J$118:$AC$171,MATCH($J142,$J$118:$J$171,0),MATCH($I$118,$J$118:$AC$118,0))</f>
        <v>0</v>
      </c>
      <c r="J142" s="560" t="s">
        <v>127</v>
      </c>
      <c r="K142" s="925">
        <f>SUM(K139:K141)</f>
        <v>0</v>
      </c>
      <c r="L142" s="561">
        <f t="shared" si="80"/>
        <v>0</v>
      </c>
      <c r="M142" s="4"/>
      <c r="N142" s="926">
        <f>SUM(N139:N141)</f>
        <v>0</v>
      </c>
      <c r="O142" s="926">
        <f t="shared" ref="O142:AC142" si="82">SUM(O139:O141)</f>
        <v>0</v>
      </c>
      <c r="P142" s="926">
        <f t="shared" si="82"/>
        <v>0</v>
      </c>
      <c r="Q142" s="926">
        <f t="shared" si="82"/>
        <v>0</v>
      </c>
      <c r="R142" s="926">
        <f t="shared" si="82"/>
        <v>0</v>
      </c>
      <c r="S142" s="926">
        <f t="shared" si="82"/>
        <v>0</v>
      </c>
      <c r="T142" s="926">
        <f t="shared" si="82"/>
        <v>0</v>
      </c>
      <c r="U142" s="926">
        <f t="shared" si="82"/>
        <v>0</v>
      </c>
      <c r="V142" s="926">
        <f t="shared" si="82"/>
        <v>0</v>
      </c>
      <c r="W142" s="926">
        <f t="shared" si="82"/>
        <v>0</v>
      </c>
      <c r="X142" s="926">
        <f t="shared" si="82"/>
        <v>0</v>
      </c>
      <c r="Y142" s="926">
        <f t="shared" si="82"/>
        <v>0</v>
      </c>
      <c r="Z142" s="926">
        <f t="shared" si="82"/>
        <v>0</v>
      </c>
      <c r="AA142" s="926">
        <f t="shared" si="82"/>
        <v>0</v>
      </c>
      <c r="AB142" s="926">
        <f t="shared" si="82"/>
        <v>0</v>
      </c>
      <c r="AC142" s="926">
        <f t="shared" si="82"/>
        <v>0</v>
      </c>
      <c r="AD142" s="1"/>
      <c r="AE142" s="1"/>
    </row>
    <row r="143" spans="8:58" ht="21.75" customHeight="1" x14ac:dyDescent="0.25">
      <c r="I143" s="202">
        <f>INDEX($J$118:$AC$171,MATCH($J143,$J$118:$J$171,0),MATCH($I$118,$J$118:$AC$118,0))</f>
        <v>0</v>
      </c>
      <c r="J143" s="549" t="s">
        <v>128</v>
      </c>
      <c r="K143" s="820">
        <f>K138+SUM(K139:K141)</f>
        <v>0</v>
      </c>
      <c r="L143" s="228">
        <f t="shared" si="80"/>
        <v>0</v>
      </c>
      <c r="N143" s="802">
        <f>N138+SUM(N139:N141)</f>
        <v>0</v>
      </c>
      <c r="O143" s="802">
        <f t="shared" ref="O143:AC143" si="83">O138+SUM(O139:O141)</f>
        <v>0</v>
      </c>
      <c r="P143" s="802">
        <f t="shared" si="83"/>
        <v>0</v>
      </c>
      <c r="Q143" s="802">
        <f t="shared" si="83"/>
        <v>0</v>
      </c>
      <c r="R143" s="802">
        <f t="shared" si="83"/>
        <v>0</v>
      </c>
      <c r="S143" s="802">
        <f t="shared" si="83"/>
        <v>0</v>
      </c>
      <c r="T143" s="802">
        <f t="shared" si="83"/>
        <v>0</v>
      </c>
      <c r="U143" s="802">
        <f t="shared" si="83"/>
        <v>0</v>
      </c>
      <c r="V143" s="802">
        <f t="shared" si="83"/>
        <v>0</v>
      </c>
      <c r="W143" s="802">
        <f t="shared" si="83"/>
        <v>0</v>
      </c>
      <c r="X143" s="802">
        <f t="shared" si="83"/>
        <v>0</v>
      </c>
      <c r="Y143" s="802">
        <f t="shared" si="83"/>
        <v>0</v>
      </c>
      <c r="Z143" s="802">
        <f t="shared" si="83"/>
        <v>0</v>
      </c>
      <c r="AA143" s="802">
        <f t="shared" si="83"/>
        <v>0</v>
      </c>
      <c r="AB143" s="802">
        <f t="shared" si="83"/>
        <v>0</v>
      </c>
      <c r="AC143" s="802">
        <f t="shared" si="83"/>
        <v>0</v>
      </c>
      <c r="AD143" s="1"/>
      <c r="AE143" s="229"/>
      <c r="AF143" s="229"/>
      <c r="AG143" s="229"/>
      <c r="AH143" s="229"/>
      <c r="AI143" s="229"/>
      <c r="AJ143" s="229"/>
      <c r="AK143" s="229"/>
      <c r="AL143" s="229"/>
      <c r="AM143" s="229"/>
      <c r="AN143" s="229"/>
      <c r="AO143" s="229"/>
      <c r="AP143" s="229"/>
      <c r="AQ143" s="229"/>
      <c r="AR143" s="229"/>
      <c r="AS143" s="229"/>
      <c r="AT143" s="229"/>
    </row>
    <row r="144" spans="8:58" s="229" customFormat="1" ht="18" customHeight="1" thickBot="1" x14ac:dyDescent="0.25">
      <c r="I144" s="230"/>
      <c r="J144" s="551" t="s">
        <v>129</v>
      </c>
      <c r="K144" s="232">
        <f>IFERROR(K143/(K$118+K$139),)</f>
        <v>0</v>
      </c>
      <c r="L144" s="233"/>
      <c r="M144" s="234"/>
      <c r="N144" s="235">
        <f t="shared" ref="N144:AC144" si="84">IFERROR(N143/(N$118+N$139),)</f>
        <v>0</v>
      </c>
      <c r="O144" s="235">
        <f t="shared" si="84"/>
        <v>0</v>
      </c>
      <c r="P144" s="235">
        <f t="shared" si="84"/>
        <v>0</v>
      </c>
      <c r="Q144" s="235">
        <f t="shared" si="84"/>
        <v>0</v>
      </c>
      <c r="R144" s="235">
        <f t="shared" si="84"/>
        <v>0</v>
      </c>
      <c r="S144" s="235">
        <f t="shared" si="84"/>
        <v>0</v>
      </c>
      <c r="T144" s="235">
        <f t="shared" si="84"/>
        <v>0</v>
      </c>
      <c r="U144" s="235">
        <f t="shared" si="84"/>
        <v>0</v>
      </c>
      <c r="V144" s="235">
        <f t="shared" si="84"/>
        <v>0</v>
      </c>
      <c r="W144" s="235">
        <f t="shared" si="84"/>
        <v>0</v>
      </c>
      <c r="X144" s="235">
        <f t="shared" si="84"/>
        <v>0</v>
      </c>
      <c r="Y144" s="235">
        <f t="shared" si="84"/>
        <v>0</v>
      </c>
      <c r="Z144" s="235">
        <f t="shared" si="84"/>
        <v>0</v>
      </c>
      <c r="AA144" s="235">
        <f t="shared" si="84"/>
        <v>0</v>
      </c>
      <c r="AB144" s="235">
        <f t="shared" si="84"/>
        <v>0</v>
      </c>
      <c r="AC144" s="235">
        <f t="shared" si="84"/>
        <v>0</v>
      </c>
    </row>
    <row r="145" spans="8:58" s="229" customFormat="1" ht="18" customHeight="1" outlineLevel="1" thickTop="1" x14ac:dyDescent="0.2">
      <c r="I145" s="230"/>
      <c r="J145" s="230"/>
      <c r="K145" s="236"/>
      <c r="L145" s="237"/>
      <c r="M145" s="230"/>
      <c r="N145" s="230"/>
      <c r="O145" s="230"/>
      <c r="P145" s="230"/>
      <c r="Q145" s="230"/>
      <c r="R145" s="230"/>
      <c r="S145" s="230"/>
      <c r="T145" s="230"/>
      <c r="U145" s="230"/>
      <c r="V145" s="230"/>
      <c r="W145" s="230"/>
      <c r="X145" s="230"/>
      <c r="Y145" s="230"/>
      <c r="Z145" s="230"/>
      <c r="AA145" s="230"/>
      <c r="AB145" s="230"/>
      <c r="AC145" s="230"/>
      <c r="AD145" s="230"/>
      <c r="AE145" s="1"/>
      <c r="AF145" s="1"/>
      <c r="AG145" s="1"/>
      <c r="AH145" s="1"/>
      <c r="AI145" s="1"/>
      <c r="AJ145" s="1"/>
      <c r="AK145" s="1"/>
      <c r="AL145" s="1"/>
      <c r="AM145" s="1"/>
      <c r="AN145" s="1"/>
      <c r="AO145" s="1"/>
      <c r="AP145" s="1"/>
      <c r="AQ145" s="1"/>
      <c r="AR145" s="1"/>
      <c r="AS145" s="1"/>
      <c r="AT145" s="1"/>
    </row>
    <row r="146" spans="8:58" ht="18" outlineLevel="1" x14ac:dyDescent="0.2">
      <c r="I146" s="104" t="s">
        <v>130</v>
      </c>
      <c r="J146" s="105" t="s">
        <v>131</v>
      </c>
      <c r="K146" s="927"/>
      <c r="L146" s="928"/>
      <c r="M146" s="106"/>
      <c r="N146" s="107"/>
      <c r="O146" s="107"/>
      <c r="P146" s="107"/>
      <c r="Q146" s="107"/>
      <c r="R146" s="107"/>
      <c r="S146" s="107"/>
      <c r="T146" s="107"/>
      <c r="U146" s="107"/>
      <c r="V146" s="107"/>
      <c r="W146" s="107"/>
      <c r="X146" s="107"/>
      <c r="Y146" s="107"/>
      <c r="Z146" s="107"/>
      <c r="AA146" s="107"/>
      <c r="AB146" s="107"/>
      <c r="AC146" s="107"/>
      <c r="AD146" s="1"/>
      <c r="AE146" s="1"/>
    </row>
    <row r="147" spans="8:58" ht="14.25" outlineLevel="1" x14ac:dyDescent="0.2">
      <c r="I147" s="199"/>
      <c r="J147" s="240" t="s">
        <v>132</v>
      </c>
      <c r="K147" s="241"/>
      <c r="L147" s="242"/>
      <c r="AD147" s="1"/>
      <c r="AE147" s="1"/>
    </row>
    <row r="148" spans="8:58" s="4" customFormat="1" ht="15.75" outlineLevel="1" x14ac:dyDescent="0.25">
      <c r="H148" s="1"/>
      <c r="I148" s="202"/>
      <c r="J148" s="97" t="s">
        <v>352</v>
      </c>
      <c r="K148" s="206">
        <f>SUM(N148:AC148)</f>
        <v>0</v>
      </c>
      <c r="L148" s="207">
        <f t="shared" ref="L148:L153" si="85">IFERROR(K148/$K$118,)</f>
        <v>0</v>
      </c>
      <c r="N148" s="1028"/>
      <c r="O148" s="1029"/>
      <c r="P148" s="1029"/>
      <c r="Q148" s="1029"/>
      <c r="R148" s="1029"/>
      <c r="S148" s="1029"/>
      <c r="T148" s="1029"/>
      <c r="U148" s="1029"/>
      <c r="V148" s="1029"/>
      <c r="W148" s="1029"/>
      <c r="X148" s="1030"/>
      <c r="Y148" s="1030"/>
      <c r="Z148" s="1030"/>
      <c r="AA148" s="1030"/>
      <c r="AB148" s="1030"/>
      <c r="AC148" s="103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row>
    <row r="149" spans="8:58" s="4" customFormat="1" ht="15.75" outlineLevel="1" x14ac:dyDescent="0.25">
      <c r="H149" s="1"/>
      <c r="I149" s="202"/>
      <c r="J149" s="97" t="s">
        <v>133</v>
      </c>
      <c r="K149" s="206">
        <f>SUM(N149:AC149)</f>
        <v>0</v>
      </c>
      <c r="L149" s="207">
        <f t="shared" si="85"/>
        <v>0</v>
      </c>
      <c r="N149" s="1028"/>
      <c r="O149" s="1029"/>
      <c r="P149" s="1029"/>
      <c r="Q149" s="1029"/>
      <c r="R149" s="1029"/>
      <c r="S149" s="1029"/>
      <c r="T149" s="1029"/>
      <c r="U149" s="1029"/>
      <c r="V149" s="1029"/>
      <c r="W149" s="1029"/>
      <c r="X149" s="1030"/>
      <c r="Y149" s="1030"/>
      <c r="Z149" s="1030"/>
      <c r="AA149" s="1030"/>
      <c r="AB149" s="1030"/>
      <c r="AC149" s="103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row>
    <row r="150" spans="8:58" s="4" customFormat="1" ht="15.75" outlineLevel="1" x14ac:dyDescent="0.25">
      <c r="H150" s="1"/>
      <c r="I150" s="202"/>
      <c r="J150" s="97" t="s">
        <v>134</v>
      </c>
      <c r="K150" s="206">
        <f>SUM(N150:AC150)</f>
        <v>0</v>
      </c>
      <c r="L150" s="207">
        <f t="shared" si="85"/>
        <v>0</v>
      </c>
      <c r="N150" s="1028"/>
      <c r="O150" s="1029"/>
      <c r="P150" s="1029"/>
      <c r="Q150" s="1029"/>
      <c r="R150" s="1029"/>
      <c r="S150" s="1029"/>
      <c r="T150" s="1029"/>
      <c r="U150" s="1029"/>
      <c r="V150" s="1029"/>
      <c r="W150" s="1029"/>
      <c r="X150" s="1030"/>
      <c r="Y150" s="1030"/>
      <c r="Z150" s="1030"/>
      <c r="AA150" s="1030"/>
      <c r="AB150" s="1030"/>
      <c r="AC150" s="103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row>
    <row r="151" spans="8:58" s="4" customFormat="1" outlineLevel="1" x14ac:dyDescent="0.3">
      <c r="H151" s="1"/>
      <c r="I151" s="202"/>
      <c r="J151" s="243" t="s">
        <v>135</v>
      </c>
      <c r="K151" s="206">
        <f>SUM(N151:AC151)</f>
        <v>0</v>
      </c>
      <c r="L151" s="207">
        <f t="shared" si="85"/>
        <v>0</v>
      </c>
      <c r="N151" s="1028"/>
      <c r="O151" s="1028"/>
      <c r="P151" s="1028"/>
      <c r="Q151" s="1028"/>
      <c r="R151" s="1028"/>
      <c r="S151" s="1029"/>
      <c r="T151" s="1029"/>
      <c r="U151" s="1029"/>
      <c r="V151" s="1029"/>
      <c r="W151" s="1029"/>
      <c r="X151" s="1030"/>
      <c r="Y151" s="1030"/>
      <c r="Z151" s="1030"/>
      <c r="AA151" s="1030"/>
      <c r="AB151" s="1030"/>
      <c r="AC151" s="103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row>
    <row r="152" spans="8:58" s="4" customFormat="1" ht="19.149999999999999" customHeight="1" outlineLevel="1" x14ac:dyDescent="0.25">
      <c r="H152" s="1"/>
      <c r="I152" s="202"/>
      <c r="J152" s="244" t="s">
        <v>136</v>
      </c>
      <c r="K152" s="206">
        <f>SUM(N152:AC152)</f>
        <v>0</v>
      </c>
      <c r="L152" s="207">
        <f t="shared" si="85"/>
        <v>0</v>
      </c>
      <c r="N152" s="1028"/>
      <c r="O152" s="1029"/>
      <c r="P152" s="1029"/>
      <c r="Q152" s="1029"/>
      <c r="R152" s="1029"/>
      <c r="S152" s="1029"/>
      <c r="T152" s="1029"/>
      <c r="U152" s="1029"/>
      <c r="V152" s="1029"/>
      <c r="W152" s="1029"/>
      <c r="X152" s="1030"/>
      <c r="Y152" s="1030"/>
      <c r="Z152" s="1030"/>
      <c r="AA152" s="1030"/>
      <c r="AB152" s="1030"/>
      <c r="AC152" s="103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row>
    <row r="153" spans="8:58" s="4" customFormat="1" ht="15.75" outlineLevel="1" x14ac:dyDescent="0.25">
      <c r="H153" s="1"/>
      <c r="I153" s="202">
        <f>INDEX($J$118:$AC$171,MATCH($J153,$J$118:$J$171,0),MATCH($I$118,$J$118:$AC$118,0))</f>
        <v>0</v>
      </c>
      <c r="J153" s="210" t="s">
        <v>137</v>
      </c>
      <c r="K153" s="814">
        <f>K133+SUM(K148:K152)</f>
        <v>0</v>
      </c>
      <c r="L153" s="220">
        <f t="shared" si="85"/>
        <v>0</v>
      </c>
      <c r="N153" s="1032">
        <f>N133+SUM(N148:N152)</f>
        <v>0</v>
      </c>
      <c r="O153" s="1033">
        <f t="shared" ref="O153:AC153" si="86">O133+SUM(O148:O152)</f>
        <v>0</v>
      </c>
      <c r="P153" s="1033">
        <f t="shared" si="86"/>
        <v>0</v>
      </c>
      <c r="Q153" s="1033">
        <f t="shared" si="86"/>
        <v>0</v>
      </c>
      <c r="R153" s="1033">
        <f t="shared" si="86"/>
        <v>0</v>
      </c>
      <c r="S153" s="1033">
        <f t="shared" si="86"/>
        <v>0</v>
      </c>
      <c r="T153" s="1033">
        <f t="shared" si="86"/>
        <v>0</v>
      </c>
      <c r="U153" s="1033">
        <f t="shared" si="86"/>
        <v>0</v>
      </c>
      <c r="V153" s="1033">
        <f t="shared" si="86"/>
        <v>0</v>
      </c>
      <c r="W153" s="1033">
        <f t="shared" si="86"/>
        <v>0</v>
      </c>
      <c r="X153" s="1033">
        <f t="shared" si="86"/>
        <v>0</v>
      </c>
      <c r="Y153" s="1033">
        <f t="shared" si="86"/>
        <v>0</v>
      </c>
      <c r="Z153" s="1033">
        <f t="shared" si="86"/>
        <v>0</v>
      </c>
      <c r="AA153" s="1033">
        <f t="shared" si="86"/>
        <v>0</v>
      </c>
      <c r="AB153" s="1033">
        <f t="shared" si="86"/>
        <v>0</v>
      </c>
      <c r="AC153" s="1034">
        <f t="shared" si="86"/>
        <v>0</v>
      </c>
      <c r="AD153" s="1"/>
      <c r="AE153" s="212"/>
      <c r="AF153" s="212"/>
      <c r="AG153" s="212"/>
      <c r="AH153" s="212"/>
      <c r="AI153" s="212"/>
      <c r="AJ153" s="212"/>
      <c r="AK153" s="212"/>
      <c r="AL153" s="212"/>
      <c r="AM153" s="212"/>
      <c r="AN153" s="212"/>
      <c r="AO153" s="212"/>
      <c r="AP153" s="212"/>
      <c r="AQ153" s="212"/>
      <c r="AR153" s="212"/>
      <c r="AS153" s="212"/>
      <c r="AT153" s="212"/>
      <c r="AU153" s="1"/>
      <c r="AV153" s="1"/>
      <c r="AW153" s="1"/>
      <c r="AX153" s="1"/>
      <c r="AY153" s="1"/>
      <c r="AZ153" s="1"/>
      <c r="BA153" s="1"/>
      <c r="BB153" s="1"/>
      <c r="BC153" s="1"/>
      <c r="BD153" s="1"/>
      <c r="BE153" s="1"/>
      <c r="BF153" s="1"/>
    </row>
    <row r="154" spans="8:58" s="217" customFormat="1" ht="13.5" customHeight="1" outlineLevel="1" x14ac:dyDescent="0.2">
      <c r="H154" s="212"/>
      <c r="I154" s="213"/>
      <c r="J154" s="214" t="s">
        <v>138</v>
      </c>
      <c r="K154" s="215">
        <f>IFERROR(K153/K$118,)</f>
        <v>0</v>
      </c>
      <c r="L154" s="216"/>
      <c r="N154" s="245">
        <f t="shared" ref="N154:AC154" si="87">IFERROR(N153/N$118,)</f>
        <v>0</v>
      </c>
      <c r="O154" s="218">
        <f t="shared" si="87"/>
        <v>0</v>
      </c>
      <c r="P154" s="218">
        <f t="shared" si="87"/>
        <v>0</v>
      </c>
      <c r="Q154" s="218">
        <f t="shared" si="87"/>
        <v>0</v>
      </c>
      <c r="R154" s="218">
        <f t="shared" si="87"/>
        <v>0</v>
      </c>
      <c r="S154" s="218">
        <f t="shared" si="87"/>
        <v>0</v>
      </c>
      <c r="T154" s="218">
        <f t="shared" si="87"/>
        <v>0</v>
      </c>
      <c r="U154" s="218">
        <f t="shared" si="87"/>
        <v>0</v>
      </c>
      <c r="V154" s="218">
        <f t="shared" si="87"/>
        <v>0</v>
      </c>
      <c r="W154" s="218">
        <f t="shared" si="87"/>
        <v>0</v>
      </c>
      <c r="X154" s="218">
        <f t="shared" si="87"/>
        <v>0</v>
      </c>
      <c r="Y154" s="218">
        <f t="shared" si="87"/>
        <v>0</v>
      </c>
      <c r="Z154" s="218">
        <f t="shared" si="87"/>
        <v>0</v>
      </c>
      <c r="AA154" s="218">
        <f t="shared" si="87"/>
        <v>0</v>
      </c>
      <c r="AB154" s="218">
        <f t="shared" si="87"/>
        <v>0</v>
      </c>
      <c r="AC154" s="246">
        <f t="shared" si="87"/>
        <v>0</v>
      </c>
      <c r="AD154" s="212"/>
      <c r="AE154" s="212"/>
      <c r="AF154" s="212"/>
      <c r="AG154" s="212"/>
      <c r="AH154" s="212"/>
      <c r="AI154" s="212"/>
      <c r="AJ154" s="212"/>
      <c r="AK154" s="212"/>
      <c r="AL154" s="212"/>
      <c r="AM154" s="212"/>
      <c r="AN154" s="212"/>
      <c r="AO154" s="212"/>
      <c r="AP154" s="212"/>
      <c r="AQ154" s="212"/>
      <c r="AR154" s="212"/>
      <c r="AS154" s="212"/>
      <c r="AT154" s="212"/>
      <c r="AU154" s="212"/>
      <c r="AV154" s="212"/>
      <c r="AW154" s="212"/>
      <c r="AX154" s="212"/>
      <c r="AY154" s="212"/>
      <c r="AZ154" s="212"/>
      <c r="BA154" s="212"/>
      <c r="BB154" s="212"/>
      <c r="BC154" s="212"/>
      <c r="BD154" s="212"/>
      <c r="BE154" s="212"/>
      <c r="BF154" s="212"/>
    </row>
    <row r="155" spans="8:58" s="217" customFormat="1" ht="13.5" customHeight="1" outlineLevel="1" x14ac:dyDescent="0.2">
      <c r="H155" s="212"/>
      <c r="I155" s="213"/>
      <c r="J155" s="240" t="s">
        <v>139</v>
      </c>
      <c r="K155" s="215"/>
      <c r="L155" s="216"/>
      <c r="N155" s="247"/>
      <c r="O155" s="248"/>
      <c r="P155" s="248"/>
      <c r="Q155" s="248"/>
      <c r="R155" s="248"/>
      <c r="S155" s="248"/>
      <c r="T155" s="248"/>
      <c r="U155" s="248"/>
      <c r="V155" s="248"/>
      <c r="W155" s="248"/>
      <c r="X155" s="248"/>
      <c r="Y155" s="248"/>
      <c r="Z155" s="248"/>
      <c r="AA155" s="248"/>
      <c r="AB155" s="248"/>
      <c r="AC155" s="249"/>
      <c r="AD155" s="212"/>
      <c r="AE155" s="1"/>
      <c r="AF155" s="1"/>
      <c r="AG155" s="1"/>
      <c r="AH155" s="1"/>
      <c r="AI155" s="1"/>
      <c r="AJ155" s="1"/>
      <c r="AK155" s="1"/>
      <c r="AL155" s="1"/>
      <c r="AM155" s="1"/>
      <c r="AN155" s="1"/>
      <c r="AO155" s="1"/>
      <c r="AP155" s="1"/>
      <c r="AQ155" s="1"/>
      <c r="AR155" s="1"/>
      <c r="AS155" s="1"/>
      <c r="AT155" s="1"/>
      <c r="AU155" s="212"/>
      <c r="AV155" s="212"/>
      <c r="AW155" s="212"/>
      <c r="AX155" s="212"/>
      <c r="AY155" s="212"/>
      <c r="AZ155" s="212"/>
      <c r="BA155" s="212"/>
      <c r="BB155" s="212"/>
      <c r="BC155" s="212"/>
      <c r="BD155" s="212"/>
      <c r="BE155" s="212"/>
      <c r="BF155" s="212"/>
    </row>
    <row r="156" spans="8:58" s="4" customFormat="1" ht="15.75" outlineLevel="1" x14ac:dyDescent="0.25">
      <c r="H156" s="1"/>
      <c r="I156" s="202"/>
      <c r="J156" s="97" t="s">
        <v>140</v>
      </c>
      <c r="K156" s="206">
        <f>SUM(N156:AC156)</f>
        <v>0</v>
      </c>
      <c r="L156" s="207">
        <f>IFERROR(K156/$K$118,)</f>
        <v>0</v>
      </c>
      <c r="N156" s="1028"/>
      <c r="O156" s="1029"/>
      <c r="P156" s="1029"/>
      <c r="Q156" s="1029"/>
      <c r="R156" s="1029"/>
      <c r="S156" s="1029"/>
      <c r="T156" s="1029"/>
      <c r="U156" s="1029"/>
      <c r="V156" s="1029"/>
      <c r="W156" s="1029"/>
      <c r="X156" s="1030"/>
      <c r="Y156" s="1030"/>
      <c r="Z156" s="1030"/>
      <c r="AA156" s="1030"/>
      <c r="AB156" s="1030"/>
      <c r="AC156" s="103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row>
    <row r="157" spans="8:58" s="4" customFormat="1" ht="15.75" outlineLevel="1" x14ac:dyDescent="0.25">
      <c r="H157" s="1"/>
      <c r="I157" s="202"/>
      <c r="J157" s="97" t="s">
        <v>141</v>
      </c>
      <c r="K157" s="206">
        <f>SUM(N157:AC157)</f>
        <v>0</v>
      </c>
      <c r="L157" s="207">
        <f t="shared" ref="L157:L162" si="88">IFERROR(K157/$K$118,)</f>
        <v>0</v>
      </c>
      <c r="N157" s="1028"/>
      <c r="O157" s="1029"/>
      <c r="P157" s="1029"/>
      <c r="Q157" s="1029"/>
      <c r="R157" s="1029"/>
      <c r="S157" s="1029"/>
      <c r="T157" s="1029"/>
      <c r="U157" s="1029"/>
      <c r="V157" s="1029"/>
      <c r="W157" s="1029"/>
      <c r="X157" s="1030"/>
      <c r="Y157" s="1030"/>
      <c r="Z157" s="1030"/>
      <c r="AA157" s="1030"/>
      <c r="AB157" s="1030"/>
      <c r="AC157" s="103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row>
    <row r="158" spans="8:58" s="4" customFormat="1" ht="15.75" outlineLevel="1" x14ac:dyDescent="0.25">
      <c r="H158" s="1"/>
      <c r="I158" s="202"/>
      <c r="J158" s="244" t="s">
        <v>136</v>
      </c>
      <c r="K158" s="206">
        <f>SUM(N158:AC158)</f>
        <v>0</v>
      </c>
      <c r="L158" s="207">
        <f t="shared" si="88"/>
        <v>0</v>
      </c>
      <c r="N158" s="1028"/>
      <c r="O158" s="1029"/>
      <c r="P158" s="1029"/>
      <c r="Q158" s="1029"/>
      <c r="R158" s="1029"/>
      <c r="S158" s="1029"/>
      <c r="T158" s="1029"/>
      <c r="U158" s="1029"/>
      <c r="V158" s="1029"/>
      <c r="W158" s="1029"/>
      <c r="X158" s="1030"/>
      <c r="Y158" s="1030"/>
      <c r="Z158" s="1030"/>
      <c r="AA158" s="1030"/>
      <c r="AB158" s="1030"/>
      <c r="AC158" s="103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row>
    <row r="159" spans="8:58" ht="15.75" outlineLevel="1" x14ac:dyDescent="0.25">
      <c r="I159" s="202">
        <f>INDEX($J$118:$AC$171,MATCH($J159,$J$118:$J$171,0),MATCH($I$118,$J$118:$AC$118,0))</f>
        <v>0</v>
      </c>
      <c r="J159" s="222" t="s">
        <v>142</v>
      </c>
      <c r="K159" s="817">
        <f>K153+SUM(K156:K158)</f>
        <v>0</v>
      </c>
      <c r="L159" s="929">
        <f t="shared" si="88"/>
        <v>0</v>
      </c>
      <c r="M159" s="750"/>
      <c r="N159" s="1035">
        <f>N153+SUM(N156:N158)</f>
        <v>0</v>
      </c>
      <c r="O159" s="1036">
        <f t="shared" ref="O159:AC159" si="89">O153+SUM(O156:O158)</f>
        <v>0</v>
      </c>
      <c r="P159" s="1036">
        <f t="shared" si="89"/>
        <v>0</v>
      </c>
      <c r="Q159" s="1036">
        <f t="shared" si="89"/>
        <v>0</v>
      </c>
      <c r="R159" s="1036">
        <f t="shared" si="89"/>
        <v>0</v>
      </c>
      <c r="S159" s="1036">
        <f t="shared" si="89"/>
        <v>0</v>
      </c>
      <c r="T159" s="1036">
        <f t="shared" si="89"/>
        <v>0</v>
      </c>
      <c r="U159" s="1036">
        <f t="shared" si="89"/>
        <v>0</v>
      </c>
      <c r="V159" s="1036">
        <f t="shared" si="89"/>
        <v>0</v>
      </c>
      <c r="W159" s="1036">
        <f t="shared" si="89"/>
        <v>0</v>
      </c>
      <c r="X159" s="1036">
        <f t="shared" si="89"/>
        <v>0</v>
      </c>
      <c r="Y159" s="1036">
        <f t="shared" si="89"/>
        <v>0</v>
      </c>
      <c r="Z159" s="1036">
        <f t="shared" si="89"/>
        <v>0</v>
      </c>
      <c r="AA159" s="1036">
        <f t="shared" si="89"/>
        <v>0</v>
      </c>
      <c r="AB159" s="1036">
        <f t="shared" si="89"/>
        <v>0</v>
      </c>
      <c r="AC159" s="1037">
        <f t="shared" si="89"/>
        <v>0</v>
      </c>
      <c r="AD159" s="1"/>
      <c r="AE159" s="1"/>
    </row>
    <row r="160" spans="8:58" ht="15.75" outlineLevel="1" x14ac:dyDescent="0.25">
      <c r="I160" s="202">
        <f>INDEX($J$118:$AC$171,MATCH($J160,$J$118:$J$171,0),MATCH($I$118,$J$118:$AC$118,0))</f>
        <v>0</v>
      </c>
      <c r="J160" s="224" t="s">
        <v>127</v>
      </c>
      <c r="K160" s="225">
        <f>K142</f>
        <v>0</v>
      </c>
      <c r="L160" s="226">
        <f t="shared" si="88"/>
        <v>0</v>
      </c>
      <c r="M160" s="4"/>
      <c r="N160" s="1038">
        <f>N142</f>
        <v>0</v>
      </c>
      <c r="O160" s="806">
        <f t="shared" ref="O160:AC160" si="90">O142</f>
        <v>0</v>
      </c>
      <c r="P160" s="806">
        <f t="shared" si="90"/>
        <v>0</v>
      </c>
      <c r="Q160" s="806">
        <f t="shared" si="90"/>
        <v>0</v>
      </c>
      <c r="R160" s="806">
        <f t="shared" si="90"/>
        <v>0</v>
      </c>
      <c r="S160" s="806">
        <f t="shared" si="90"/>
        <v>0</v>
      </c>
      <c r="T160" s="806">
        <f t="shared" si="90"/>
        <v>0</v>
      </c>
      <c r="U160" s="806">
        <f t="shared" si="90"/>
        <v>0</v>
      </c>
      <c r="V160" s="806">
        <f t="shared" si="90"/>
        <v>0</v>
      </c>
      <c r="W160" s="806">
        <f t="shared" si="90"/>
        <v>0</v>
      </c>
      <c r="X160" s="806">
        <f t="shared" si="90"/>
        <v>0</v>
      </c>
      <c r="Y160" s="806">
        <f t="shared" si="90"/>
        <v>0</v>
      </c>
      <c r="Z160" s="806">
        <f t="shared" si="90"/>
        <v>0</v>
      </c>
      <c r="AA160" s="806">
        <f t="shared" si="90"/>
        <v>0</v>
      </c>
      <c r="AB160" s="806">
        <f t="shared" si="90"/>
        <v>0</v>
      </c>
      <c r="AC160" s="1039">
        <f t="shared" si="90"/>
        <v>0</v>
      </c>
      <c r="AD160" s="1"/>
      <c r="AE160" s="1"/>
    </row>
    <row r="161" spans="8:58" ht="15.75" outlineLevel="1" x14ac:dyDescent="0.25">
      <c r="I161" s="202">
        <f>INDEX($J$118:$AC$171,MATCH($J161,$J$118:$J$171,0),MATCH($I$118,$J$118:$AC$118,0))</f>
        <v>0</v>
      </c>
      <c r="J161" s="31" t="s">
        <v>143</v>
      </c>
      <c r="K161" s="250">
        <f>SUM(N161:AC161)</f>
        <v>0</v>
      </c>
      <c r="L161" s="211">
        <f t="shared" si="88"/>
        <v>0</v>
      </c>
      <c r="N161" s="251"/>
      <c r="O161" s="252"/>
      <c r="P161" s="252"/>
      <c r="Q161" s="252"/>
      <c r="R161" s="252"/>
      <c r="S161" s="252"/>
      <c r="T161" s="252"/>
      <c r="U161" s="252"/>
      <c r="V161" s="252"/>
      <c r="W161" s="252"/>
      <c r="X161" s="252"/>
      <c r="Y161" s="252"/>
      <c r="Z161" s="252"/>
      <c r="AA161" s="252"/>
      <c r="AB161" s="252"/>
      <c r="AC161" s="253"/>
      <c r="AD161" s="1"/>
      <c r="AE161" s="1"/>
    </row>
    <row r="162" spans="8:58" ht="21.75" customHeight="1" outlineLevel="1" x14ac:dyDescent="0.25">
      <c r="I162" s="202">
        <f>INDEX($J$118:$AC$171,MATCH($J162,$J$118:$J$171,0),MATCH($I$118,$J$118:$AC$118,0))</f>
        <v>0</v>
      </c>
      <c r="J162" s="227" t="s">
        <v>144</v>
      </c>
      <c r="K162" s="820">
        <f>K143+SUM(K148:K152,K156:K158,K161)</f>
        <v>0</v>
      </c>
      <c r="L162" s="228">
        <f t="shared" si="88"/>
        <v>0</v>
      </c>
      <c r="N162" s="930">
        <f>N143+SUM(N148:N152,N156:N158,N161)</f>
        <v>0</v>
      </c>
      <c r="O162" s="802">
        <f t="shared" ref="O162:AC162" si="91">O143+SUM(O148:O152,O156:O158,O161)</f>
        <v>0</v>
      </c>
      <c r="P162" s="802">
        <f t="shared" si="91"/>
        <v>0</v>
      </c>
      <c r="Q162" s="802">
        <f t="shared" si="91"/>
        <v>0</v>
      </c>
      <c r="R162" s="802">
        <f t="shared" si="91"/>
        <v>0</v>
      </c>
      <c r="S162" s="802">
        <f t="shared" si="91"/>
        <v>0</v>
      </c>
      <c r="T162" s="802">
        <f t="shared" si="91"/>
        <v>0</v>
      </c>
      <c r="U162" s="802">
        <f t="shared" si="91"/>
        <v>0</v>
      </c>
      <c r="V162" s="802">
        <f t="shared" si="91"/>
        <v>0</v>
      </c>
      <c r="W162" s="802">
        <f t="shared" si="91"/>
        <v>0</v>
      </c>
      <c r="X162" s="802">
        <f t="shared" si="91"/>
        <v>0</v>
      </c>
      <c r="Y162" s="802">
        <f t="shared" si="91"/>
        <v>0</v>
      </c>
      <c r="Z162" s="802">
        <f t="shared" si="91"/>
        <v>0</v>
      </c>
      <c r="AA162" s="802">
        <f t="shared" si="91"/>
        <v>0</v>
      </c>
      <c r="AB162" s="802">
        <f t="shared" si="91"/>
        <v>0</v>
      </c>
      <c r="AC162" s="931">
        <f t="shared" si="91"/>
        <v>0</v>
      </c>
      <c r="AD162" s="1"/>
      <c r="AE162" s="229"/>
      <c r="AF162" s="229"/>
      <c r="AG162" s="229"/>
      <c r="AH162" s="229"/>
      <c r="AI162" s="229"/>
      <c r="AJ162" s="229"/>
      <c r="AK162" s="229"/>
      <c r="AL162" s="229"/>
      <c r="AM162" s="229"/>
      <c r="AN162" s="229"/>
      <c r="AO162" s="229"/>
      <c r="AP162" s="229"/>
      <c r="AQ162" s="229"/>
      <c r="AR162" s="229"/>
      <c r="AS162" s="229"/>
      <c r="AT162" s="229"/>
    </row>
    <row r="163" spans="8:58" s="229" customFormat="1" ht="18" customHeight="1" outlineLevel="1" thickBot="1" x14ac:dyDescent="0.25">
      <c r="I163" s="230"/>
      <c r="J163" s="231" t="s">
        <v>129</v>
      </c>
      <c r="K163" s="232">
        <f>IFERROR(K162/(K$118+K$139),)</f>
        <v>0</v>
      </c>
      <c r="L163" s="233"/>
      <c r="M163" s="234"/>
      <c r="N163" s="254">
        <f t="shared" ref="N163:AC163" si="92">IFERROR(N162/(N$118+N$139),)</f>
        <v>0</v>
      </c>
      <c r="O163" s="235">
        <f t="shared" si="92"/>
        <v>0</v>
      </c>
      <c r="P163" s="235">
        <f t="shared" si="92"/>
        <v>0</v>
      </c>
      <c r="Q163" s="235">
        <f t="shared" si="92"/>
        <v>0</v>
      </c>
      <c r="R163" s="235">
        <f t="shared" si="92"/>
        <v>0</v>
      </c>
      <c r="S163" s="235">
        <f t="shared" si="92"/>
        <v>0</v>
      </c>
      <c r="T163" s="235">
        <f t="shared" si="92"/>
        <v>0</v>
      </c>
      <c r="U163" s="235">
        <f t="shared" si="92"/>
        <v>0</v>
      </c>
      <c r="V163" s="235">
        <f t="shared" si="92"/>
        <v>0</v>
      </c>
      <c r="W163" s="235">
        <f t="shared" si="92"/>
        <v>0</v>
      </c>
      <c r="X163" s="235">
        <f t="shared" si="92"/>
        <v>0</v>
      </c>
      <c r="Y163" s="235">
        <f t="shared" si="92"/>
        <v>0</v>
      </c>
      <c r="Z163" s="235">
        <f t="shared" si="92"/>
        <v>0</v>
      </c>
      <c r="AA163" s="235">
        <f t="shared" si="92"/>
        <v>0</v>
      </c>
      <c r="AB163" s="235">
        <f t="shared" si="92"/>
        <v>0</v>
      </c>
      <c r="AC163" s="255">
        <f t="shared" si="92"/>
        <v>0</v>
      </c>
      <c r="AE163" s="1"/>
      <c r="AF163" s="1"/>
      <c r="AG163" s="1"/>
      <c r="AH163" s="1"/>
      <c r="AI163" s="1"/>
      <c r="AJ163" s="1"/>
      <c r="AK163" s="1"/>
      <c r="AL163" s="1"/>
      <c r="AM163" s="1"/>
      <c r="AN163" s="1"/>
      <c r="AO163" s="1"/>
      <c r="AP163" s="1"/>
      <c r="AQ163" s="1"/>
      <c r="AR163" s="1"/>
      <c r="AS163" s="1"/>
      <c r="AT163" s="1"/>
    </row>
    <row r="164" spans="8:58" ht="18" customHeight="1" outlineLevel="1" thickTop="1" x14ac:dyDescent="0.25">
      <c r="I164" s="202">
        <f>INDEX($J$118:$AC$171,MATCH($J164,$J$118:$J$171,0),MATCH($I$118,$J$118:$AC$118,0))</f>
        <v>0</v>
      </c>
      <c r="J164" s="31" t="str">
        <f>"Depreciation"&amp;" @ Useful Life of  "&amp;L94&amp;"yrs"</f>
        <v>Depreciation @ Useful Life of  8yrs</v>
      </c>
      <c r="K164" s="821">
        <f>SUM(N164:AC164)</f>
        <v>0</v>
      </c>
      <c r="L164" s="256">
        <f t="shared" ref="L164:L171" si="93">IFERROR(K164/$K$118,)</f>
        <v>0</v>
      </c>
      <c r="N164" s="932">
        <f>N294</f>
        <v>0</v>
      </c>
      <c r="O164" s="933">
        <f t="shared" ref="O164:AA164" si="94">O294</f>
        <v>0</v>
      </c>
      <c r="P164" s="933">
        <f t="shared" si="94"/>
        <v>0</v>
      </c>
      <c r="Q164" s="933">
        <f t="shared" si="94"/>
        <v>0</v>
      </c>
      <c r="R164" s="933">
        <f t="shared" si="94"/>
        <v>0</v>
      </c>
      <c r="S164" s="933">
        <f t="shared" si="94"/>
        <v>0</v>
      </c>
      <c r="T164" s="933">
        <f t="shared" si="94"/>
        <v>0</v>
      </c>
      <c r="U164" s="933">
        <f t="shared" si="94"/>
        <v>0</v>
      </c>
      <c r="V164" s="933">
        <f t="shared" si="94"/>
        <v>0</v>
      </c>
      <c r="W164" s="933">
        <f t="shared" si="94"/>
        <v>0</v>
      </c>
      <c r="X164" s="933">
        <f t="shared" si="94"/>
        <v>0</v>
      </c>
      <c r="Y164" s="933">
        <f t="shared" si="94"/>
        <v>0</v>
      </c>
      <c r="Z164" s="933">
        <f t="shared" si="94"/>
        <v>0</v>
      </c>
      <c r="AA164" s="933">
        <f t="shared" si="94"/>
        <v>0</v>
      </c>
      <c r="AB164" s="933">
        <f t="shared" ref="AB164:AC164" si="95">AB294</f>
        <v>0</v>
      </c>
      <c r="AC164" s="934">
        <f t="shared" si="95"/>
        <v>0</v>
      </c>
      <c r="AD164" s="1"/>
      <c r="AE164" s="1"/>
    </row>
    <row r="165" spans="8:58" ht="18" customHeight="1" outlineLevel="1" x14ac:dyDescent="0.25">
      <c r="I165" s="202"/>
      <c r="J165" s="549" t="s">
        <v>379</v>
      </c>
      <c r="K165" s="820">
        <f t="shared" ref="K165" si="96">K162+K164</f>
        <v>0</v>
      </c>
      <c r="L165" s="228">
        <f t="shared" si="93"/>
        <v>0</v>
      </c>
      <c r="N165" s="930">
        <f>N162+N164</f>
        <v>0</v>
      </c>
      <c r="O165" s="802">
        <f t="shared" ref="O165:AA165" si="97">O162+O164</f>
        <v>0</v>
      </c>
      <c r="P165" s="802">
        <f t="shared" si="97"/>
        <v>0</v>
      </c>
      <c r="Q165" s="802">
        <f t="shared" si="97"/>
        <v>0</v>
      </c>
      <c r="R165" s="802">
        <f t="shared" si="97"/>
        <v>0</v>
      </c>
      <c r="S165" s="802">
        <f t="shared" si="97"/>
        <v>0</v>
      </c>
      <c r="T165" s="802">
        <f t="shared" si="97"/>
        <v>0</v>
      </c>
      <c r="U165" s="802">
        <f t="shared" si="97"/>
        <v>0</v>
      </c>
      <c r="V165" s="802">
        <f t="shared" si="97"/>
        <v>0</v>
      </c>
      <c r="W165" s="802">
        <f t="shared" si="97"/>
        <v>0</v>
      </c>
      <c r="X165" s="802">
        <f t="shared" si="97"/>
        <v>0</v>
      </c>
      <c r="Y165" s="802">
        <f t="shared" si="97"/>
        <v>0</v>
      </c>
      <c r="Z165" s="802">
        <f t="shared" si="97"/>
        <v>0</v>
      </c>
      <c r="AA165" s="802">
        <f t="shared" si="97"/>
        <v>0</v>
      </c>
      <c r="AB165" s="802">
        <f t="shared" ref="AB165:AC165" si="98">AB162+AB164</f>
        <v>0</v>
      </c>
      <c r="AC165" s="931">
        <f t="shared" si="98"/>
        <v>0</v>
      </c>
      <c r="AD165" s="1"/>
      <c r="AE165" s="1"/>
    </row>
    <row r="166" spans="8:58" ht="18" customHeight="1" outlineLevel="1" thickBot="1" x14ac:dyDescent="0.25">
      <c r="I166" s="202"/>
      <c r="J166" s="551" t="s">
        <v>380</v>
      </c>
      <c r="K166" s="232">
        <f t="shared" ref="K166" si="99">IFERROR(K165/(K$118+K$139),)</f>
        <v>0</v>
      </c>
      <c r="L166" s="233"/>
      <c r="M166" s="234"/>
      <c r="N166" s="935">
        <f>IFERROR(N165/(N$118+N$139),)</f>
        <v>0</v>
      </c>
      <c r="O166" s="936">
        <f t="shared" ref="O166:AA166" si="100">IFERROR(O165/(O$118+O$139),)</f>
        <v>0</v>
      </c>
      <c r="P166" s="936">
        <f t="shared" si="100"/>
        <v>0</v>
      </c>
      <c r="Q166" s="936">
        <f t="shared" si="100"/>
        <v>0</v>
      </c>
      <c r="R166" s="936">
        <f t="shared" si="100"/>
        <v>0</v>
      </c>
      <c r="S166" s="936">
        <f t="shared" si="100"/>
        <v>0</v>
      </c>
      <c r="T166" s="936">
        <f t="shared" si="100"/>
        <v>0</v>
      </c>
      <c r="U166" s="936">
        <f t="shared" si="100"/>
        <v>0</v>
      </c>
      <c r="V166" s="936">
        <f t="shared" si="100"/>
        <v>0</v>
      </c>
      <c r="W166" s="936">
        <f t="shared" si="100"/>
        <v>0</v>
      </c>
      <c r="X166" s="936">
        <f t="shared" si="100"/>
        <v>0</v>
      </c>
      <c r="Y166" s="936">
        <f t="shared" si="100"/>
        <v>0</v>
      </c>
      <c r="Z166" s="936">
        <f t="shared" si="100"/>
        <v>0</v>
      </c>
      <c r="AA166" s="936">
        <f t="shared" si="100"/>
        <v>0</v>
      </c>
      <c r="AB166" s="936">
        <f t="shared" ref="AB166:AC166" si="101">IFERROR(AB165/(AB$118+AB$139),)</f>
        <v>0</v>
      </c>
      <c r="AC166" s="937">
        <f t="shared" si="101"/>
        <v>0</v>
      </c>
      <c r="AD166" s="1"/>
      <c r="AE166" s="1"/>
    </row>
    <row r="167" spans="8:58" ht="18" customHeight="1" outlineLevel="1" thickTop="1" x14ac:dyDescent="0.25">
      <c r="I167" s="202"/>
      <c r="J167" s="31" t="s">
        <v>145</v>
      </c>
      <c r="K167" s="206">
        <f>SUM(N167:AC167)</f>
        <v>0</v>
      </c>
      <c r="L167" s="207">
        <f t="shared" si="93"/>
        <v>0</v>
      </c>
      <c r="N167" s="257">
        <f t="shared" ref="N167:AC167" si="102">-IFERROR(IF($P$107="Yes",N111*N100*N78/365,0),0)</f>
        <v>0</v>
      </c>
      <c r="O167" s="258">
        <f t="shared" si="102"/>
        <v>0</v>
      </c>
      <c r="P167" s="258">
        <f t="shared" si="102"/>
        <v>0</v>
      </c>
      <c r="Q167" s="258">
        <f t="shared" si="102"/>
        <v>0</v>
      </c>
      <c r="R167" s="258">
        <f t="shared" si="102"/>
        <v>0</v>
      </c>
      <c r="S167" s="258">
        <f t="shared" si="102"/>
        <v>0</v>
      </c>
      <c r="T167" s="258">
        <f t="shared" si="102"/>
        <v>0</v>
      </c>
      <c r="U167" s="258">
        <f t="shared" si="102"/>
        <v>0</v>
      </c>
      <c r="V167" s="258">
        <f t="shared" si="102"/>
        <v>0</v>
      </c>
      <c r="W167" s="258">
        <f t="shared" si="102"/>
        <v>0</v>
      </c>
      <c r="X167" s="258">
        <f t="shared" si="102"/>
        <v>0</v>
      </c>
      <c r="Y167" s="258">
        <f t="shared" si="102"/>
        <v>0</v>
      </c>
      <c r="Z167" s="258">
        <f t="shared" si="102"/>
        <v>0</v>
      </c>
      <c r="AA167" s="258">
        <f t="shared" si="102"/>
        <v>0</v>
      </c>
      <c r="AB167" s="258">
        <f t="shared" si="102"/>
        <v>0</v>
      </c>
      <c r="AC167" s="259">
        <f t="shared" si="102"/>
        <v>0</v>
      </c>
      <c r="AD167" s="1"/>
      <c r="AE167" s="1"/>
    </row>
    <row r="168" spans="8:58" ht="18" customHeight="1" outlineLevel="1" x14ac:dyDescent="0.25">
      <c r="I168" s="202"/>
      <c r="J168" s="31" t="s">
        <v>146</v>
      </c>
      <c r="K168" s="208">
        <f>SUM(N168:AC168)</f>
        <v>0</v>
      </c>
      <c r="L168" s="209">
        <f t="shared" si="93"/>
        <v>0</v>
      </c>
      <c r="N168" s="260">
        <f>-N304</f>
        <v>0</v>
      </c>
      <c r="O168" s="261">
        <f t="shared" ref="O168:AC168" si="103">-O304</f>
        <v>0</v>
      </c>
      <c r="P168" s="261">
        <f t="shared" si="103"/>
        <v>0</v>
      </c>
      <c r="Q168" s="261">
        <f t="shared" si="103"/>
        <v>0</v>
      </c>
      <c r="R168" s="261">
        <f t="shared" si="103"/>
        <v>0</v>
      </c>
      <c r="S168" s="261">
        <f t="shared" si="103"/>
        <v>0</v>
      </c>
      <c r="T168" s="261">
        <f t="shared" si="103"/>
        <v>0</v>
      </c>
      <c r="U168" s="261">
        <f t="shared" si="103"/>
        <v>0</v>
      </c>
      <c r="V168" s="261">
        <f t="shared" si="103"/>
        <v>0</v>
      </c>
      <c r="W168" s="261">
        <f t="shared" si="103"/>
        <v>0</v>
      </c>
      <c r="X168" s="261">
        <f t="shared" si="103"/>
        <v>0</v>
      </c>
      <c r="Y168" s="261">
        <f t="shared" si="103"/>
        <v>0</v>
      </c>
      <c r="Z168" s="261">
        <f t="shared" si="103"/>
        <v>0</v>
      </c>
      <c r="AA168" s="261">
        <f t="shared" si="103"/>
        <v>0</v>
      </c>
      <c r="AB168" s="261">
        <f t="shared" si="103"/>
        <v>0</v>
      </c>
      <c r="AC168" s="262">
        <f t="shared" si="103"/>
        <v>0</v>
      </c>
      <c r="AD168" s="1"/>
      <c r="AE168" s="1"/>
    </row>
    <row r="169" spans="8:58" ht="15.75" outlineLevel="1" x14ac:dyDescent="0.25">
      <c r="I169" s="202">
        <f>INDEX($J$118:$AC$171,MATCH($J169,$J$118:$J$171,0),MATCH($I$118,$J$118:$AC$118,0))</f>
        <v>0</v>
      </c>
      <c r="J169" s="547" t="s">
        <v>147</v>
      </c>
      <c r="K169" s="820">
        <f>K162+SUM(K167:K168)</f>
        <v>0</v>
      </c>
      <c r="L169" s="938">
        <f t="shared" si="93"/>
        <v>0</v>
      </c>
      <c r="M169" s="750"/>
      <c r="N169" s="930">
        <f>N165+SUM(N167:N168)</f>
        <v>0</v>
      </c>
      <c r="O169" s="802">
        <f t="shared" ref="O169:AC169" si="104">O165+SUM(O167:O168)</f>
        <v>0</v>
      </c>
      <c r="P169" s="802">
        <f t="shared" si="104"/>
        <v>0</v>
      </c>
      <c r="Q169" s="802">
        <f t="shared" si="104"/>
        <v>0</v>
      </c>
      <c r="R169" s="802">
        <f t="shared" si="104"/>
        <v>0</v>
      </c>
      <c r="S169" s="802">
        <f t="shared" si="104"/>
        <v>0</v>
      </c>
      <c r="T169" s="802">
        <f t="shared" si="104"/>
        <v>0</v>
      </c>
      <c r="U169" s="802">
        <f t="shared" si="104"/>
        <v>0</v>
      </c>
      <c r="V169" s="802">
        <f t="shared" si="104"/>
        <v>0</v>
      </c>
      <c r="W169" s="802">
        <f t="shared" si="104"/>
        <v>0</v>
      </c>
      <c r="X169" s="802">
        <f t="shared" si="104"/>
        <v>0</v>
      </c>
      <c r="Y169" s="802">
        <f t="shared" si="104"/>
        <v>0</v>
      </c>
      <c r="Z169" s="802">
        <f t="shared" si="104"/>
        <v>0</v>
      </c>
      <c r="AA169" s="802">
        <f t="shared" si="104"/>
        <v>0</v>
      </c>
      <c r="AB169" s="802">
        <f t="shared" si="104"/>
        <v>0</v>
      </c>
      <c r="AC169" s="931">
        <f t="shared" si="104"/>
        <v>0</v>
      </c>
      <c r="AD169" s="1"/>
      <c r="AE169" s="1"/>
    </row>
    <row r="170" spans="8:58" ht="15.75" x14ac:dyDescent="0.25">
      <c r="I170" s="202">
        <f>INDEX($J$118:$AC$171,MATCH($J170,$J$118:$J$171,0),MATCH($I$118,$J$118:$AC$118,0))</f>
        <v>0</v>
      </c>
      <c r="J170" s="31" t="s">
        <v>148</v>
      </c>
      <c r="K170" s="816">
        <f>SUM(N170:AC170)</f>
        <v>0</v>
      </c>
      <c r="L170" s="221">
        <f t="shared" si="93"/>
        <v>0</v>
      </c>
      <c r="N170" s="939">
        <f t="shared" ref="N170:AC170" si="105">IF(N169&lt;0,0,N169*-N95)</f>
        <v>0</v>
      </c>
      <c r="O170" s="795">
        <f t="shared" si="105"/>
        <v>0</v>
      </c>
      <c r="P170" s="795">
        <f t="shared" si="105"/>
        <v>0</v>
      </c>
      <c r="Q170" s="795">
        <f t="shared" si="105"/>
        <v>0</v>
      </c>
      <c r="R170" s="795">
        <f t="shared" si="105"/>
        <v>0</v>
      </c>
      <c r="S170" s="795">
        <f t="shared" si="105"/>
        <v>0</v>
      </c>
      <c r="T170" s="795">
        <f t="shared" si="105"/>
        <v>0</v>
      </c>
      <c r="U170" s="795">
        <f t="shared" si="105"/>
        <v>0</v>
      </c>
      <c r="V170" s="795">
        <f t="shared" si="105"/>
        <v>0</v>
      </c>
      <c r="W170" s="795">
        <f t="shared" si="105"/>
        <v>0</v>
      </c>
      <c r="X170" s="795">
        <f t="shared" si="105"/>
        <v>0</v>
      </c>
      <c r="Y170" s="795">
        <f t="shared" si="105"/>
        <v>0</v>
      </c>
      <c r="Z170" s="795">
        <f t="shared" si="105"/>
        <v>0</v>
      </c>
      <c r="AA170" s="795">
        <f t="shared" si="105"/>
        <v>0</v>
      </c>
      <c r="AB170" s="795">
        <f t="shared" si="105"/>
        <v>0</v>
      </c>
      <c r="AC170" s="940">
        <f t="shared" si="105"/>
        <v>0</v>
      </c>
      <c r="AD170" s="1"/>
      <c r="AE170" s="1"/>
    </row>
    <row r="171" spans="8:58" outlineLevel="1" thickBot="1" x14ac:dyDescent="0.3">
      <c r="I171" s="202">
        <f>INDEX($J$118:$AC$171,MATCH($J171,$J$118:$J$171,0),MATCH($I$118,$J$118:$AC$118,0))</f>
        <v>0</v>
      </c>
      <c r="J171" s="557" t="s">
        <v>149</v>
      </c>
      <c r="K171" s="941">
        <f>K169+K170</f>
        <v>0</v>
      </c>
      <c r="L171" s="942">
        <f t="shared" si="93"/>
        <v>0</v>
      </c>
      <c r="N171" s="943">
        <f>N169+N170</f>
        <v>0</v>
      </c>
      <c r="O171" s="944">
        <f t="shared" ref="O171:AC171" si="106">O169+O170</f>
        <v>0</v>
      </c>
      <c r="P171" s="944">
        <f t="shared" si="106"/>
        <v>0</v>
      </c>
      <c r="Q171" s="944">
        <f t="shared" si="106"/>
        <v>0</v>
      </c>
      <c r="R171" s="944">
        <f t="shared" si="106"/>
        <v>0</v>
      </c>
      <c r="S171" s="944">
        <f t="shared" si="106"/>
        <v>0</v>
      </c>
      <c r="T171" s="944">
        <f t="shared" si="106"/>
        <v>0</v>
      </c>
      <c r="U171" s="944">
        <f t="shared" si="106"/>
        <v>0</v>
      </c>
      <c r="V171" s="944">
        <f t="shared" si="106"/>
        <v>0</v>
      </c>
      <c r="W171" s="944">
        <f t="shared" si="106"/>
        <v>0</v>
      </c>
      <c r="X171" s="944">
        <f t="shared" si="106"/>
        <v>0</v>
      </c>
      <c r="Y171" s="944">
        <f t="shared" si="106"/>
        <v>0</v>
      </c>
      <c r="Z171" s="944">
        <f t="shared" si="106"/>
        <v>0</v>
      </c>
      <c r="AA171" s="944">
        <f t="shared" si="106"/>
        <v>0</v>
      </c>
      <c r="AB171" s="944">
        <f t="shared" si="106"/>
        <v>0</v>
      </c>
      <c r="AC171" s="945">
        <f t="shared" si="106"/>
        <v>0</v>
      </c>
      <c r="AD171" s="1"/>
      <c r="AE171" s="1"/>
    </row>
    <row r="172" spans="8:58" s="4" customFormat="1" ht="15.75" x14ac:dyDescent="0.25">
      <c r="H172" s="1"/>
      <c r="J172" s="31"/>
      <c r="K172" s="164"/>
      <c r="L172" s="164"/>
      <c r="M172" s="1"/>
      <c r="N172" s="31"/>
      <c r="O172" s="31"/>
      <c r="P172" s="31"/>
      <c r="Q172" s="31"/>
      <c r="R172" s="31"/>
      <c r="S172" s="31"/>
      <c r="T172" s="31"/>
      <c r="U172" s="31"/>
      <c r="V172" s="31"/>
      <c r="W172" s="31"/>
      <c r="X172" s="31"/>
      <c r="Y172" s="31"/>
      <c r="Z172" s="31"/>
      <c r="AA172" s="31"/>
      <c r="AB172" s="31"/>
      <c r="AC172" s="3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row>
    <row r="173" spans="8:58" ht="18" outlineLevel="1" x14ac:dyDescent="0.2">
      <c r="I173" s="104" t="s">
        <v>130</v>
      </c>
      <c r="J173" s="105" t="s">
        <v>150</v>
      </c>
      <c r="K173" s="105"/>
      <c r="L173" s="105"/>
      <c r="M173" s="106"/>
      <c r="N173" s="107">
        <f>N$11</f>
        <v>2024</v>
      </c>
      <c r="O173" s="107">
        <f t="shared" ref="O173:AC173" si="107">O$11</f>
        <v>2025</v>
      </c>
      <c r="P173" s="107">
        <f t="shared" si="107"/>
        <v>2026</v>
      </c>
      <c r="Q173" s="107">
        <f t="shared" si="107"/>
        <v>2027</v>
      </c>
      <c r="R173" s="107">
        <f t="shared" si="107"/>
        <v>2028</v>
      </c>
      <c r="S173" s="107">
        <f t="shared" si="107"/>
        <v>2029</v>
      </c>
      <c r="T173" s="107">
        <f t="shared" si="107"/>
        <v>2030</v>
      </c>
      <c r="U173" s="107">
        <f t="shared" si="107"/>
        <v>2031</v>
      </c>
      <c r="V173" s="107">
        <f t="shared" si="107"/>
        <v>2032</v>
      </c>
      <c r="W173" s="107">
        <f t="shared" si="107"/>
        <v>2033</v>
      </c>
      <c r="X173" s="107">
        <f t="shared" si="107"/>
        <v>2034</v>
      </c>
      <c r="Y173" s="107">
        <f t="shared" si="107"/>
        <v>2035</v>
      </c>
      <c r="Z173" s="107">
        <f t="shared" si="107"/>
        <v>2036</v>
      </c>
      <c r="AA173" s="107">
        <f t="shared" si="107"/>
        <v>2037</v>
      </c>
      <c r="AB173" s="107">
        <f t="shared" si="107"/>
        <v>2038</v>
      </c>
      <c r="AC173" s="107">
        <f t="shared" si="107"/>
        <v>2039</v>
      </c>
      <c r="AD173" s="1"/>
      <c r="AE173" s="1"/>
    </row>
    <row r="174" spans="8:58" s="4" customFormat="1" ht="15.4" customHeight="1" outlineLevel="1" x14ac:dyDescent="0.25">
      <c r="H174" s="1"/>
      <c r="J174" s="31"/>
      <c r="K174" s="1189" t="s">
        <v>151</v>
      </c>
      <c r="L174" s="164"/>
      <c r="M174" s="1"/>
      <c r="N174" s="31"/>
      <c r="O174" s="31"/>
      <c r="P174" s="31"/>
      <c r="Q174" s="31"/>
      <c r="R174" s="31"/>
      <c r="S174" s="31"/>
      <c r="T174" s="31"/>
      <c r="U174" s="31"/>
      <c r="V174" s="31"/>
      <c r="W174" s="31"/>
      <c r="X174" s="31"/>
      <c r="Y174" s="31"/>
      <c r="Z174" s="31"/>
      <c r="AA174" s="31"/>
      <c r="AB174" s="31"/>
      <c r="AC174" s="3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row>
    <row r="175" spans="8:58" s="4" customFormat="1" ht="15.75" outlineLevel="1" x14ac:dyDescent="0.25">
      <c r="H175" s="1"/>
      <c r="J175" s="31"/>
      <c r="K175" s="1190"/>
      <c r="L175" s="141" t="s">
        <v>152</v>
      </c>
      <c r="M175" s="1"/>
      <c r="N175" s="31"/>
      <c r="O175" s="31"/>
      <c r="P175" s="31"/>
      <c r="Q175" s="31"/>
      <c r="R175" s="31"/>
      <c r="S175" s="31"/>
      <c r="T175" s="31"/>
      <c r="U175" s="31"/>
      <c r="V175" s="31"/>
      <c r="W175" s="31"/>
      <c r="X175" s="31"/>
      <c r="Y175" s="31"/>
      <c r="Z175" s="31"/>
      <c r="AA175" s="31"/>
      <c r="AB175" s="31"/>
      <c r="AC175" s="3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row>
    <row r="176" spans="8:58" s="4" customFormat="1" ht="22.5" customHeight="1" outlineLevel="1" x14ac:dyDescent="0.25">
      <c r="H176" s="1"/>
      <c r="I176" s="202"/>
      <c r="J176" s="203" t="s">
        <v>12</v>
      </c>
      <c r="K176" s="265"/>
      <c r="L176" s="946">
        <f>IFERROR(K118,"")</f>
        <v>0</v>
      </c>
      <c r="M176" s="947"/>
      <c r="N176" s="832">
        <f t="shared" ref="N176:AC176" si="108">IFERROR(N118,"")</f>
        <v>0</v>
      </c>
      <c r="O176" s="832">
        <f t="shared" si="108"/>
        <v>0</v>
      </c>
      <c r="P176" s="832">
        <f t="shared" si="108"/>
        <v>0</v>
      </c>
      <c r="Q176" s="832">
        <f t="shared" si="108"/>
        <v>0</v>
      </c>
      <c r="R176" s="832">
        <f t="shared" si="108"/>
        <v>0</v>
      </c>
      <c r="S176" s="832">
        <f t="shared" si="108"/>
        <v>0</v>
      </c>
      <c r="T176" s="832">
        <f t="shared" si="108"/>
        <v>0</v>
      </c>
      <c r="U176" s="832">
        <f t="shared" si="108"/>
        <v>0</v>
      </c>
      <c r="V176" s="832">
        <f t="shared" si="108"/>
        <v>0</v>
      </c>
      <c r="W176" s="832">
        <f t="shared" si="108"/>
        <v>0</v>
      </c>
      <c r="X176" s="832">
        <f t="shared" si="108"/>
        <v>0</v>
      </c>
      <c r="Y176" s="832">
        <f t="shared" si="108"/>
        <v>0</v>
      </c>
      <c r="Z176" s="832">
        <f t="shared" si="108"/>
        <v>0</v>
      </c>
      <c r="AA176" s="832">
        <f t="shared" si="108"/>
        <v>0</v>
      </c>
      <c r="AB176" s="832">
        <f t="shared" si="108"/>
        <v>0</v>
      </c>
      <c r="AC176" s="832">
        <f t="shared" si="108"/>
        <v>0</v>
      </c>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row>
    <row r="177" spans="8:58" s="4" customFormat="1" ht="15.75" outlineLevel="1" x14ac:dyDescent="0.25">
      <c r="H177" s="1"/>
      <c r="I177" s="202"/>
      <c r="J177" s="97" t="s">
        <v>153</v>
      </c>
      <c r="K177" s="267"/>
      <c r="L177" s="268"/>
      <c r="N177" s="269" t="str">
        <f t="shared" ref="N177:AC177" si="109">IFERROR(SUM(N119,N148)/N$118,"")</f>
        <v/>
      </c>
      <c r="O177" s="269" t="str">
        <f t="shared" si="109"/>
        <v/>
      </c>
      <c r="P177" s="269" t="str">
        <f t="shared" si="109"/>
        <v/>
      </c>
      <c r="Q177" s="269" t="str">
        <f t="shared" si="109"/>
        <v/>
      </c>
      <c r="R177" s="269" t="str">
        <f t="shared" si="109"/>
        <v/>
      </c>
      <c r="S177" s="269" t="str">
        <f t="shared" si="109"/>
        <v/>
      </c>
      <c r="T177" s="269" t="str">
        <f t="shared" si="109"/>
        <v/>
      </c>
      <c r="U177" s="269" t="str">
        <f t="shared" si="109"/>
        <v/>
      </c>
      <c r="V177" s="269" t="str">
        <f t="shared" si="109"/>
        <v/>
      </c>
      <c r="W177" s="269" t="str">
        <f t="shared" si="109"/>
        <v/>
      </c>
      <c r="X177" s="269" t="str">
        <f t="shared" si="109"/>
        <v/>
      </c>
      <c r="Y177" s="269" t="str">
        <f t="shared" si="109"/>
        <v/>
      </c>
      <c r="Z177" s="269" t="str">
        <f t="shared" si="109"/>
        <v/>
      </c>
      <c r="AA177" s="269" t="str">
        <f t="shared" si="109"/>
        <v/>
      </c>
      <c r="AB177" s="269" t="str">
        <f t="shared" si="109"/>
        <v/>
      </c>
      <c r="AC177" s="269" t="str">
        <f t="shared" si="109"/>
        <v/>
      </c>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row>
    <row r="178" spans="8:58" s="4" customFormat="1" ht="15.75" outlineLevel="1" x14ac:dyDescent="0.25">
      <c r="H178" s="1"/>
      <c r="I178" s="202"/>
      <c r="J178" s="97" t="s">
        <v>108</v>
      </c>
      <c r="K178" s="270"/>
      <c r="L178" s="271"/>
      <c r="N178" s="269" t="str">
        <f t="shared" ref="N178:AC178" si="110">IFERROR(N120/N$118,"")</f>
        <v/>
      </c>
      <c r="O178" s="272" t="str">
        <f t="shared" si="110"/>
        <v/>
      </c>
      <c r="P178" s="272" t="str">
        <f t="shared" si="110"/>
        <v/>
      </c>
      <c r="Q178" s="272" t="str">
        <f t="shared" si="110"/>
        <v/>
      </c>
      <c r="R178" s="272" t="str">
        <f t="shared" si="110"/>
        <v/>
      </c>
      <c r="S178" s="272" t="str">
        <f t="shared" si="110"/>
        <v/>
      </c>
      <c r="T178" s="272" t="str">
        <f t="shared" si="110"/>
        <v/>
      </c>
      <c r="U178" s="272" t="str">
        <f t="shared" si="110"/>
        <v/>
      </c>
      <c r="V178" s="272" t="str">
        <f t="shared" si="110"/>
        <v/>
      </c>
      <c r="W178" s="272" t="str">
        <f t="shared" si="110"/>
        <v/>
      </c>
      <c r="X178" s="272" t="str">
        <f t="shared" si="110"/>
        <v/>
      </c>
      <c r="Y178" s="272" t="str">
        <f t="shared" si="110"/>
        <v/>
      </c>
      <c r="Z178" s="272" t="str">
        <f t="shared" si="110"/>
        <v/>
      </c>
      <c r="AA178" s="272" t="str">
        <f t="shared" si="110"/>
        <v/>
      </c>
      <c r="AB178" s="272" t="str">
        <f t="shared" si="110"/>
        <v/>
      </c>
      <c r="AC178" s="273" t="str">
        <f t="shared" si="110"/>
        <v/>
      </c>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row>
    <row r="179" spans="8:58" s="4" customFormat="1" ht="15.75" outlineLevel="1" x14ac:dyDescent="0.25">
      <c r="H179" s="1"/>
      <c r="I179" s="202"/>
      <c r="J179" s="97" t="s">
        <v>109</v>
      </c>
      <c r="K179" s="270"/>
      <c r="L179" s="271"/>
      <c r="N179" s="269" t="str">
        <f t="shared" ref="N179:AC179" si="111">IFERROR(N121/N$118,"")</f>
        <v/>
      </c>
      <c r="O179" s="272" t="str">
        <f t="shared" si="111"/>
        <v/>
      </c>
      <c r="P179" s="272" t="str">
        <f t="shared" si="111"/>
        <v/>
      </c>
      <c r="Q179" s="272" t="str">
        <f t="shared" si="111"/>
        <v/>
      </c>
      <c r="R179" s="272" t="str">
        <f t="shared" si="111"/>
        <v/>
      </c>
      <c r="S179" s="272" t="str">
        <f t="shared" si="111"/>
        <v/>
      </c>
      <c r="T179" s="272" t="str">
        <f t="shared" si="111"/>
        <v/>
      </c>
      <c r="U179" s="272" t="str">
        <f t="shared" si="111"/>
        <v/>
      </c>
      <c r="V179" s="272" t="str">
        <f t="shared" si="111"/>
        <v/>
      </c>
      <c r="W179" s="272" t="str">
        <f t="shared" si="111"/>
        <v/>
      </c>
      <c r="X179" s="272" t="str">
        <f t="shared" si="111"/>
        <v/>
      </c>
      <c r="Y179" s="272" t="str">
        <f t="shared" si="111"/>
        <v/>
      </c>
      <c r="Z179" s="272" t="str">
        <f t="shared" si="111"/>
        <v/>
      </c>
      <c r="AA179" s="272" t="str">
        <f t="shared" si="111"/>
        <v/>
      </c>
      <c r="AB179" s="272" t="str">
        <f t="shared" si="111"/>
        <v/>
      </c>
      <c r="AC179" s="273" t="str">
        <f t="shared" si="111"/>
        <v/>
      </c>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row>
    <row r="180" spans="8:58" s="4" customFormat="1" ht="15.75" outlineLevel="1" x14ac:dyDescent="0.25">
      <c r="H180" s="1"/>
      <c r="I180" s="202"/>
      <c r="J180" s="97" t="s">
        <v>110</v>
      </c>
      <c r="K180" s="270"/>
      <c r="L180" s="271"/>
      <c r="N180" s="269" t="str">
        <f t="shared" ref="N180:AC180" si="112">IFERROR(N122/N$118,"")</f>
        <v/>
      </c>
      <c r="O180" s="272" t="str">
        <f t="shared" si="112"/>
        <v/>
      </c>
      <c r="P180" s="272" t="str">
        <f t="shared" si="112"/>
        <v/>
      </c>
      <c r="Q180" s="272" t="str">
        <f t="shared" si="112"/>
        <v/>
      </c>
      <c r="R180" s="272" t="str">
        <f t="shared" si="112"/>
        <v/>
      </c>
      <c r="S180" s="272" t="str">
        <f t="shared" si="112"/>
        <v/>
      </c>
      <c r="T180" s="272" t="str">
        <f t="shared" si="112"/>
        <v/>
      </c>
      <c r="U180" s="272" t="str">
        <f t="shared" si="112"/>
        <v/>
      </c>
      <c r="V180" s="272" t="str">
        <f t="shared" si="112"/>
        <v/>
      </c>
      <c r="W180" s="272" t="str">
        <f t="shared" si="112"/>
        <v/>
      </c>
      <c r="X180" s="272" t="str">
        <f t="shared" si="112"/>
        <v/>
      </c>
      <c r="Y180" s="272" t="str">
        <f t="shared" si="112"/>
        <v/>
      </c>
      <c r="Z180" s="272" t="str">
        <f t="shared" si="112"/>
        <v/>
      </c>
      <c r="AA180" s="272" t="str">
        <f t="shared" si="112"/>
        <v/>
      </c>
      <c r="AB180" s="272" t="str">
        <f t="shared" si="112"/>
        <v/>
      </c>
      <c r="AC180" s="273" t="str">
        <f t="shared" si="112"/>
        <v/>
      </c>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row>
    <row r="181" spans="8:58" s="4" customFormat="1" ht="15.75" outlineLevel="1" x14ac:dyDescent="0.25">
      <c r="H181" s="1"/>
      <c r="I181" s="202"/>
      <c r="J181" s="74" t="s">
        <v>111</v>
      </c>
      <c r="K181" s="274"/>
      <c r="L181" s="275"/>
      <c r="N181" s="269" t="str">
        <f t="shared" ref="N181:AC181" si="113">IFERROR(N123/N$118,"")</f>
        <v/>
      </c>
      <c r="O181" s="272" t="str">
        <f t="shared" si="113"/>
        <v/>
      </c>
      <c r="P181" s="272" t="str">
        <f t="shared" si="113"/>
        <v/>
      </c>
      <c r="Q181" s="272" t="str">
        <f t="shared" si="113"/>
        <v/>
      </c>
      <c r="R181" s="272" t="str">
        <f t="shared" si="113"/>
        <v/>
      </c>
      <c r="S181" s="272" t="str">
        <f t="shared" si="113"/>
        <v/>
      </c>
      <c r="T181" s="272" t="str">
        <f t="shared" si="113"/>
        <v/>
      </c>
      <c r="U181" s="272" t="str">
        <f t="shared" si="113"/>
        <v/>
      </c>
      <c r="V181" s="272" t="str">
        <f t="shared" si="113"/>
        <v/>
      </c>
      <c r="W181" s="272" t="str">
        <f t="shared" si="113"/>
        <v/>
      </c>
      <c r="X181" s="272" t="str">
        <f t="shared" si="113"/>
        <v/>
      </c>
      <c r="Y181" s="272" t="str">
        <f t="shared" si="113"/>
        <v/>
      </c>
      <c r="Z181" s="272" t="str">
        <f t="shared" si="113"/>
        <v/>
      </c>
      <c r="AA181" s="272" t="str">
        <f t="shared" si="113"/>
        <v/>
      </c>
      <c r="AB181" s="272" t="str">
        <f t="shared" si="113"/>
        <v/>
      </c>
      <c r="AC181" s="273" t="str">
        <f t="shared" si="113"/>
        <v/>
      </c>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row>
    <row r="182" spans="8:58" s="4" customFormat="1" ht="15.75" outlineLevel="1" x14ac:dyDescent="0.25">
      <c r="H182" s="1"/>
      <c r="I182" s="202"/>
      <c r="J182" s="210" t="s">
        <v>154</v>
      </c>
      <c r="K182" s="276"/>
      <c r="L182" s="277">
        <f>L124</f>
        <v>0</v>
      </c>
      <c r="N182" s="277" t="str">
        <f>IFERROR(SUM(N124,N148)/N$118,"")</f>
        <v/>
      </c>
      <c r="O182" s="277" t="str">
        <f t="shared" ref="O182:AC182" si="114">IFERROR(SUM(O124,O148)/O$118,"")</f>
        <v/>
      </c>
      <c r="P182" s="277" t="str">
        <f t="shared" si="114"/>
        <v/>
      </c>
      <c r="Q182" s="277" t="str">
        <f t="shared" si="114"/>
        <v/>
      </c>
      <c r="R182" s="277" t="str">
        <f t="shared" si="114"/>
        <v/>
      </c>
      <c r="S182" s="277" t="str">
        <f t="shared" si="114"/>
        <v/>
      </c>
      <c r="T182" s="277" t="str">
        <f t="shared" si="114"/>
        <v/>
      </c>
      <c r="U182" s="277" t="str">
        <f t="shared" si="114"/>
        <v/>
      </c>
      <c r="V182" s="277" t="str">
        <f t="shared" si="114"/>
        <v/>
      </c>
      <c r="W182" s="277" t="str">
        <f t="shared" si="114"/>
        <v/>
      </c>
      <c r="X182" s="277" t="str">
        <f t="shared" si="114"/>
        <v/>
      </c>
      <c r="Y182" s="277" t="str">
        <f t="shared" si="114"/>
        <v/>
      </c>
      <c r="Z182" s="277" t="str">
        <f t="shared" si="114"/>
        <v/>
      </c>
      <c r="AA182" s="277" t="str">
        <f t="shared" si="114"/>
        <v/>
      </c>
      <c r="AB182" s="277" t="str">
        <f t="shared" si="114"/>
        <v/>
      </c>
      <c r="AC182" s="277" t="str">
        <f t="shared" si="114"/>
        <v/>
      </c>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row>
    <row r="183" spans="8:58" s="4" customFormat="1" ht="15.75" outlineLevel="1" x14ac:dyDescent="0.25">
      <c r="H183" s="1"/>
      <c r="I183" s="202"/>
      <c r="J183" s="97" t="s">
        <v>114</v>
      </c>
      <c r="K183" s="276"/>
      <c r="L183" s="269">
        <f>L126</f>
        <v>0</v>
      </c>
      <c r="N183" s="269" t="str">
        <f>IFERROR(N126/N$118,"")</f>
        <v/>
      </c>
      <c r="O183" s="269" t="str">
        <f t="shared" ref="O183:AC183" si="115">IFERROR(O126/O$118,"")</f>
        <v/>
      </c>
      <c r="P183" s="269" t="str">
        <f t="shared" si="115"/>
        <v/>
      </c>
      <c r="Q183" s="269" t="str">
        <f t="shared" si="115"/>
        <v/>
      </c>
      <c r="R183" s="269" t="str">
        <f t="shared" si="115"/>
        <v/>
      </c>
      <c r="S183" s="269" t="str">
        <f t="shared" si="115"/>
        <v/>
      </c>
      <c r="T183" s="269" t="str">
        <f t="shared" si="115"/>
        <v/>
      </c>
      <c r="U183" s="269" t="str">
        <f t="shared" si="115"/>
        <v/>
      </c>
      <c r="V183" s="269" t="str">
        <f t="shared" si="115"/>
        <v/>
      </c>
      <c r="W183" s="269" t="str">
        <f t="shared" si="115"/>
        <v/>
      </c>
      <c r="X183" s="269" t="str">
        <f t="shared" si="115"/>
        <v/>
      </c>
      <c r="Y183" s="269" t="str">
        <f t="shared" si="115"/>
        <v/>
      </c>
      <c r="Z183" s="269" t="str">
        <f t="shared" si="115"/>
        <v/>
      </c>
      <c r="AA183" s="269" t="str">
        <f t="shared" si="115"/>
        <v/>
      </c>
      <c r="AB183" s="269" t="str">
        <f t="shared" si="115"/>
        <v/>
      </c>
      <c r="AC183" s="269" t="str">
        <f t="shared" si="115"/>
        <v/>
      </c>
      <c r="AD183" s="219"/>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row>
    <row r="184" spans="8:58" s="4" customFormat="1" ht="15.75" outlineLevel="1" x14ac:dyDescent="0.25">
      <c r="H184" s="1"/>
      <c r="I184" s="202"/>
      <c r="J184" s="97" t="s">
        <v>115</v>
      </c>
      <c r="K184" s="276"/>
      <c r="L184" s="269">
        <f>L127</f>
        <v>0</v>
      </c>
      <c r="N184" s="269" t="str">
        <f>IFERROR(N127/N$118,"")</f>
        <v/>
      </c>
      <c r="O184" s="269" t="str">
        <f t="shared" ref="O184:AC184" si="116">IFERROR(O127/O$118,"")</f>
        <v/>
      </c>
      <c r="P184" s="269" t="str">
        <f t="shared" si="116"/>
        <v/>
      </c>
      <c r="Q184" s="269" t="str">
        <f t="shared" si="116"/>
        <v/>
      </c>
      <c r="R184" s="269" t="str">
        <f t="shared" si="116"/>
        <v/>
      </c>
      <c r="S184" s="269" t="str">
        <f t="shared" si="116"/>
        <v/>
      </c>
      <c r="T184" s="269" t="str">
        <f t="shared" si="116"/>
        <v/>
      </c>
      <c r="U184" s="269" t="str">
        <f t="shared" si="116"/>
        <v/>
      </c>
      <c r="V184" s="269" t="str">
        <f t="shared" si="116"/>
        <v/>
      </c>
      <c r="W184" s="269" t="str">
        <f t="shared" si="116"/>
        <v/>
      </c>
      <c r="X184" s="269" t="str">
        <f t="shared" si="116"/>
        <v/>
      </c>
      <c r="Y184" s="269" t="str">
        <f t="shared" si="116"/>
        <v/>
      </c>
      <c r="Z184" s="269" t="str">
        <f t="shared" si="116"/>
        <v/>
      </c>
      <c r="AA184" s="269" t="str">
        <f t="shared" si="116"/>
        <v/>
      </c>
      <c r="AB184" s="269" t="str">
        <f t="shared" si="116"/>
        <v/>
      </c>
      <c r="AC184" s="269" t="str">
        <f t="shared" si="116"/>
        <v/>
      </c>
      <c r="AD184" s="219"/>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row>
    <row r="185" spans="8:58" s="4" customFormat="1" ht="15.75" outlineLevel="1" x14ac:dyDescent="0.25">
      <c r="H185" s="1"/>
      <c r="I185" s="202"/>
      <c r="J185" s="97" t="s">
        <v>116</v>
      </c>
      <c r="K185" s="276"/>
      <c r="L185" s="269">
        <f>L128</f>
        <v>0</v>
      </c>
      <c r="N185" s="269" t="str">
        <f>IFERROR(SUM(N128,N149)/N$118,"")</f>
        <v/>
      </c>
      <c r="O185" s="269" t="str">
        <f t="shared" ref="O185:AC185" si="117">IFERROR(SUM(O128,O149)/O$118,"")</f>
        <v/>
      </c>
      <c r="P185" s="269" t="str">
        <f t="shared" si="117"/>
        <v/>
      </c>
      <c r="Q185" s="269" t="str">
        <f t="shared" si="117"/>
        <v/>
      </c>
      <c r="R185" s="269" t="str">
        <f t="shared" si="117"/>
        <v/>
      </c>
      <c r="S185" s="269" t="str">
        <f t="shared" si="117"/>
        <v/>
      </c>
      <c r="T185" s="269" t="str">
        <f t="shared" si="117"/>
        <v/>
      </c>
      <c r="U185" s="269" t="str">
        <f t="shared" si="117"/>
        <v/>
      </c>
      <c r="V185" s="269" t="str">
        <f t="shared" si="117"/>
        <v/>
      </c>
      <c r="W185" s="269" t="str">
        <f t="shared" si="117"/>
        <v/>
      </c>
      <c r="X185" s="269" t="str">
        <f t="shared" si="117"/>
        <v/>
      </c>
      <c r="Y185" s="269" t="str">
        <f t="shared" si="117"/>
        <v/>
      </c>
      <c r="Z185" s="269" t="str">
        <f t="shared" si="117"/>
        <v/>
      </c>
      <c r="AA185" s="269" t="str">
        <f t="shared" si="117"/>
        <v/>
      </c>
      <c r="AB185" s="269" t="str">
        <f t="shared" si="117"/>
        <v/>
      </c>
      <c r="AC185" s="269" t="str">
        <f t="shared" si="117"/>
        <v/>
      </c>
      <c r="AD185" s="219"/>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row>
    <row r="186" spans="8:58" s="4" customFormat="1" ht="15.75" outlineLevel="1" x14ac:dyDescent="0.25">
      <c r="H186" s="1"/>
      <c r="I186" s="202"/>
      <c r="J186" s="97" t="s">
        <v>117</v>
      </c>
      <c r="K186" s="276"/>
      <c r="L186" s="269">
        <f>L129</f>
        <v>0</v>
      </c>
      <c r="N186" s="269" t="str">
        <f>IFERROR(SUM(N129,N150)/N$118,"")</f>
        <v/>
      </c>
      <c r="O186" s="269" t="str">
        <f t="shared" ref="O186:AC186" si="118">IFERROR(SUM(O129,O150)/O$118,"")</f>
        <v/>
      </c>
      <c r="P186" s="269" t="str">
        <f t="shared" si="118"/>
        <v/>
      </c>
      <c r="Q186" s="269" t="str">
        <f t="shared" si="118"/>
        <v/>
      </c>
      <c r="R186" s="269" t="str">
        <f t="shared" si="118"/>
        <v/>
      </c>
      <c r="S186" s="269" t="str">
        <f t="shared" si="118"/>
        <v/>
      </c>
      <c r="T186" s="269" t="str">
        <f t="shared" si="118"/>
        <v/>
      </c>
      <c r="U186" s="269" t="str">
        <f t="shared" si="118"/>
        <v/>
      </c>
      <c r="V186" s="269" t="str">
        <f t="shared" si="118"/>
        <v/>
      </c>
      <c r="W186" s="269" t="str">
        <f t="shared" si="118"/>
        <v/>
      </c>
      <c r="X186" s="269" t="str">
        <f t="shared" si="118"/>
        <v/>
      </c>
      <c r="Y186" s="269" t="str">
        <f t="shared" si="118"/>
        <v/>
      </c>
      <c r="Z186" s="269" t="str">
        <f t="shared" si="118"/>
        <v/>
      </c>
      <c r="AA186" s="269" t="str">
        <f t="shared" si="118"/>
        <v/>
      </c>
      <c r="AB186" s="269" t="str">
        <f t="shared" si="118"/>
        <v/>
      </c>
      <c r="AC186" s="269" t="str">
        <f t="shared" si="118"/>
        <v/>
      </c>
      <c r="AD186" s="219"/>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row>
    <row r="187" spans="8:58" s="4" customFormat="1" ht="15.75" outlineLevel="1" x14ac:dyDescent="0.25">
      <c r="H187" s="1"/>
      <c r="I187" s="202"/>
      <c r="J187" s="97" t="s">
        <v>155</v>
      </c>
      <c r="K187" s="278"/>
      <c r="L187" s="269"/>
      <c r="N187" s="269" t="str">
        <f>IFERROR(SUM(N152)/N$118,"")</f>
        <v/>
      </c>
      <c r="O187" s="269" t="str">
        <f t="shared" ref="O187:AC187" si="119">IFERROR(SUM(O152)/O$118,"")</f>
        <v/>
      </c>
      <c r="P187" s="269" t="str">
        <f t="shared" si="119"/>
        <v/>
      </c>
      <c r="Q187" s="269" t="str">
        <f t="shared" si="119"/>
        <v/>
      </c>
      <c r="R187" s="269" t="str">
        <f t="shared" si="119"/>
        <v/>
      </c>
      <c r="S187" s="269" t="str">
        <f t="shared" si="119"/>
        <v/>
      </c>
      <c r="T187" s="269" t="str">
        <f t="shared" si="119"/>
        <v/>
      </c>
      <c r="U187" s="269" t="str">
        <f t="shared" si="119"/>
        <v/>
      </c>
      <c r="V187" s="269" t="str">
        <f t="shared" si="119"/>
        <v/>
      </c>
      <c r="W187" s="269" t="str">
        <f t="shared" si="119"/>
        <v/>
      </c>
      <c r="X187" s="269" t="str">
        <f t="shared" si="119"/>
        <v/>
      </c>
      <c r="Y187" s="269" t="str">
        <f t="shared" si="119"/>
        <v/>
      </c>
      <c r="Z187" s="269" t="str">
        <f t="shared" si="119"/>
        <v/>
      </c>
      <c r="AA187" s="269" t="str">
        <f t="shared" si="119"/>
        <v/>
      </c>
      <c r="AB187" s="269" t="str">
        <f t="shared" si="119"/>
        <v/>
      </c>
      <c r="AC187" s="269" t="str">
        <f t="shared" si="119"/>
        <v/>
      </c>
      <c r="AD187" s="219"/>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row>
    <row r="188" spans="8:58" s="4" customFormat="1" ht="15.75" outlineLevel="1" x14ac:dyDescent="0.25">
      <c r="H188" s="1"/>
      <c r="I188" s="202"/>
      <c r="J188" s="97" t="s">
        <v>118</v>
      </c>
      <c r="K188" s="270"/>
      <c r="L188" s="269">
        <f>L130</f>
        <v>0</v>
      </c>
      <c r="N188" s="269" t="str">
        <f>IFERROR(N130/N$118,"")</f>
        <v/>
      </c>
      <c r="O188" s="269" t="str">
        <f t="shared" ref="O188:AC188" si="120">IFERROR(O130/O$118,"")</f>
        <v/>
      </c>
      <c r="P188" s="269" t="str">
        <f t="shared" si="120"/>
        <v/>
      </c>
      <c r="Q188" s="269" t="str">
        <f t="shared" si="120"/>
        <v/>
      </c>
      <c r="R188" s="269" t="str">
        <f t="shared" si="120"/>
        <v/>
      </c>
      <c r="S188" s="269" t="str">
        <f t="shared" si="120"/>
        <v/>
      </c>
      <c r="T188" s="269" t="str">
        <f t="shared" si="120"/>
        <v/>
      </c>
      <c r="U188" s="269" t="str">
        <f t="shared" si="120"/>
        <v/>
      </c>
      <c r="V188" s="269" t="str">
        <f t="shared" si="120"/>
        <v/>
      </c>
      <c r="W188" s="269" t="str">
        <f t="shared" si="120"/>
        <v/>
      </c>
      <c r="X188" s="269" t="str">
        <f t="shared" si="120"/>
        <v/>
      </c>
      <c r="Y188" s="269" t="str">
        <f t="shared" si="120"/>
        <v/>
      </c>
      <c r="Z188" s="269" t="str">
        <f t="shared" si="120"/>
        <v/>
      </c>
      <c r="AA188" s="269" t="str">
        <f t="shared" si="120"/>
        <v/>
      </c>
      <c r="AB188" s="269" t="str">
        <f t="shared" si="120"/>
        <v/>
      </c>
      <c r="AC188" s="269" t="str">
        <f t="shared" si="120"/>
        <v/>
      </c>
      <c r="AD188" s="219"/>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row>
    <row r="189" spans="8:58" s="4" customFormat="1" ht="15.75" outlineLevel="1" x14ac:dyDescent="0.25">
      <c r="H189" s="1"/>
      <c r="I189" s="202"/>
      <c r="J189" s="97" t="s">
        <v>156</v>
      </c>
      <c r="K189" s="270"/>
      <c r="L189" s="269">
        <f>L131</f>
        <v>0</v>
      </c>
      <c r="N189" s="269" t="str">
        <f>IFERROR(N131/N$118,"")</f>
        <v/>
      </c>
      <c r="O189" s="269" t="str">
        <f t="shared" ref="O189:AC189" si="121">IFERROR(O131/O$118,"")</f>
        <v/>
      </c>
      <c r="P189" s="269" t="str">
        <f t="shared" si="121"/>
        <v/>
      </c>
      <c r="Q189" s="269" t="str">
        <f t="shared" si="121"/>
        <v/>
      </c>
      <c r="R189" s="269" t="str">
        <f t="shared" si="121"/>
        <v/>
      </c>
      <c r="S189" s="269" t="str">
        <f t="shared" si="121"/>
        <v/>
      </c>
      <c r="T189" s="269" t="str">
        <f t="shared" si="121"/>
        <v/>
      </c>
      <c r="U189" s="269" t="str">
        <f t="shared" si="121"/>
        <v/>
      </c>
      <c r="V189" s="269" t="str">
        <f t="shared" si="121"/>
        <v/>
      </c>
      <c r="W189" s="269" t="str">
        <f t="shared" si="121"/>
        <v/>
      </c>
      <c r="X189" s="269" t="str">
        <f t="shared" si="121"/>
        <v/>
      </c>
      <c r="Y189" s="269" t="str">
        <f t="shared" si="121"/>
        <v/>
      </c>
      <c r="Z189" s="269" t="str">
        <f t="shared" si="121"/>
        <v/>
      </c>
      <c r="AA189" s="269" t="str">
        <f t="shared" si="121"/>
        <v/>
      </c>
      <c r="AB189" s="269" t="str">
        <f t="shared" si="121"/>
        <v/>
      </c>
      <c r="AC189" s="269" t="str">
        <f t="shared" si="121"/>
        <v/>
      </c>
      <c r="AD189" s="219"/>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row>
    <row r="190" spans="8:58" s="4" customFormat="1" ht="15.75" outlineLevel="1" x14ac:dyDescent="0.25">
      <c r="H190" s="1"/>
      <c r="I190" s="202"/>
      <c r="J190" s="74" t="s">
        <v>120</v>
      </c>
      <c r="K190" s="270"/>
      <c r="L190" s="269">
        <f>L132</f>
        <v>0</v>
      </c>
      <c r="N190" s="269" t="str">
        <f>IFERROR(N132/N$118,"")</f>
        <v/>
      </c>
      <c r="O190" s="269" t="str">
        <f t="shared" ref="O190:AC190" si="122">IFERROR(O132/O$118,"")</f>
        <v/>
      </c>
      <c r="P190" s="269" t="str">
        <f t="shared" si="122"/>
        <v/>
      </c>
      <c r="Q190" s="269" t="str">
        <f t="shared" si="122"/>
        <v/>
      </c>
      <c r="R190" s="269" t="str">
        <f t="shared" si="122"/>
        <v/>
      </c>
      <c r="S190" s="269" t="str">
        <f t="shared" si="122"/>
        <v/>
      </c>
      <c r="T190" s="269" t="str">
        <f t="shared" si="122"/>
        <v/>
      </c>
      <c r="U190" s="269" t="str">
        <f t="shared" si="122"/>
        <v/>
      </c>
      <c r="V190" s="269" t="str">
        <f t="shared" si="122"/>
        <v/>
      </c>
      <c r="W190" s="269" t="str">
        <f t="shared" si="122"/>
        <v/>
      </c>
      <c r="X190" s="269" t="str">
        <f t="shared" si="122"/>
        <v/>
      </c>
      <c r="Y190" s="269" t="str">
        <f t="shared" si="122"/>
        <v/>
      </c>
      <c r="Z190" s="269" t="str">
        <f t="shared" si="122"/>
        <v/>
      </c>
      <c r="AA190" s="269" t="str">
        <f t="shared" si="122"/>
        <v/>
      </c>
      <c r="AB190" s="269" t="str">
        <f t="shared" si="122"/>
        <v/>
      </c>
      <c r="AC190" s="269" t="str">
        <f t="shared" si="122"/>
        <v/>
      </c>
      <c r="AD190" s="219"/>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row>
    <row r="191" spans="8:58" s="4" customFormat="1" ht="15.75" outlineLevel="1" x14ac:dyDescent="0.25">
      <c r="H191" s="1"/>
      <c r="I191" s="202"/>
      <c r="J191" s="210" t="s">
        <v>14</v>
      </c>
      <c r="K191" s="279">
        <f>SUM(K182:K190)</f>
        <v>0</v>
      </c>
      <c r="L191" s="280">
        <f>SUM(L182:L190)</f>
        <v>0</v>
      </c>
      <c r="N191" s="281">
        <f t="shared" ref="N191:AC191" si="123">SUM(N182:N190)</f>
        <v>0</v>
      </c>
      <c r="O191" s="282">
        <f t="shared" si="123"/>
        <v>0</v>
      </c>
      <c r="P191" s="282">
        <f t="shared" si="123"/>
        <v>0</v>
      </c>
      <c r="Q191" s="282">
        <f t="shared" si="123"/>
        <v>0</v>
      </c>
      <c r="R191" s="282">
        <f t="shared" si="123"/>
        <v>0</v>
      </c>
      <c r="S191" s="282">
        <f t="shared" si="123"/>
        <v>0</v>
      </c>
      <c r="T191" s="282">
        <f t="shared" si="123"/>
        <v>0</v>
      </c>
      <c r="U191" s="282">
        <f t="shared" si="123"/>
        <v>0</v>
      </c>
      <c r="V191" s="282">
        <f t="shared" si="123"/>
        <v>0</v>
      </c>
      <c r="W191" s="282">
        <f t="shared" si="123"/>
        <v>0</v>
      </c>
      <c r="X191" s="282">
        <f t="shared" si="123"/>
        <v>0</v>
      </c>
      <c r="Y191" s="282">
        <f t="shared" si="123"/>
        <v>0</v>
      </c>
      <c r="Z191" s="282">
        <f t="shared" si="123"/>
        <v>0</v>
      </c>
      <c r="AA191" s="282">
        <f t="shared" si="123"/>
        <v>0</v>
      </c>
      <c r="AB191" s="282">
        <f t="shared" si="123"/>
        <v>0</v>
      </c>
      <c r="AC191" s="283">
        <f t="shared" si="123"/>
        <v>0</v>
      </c>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row>
    <row r="192" spans="8:58" s="4" customFormat="1" ht="15.75" outlineLevel="1" x14ac:dyDescent="0.25">
      <c r="H192" s="1"/>
      <c r="I192" s="202"/>
      <c r="J192" s="97" t="s">
        <v>122</v>
      </c>
      <c r="K192" s="276"/>
      <c r="L192" s="269">
        <f>L134+L156</f>
        <v>0</v>
      </c>
      <c r="N192" s="269" t="str">
        <f t="shared" ref="N192:AC192" si="124">IFERROR(SUM(N134,N156)/N$118,"")</f>
        <v/>
      </c>
      <c r="O192" s="269" t="str">
        <f t="shared" si="124"/>
        <v/>
      </c>
      <c r="P192" s="269" t="str">
        <f t="shared" si="124"/>
        <v/>
      </c>
      <c r="Q192" s="269" t="str">
        <f t="shared" si="124"/>
        <v/>
      </c>
      <c r="R192" s="269" t="str">
        <f t="shared" si="124"/>
        <v/>
      </c>
      <c r="S192" s="269" t="str">
        <f t="shared" si="124"/>
        <v/>
      </c>
      <c r="T192" s="269" t="str">
        <f t="shared" si="124"/>
        <v/>
      </c>
      <c r="U192" s="269" t="str">
        <f t="shared" si="124"/>
        <v/>
      </c>
      <c r="V192" s="269" t="str">
        <f t="shared" si="124"/>
        <v/>
      </c>
      <c r="W192" s="269" t="str">
        <f t="shared" si="124"/>
        <v/>
      </c>
      <c r="X192" s="269" t="str">
        <f t="shared" si="124"/>
        <v/>
      </c>
      <c r="Y192" s="269" t="str">
        <f t="shared" si="124"/>
        <v/>
      </c>
      <c r="Z192" s="269" t="str">
        <f t="shared" si="124"/>
        <v/>
      </c>
      <c r="AA192" s="269" t="str">
        <f t="shared" si="124"/>
        <v/>
      </c>
      <c r="AB192" s="269" t="str">
        <f t="shared" si="124"/>
        <v/>
      </c>
      <c r="AC192" s="269" t="str">
        <f t="shared" si="124"/>
        <v/>
      </c>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row>
    <row r="193" spans="8:58" s="4" customFormat="1" ht="15.75" outlineLevel="1" x14ac:dyDescent="0.25">
      <c r="H193" s="1"/>
      <c r="I193" s="202"/>
      <c r="J193" s="97" t="s">
        <v>123</v>
      </c>
      <c r="K193" s="276"/>
      <c r="L193" s="269">
        <f>L136+L157</f>
        <v>0</v>
      </c>
      <c r="N193" s="269" t="str">
        <f t="shared" ref="N193:AC193" si="125">IFERROR(SUM(N136,N157)/N$118,"")</f>
        <v/>
      </c>
      <c r="O193" s="269" t="str">
        <f t="shared" si="125"/>
        <v/>
      </c>
      <c r="P193" s="269" t="str">
        <f t="shared" si="125"/>
        <v/>
      </c>
      <c r="Q193" s="269" t="str">
        <f t="shared" si="125"/>
        <v/>
      </c>
      <c r="R193" s="269" t="str">
        <f t="shared" si="125"/>
        <v/>
      </c>
      <c r="S193" s="269" t="str">
        <f t="shared" si="125"/>
        <v/>
      </c>
      <c r="T193" s="269" t="str">
        <f t="shared" si="125"/>
        <v/>
      </c>
      <c r="U193" s="269" t="str">
        <f t="shared" si="125"/>
        <v/>
      </c>
      <c r="V193" s="269" t="str">
        <f t="shared" si="125"/>
        <v/>
      </c>
      <c r="W193" s="269" t="str">
        <f t="shared" si="125"/>
        <v/>
      </c>
      <c r="X193" s="269" t="str">
        <f t="shared" si="125"/>
        <v/>
      </c>
      <c r="Y193" s="269" t="str">
        <f t="shared" si="125"/>
        <v/>
      </c>
      <c r="Z193" s="269" t="str">
        <f t="shared" si="125"/>
        <v/>
      </c>
      <c r="AA193" s="269" t="str">
        <f t="shared" si="125"/>
        <v/>
      </c>
      <c r="AB193" s="269" t="str">
        <f t="shared" si="125"/>
        <v/>
      </c>
      <c r="AC193" s="269" t="str">
        <f t="shared" si="125"/>
        <v/>
      </c>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row>
    <row r="194" spans="8:58" ht="15.75" outlineLevel="1" x14ac:dyDescent="0.25">
      <c r="I194" s="202"/>
      <c r="J194" s="31" t="s">
        <v>124</v>
      </c>
      <c r="K194" s="276"/>
      <c r="L194" s="269">
        <f>L137</f>
        <v>0</v>
      </c>
      <c r="N194" s="269" t="str">
        <f t="shared" ref="N194:AC194" si="126">IFERROR(N137/N$118,"")</f>
        <v/>
      </c>
      <c r="O194" s="272" t="str">
        <f t="shared" si="126"/>
        <v/>
      </c>
      <c r="P194" s="272" t="str">
        <f t="shared" si="126"/>
        <v/>
      </c>
      <c r="Q194" s="272" t="str">
        <f t="shared" si="126"/>
        <v/>
      </c>
      <c r="R194" s="272" t="str">
        <f t="shared" si="126"/>
        <v/>
      </c>
      <c r="S194" s="272" t="str">
        <f t="shared" si="126"/>
        <v/>
      </c>
      <c r="T194" s="272" t="str">
        <f t="shared" si="126"/>
        <v/>
      </c>
      <c r="U194" s="272" t="str">
        <f t="shared" si="126"/>
        <v/>
      </c>
      <c r="V194" s="272" t="str">
        <f t="shared" si="126"/>
        <v/>
      </c>
      <c r="W194" s="272" t="str">
        <f t="shared" si="126"/>
        <v/>
      </c>
      <c r="X194" s="272" t="str">
        <f t="shared" si="126"/>
        <v/>
      </c>
      <c r="Y194" s="272" t="str">
        <f t="shared" si="126"/>
        <v/>
      </c>
      <c r="Z194" s="272" t="str">
        <f t="shared" si="126"/>
        <v/>
      </c>
      <c r="AA194" s="272" t="str">
        <f t="shared" si="126"/>
        <v/>
      </c>
      <c r="AB194" s="272" t="str">
        <f t="shared" si="126"/>
        <v/>
      </c>
      <c r="AC194" s="273" t="str">
        <f t="shared" si="126"/>
        <v/>
      </c>
      <c r="AD194" s="1"/>
      <c r="AE194" s="1"/>
    </row>
    <row r="195" spans="8:58" ht="15.75" outlineLevel="1" x14ac:dyDescent="0.25">
      <c r="I195" s="202"/>
      <c r="J195" s="222" t="s">
        <v>157</v>
      </c>
      <c r="K195" s="284">
        <f>SUM(K191:K194)</f>
        <v>0</v>
      </c>
      <c r="L195" s="285">
        <f>SUM(L191:L194)</f>
        <v>0</v>
      </c>
      <c r="N195" s="285">
        <f t="shared" ref="N195:AC195" si="127">SUM(N191:N194)</f>
        <v>0</v>
      </c>
      <c r="O195" s="284">
        <f t="shared" si="127"/>
        <v>0</v>
      </c>
      <c r="P195" s="284">
        <f t="shared" si="127"/>
        <v>0</v>
      </c>
      <c r="Q195" s="284">
        <f t="shared" si="127"/>
        <v>0</v>
      </c>
      <c r="R195" s="284">
        <f t="shared" si="127"/>
        <v>0</v>
      </c>
      <c r="S195" s="284">
        <f t="shared" si="127"/>
        <v>0</v>
      </c>
      <c r="T195" s="284">
        <f t="shared" si="127"/>
        <v>0</v>
      </c>
      <c r="U195" s="284">
        <f t="shared" si="127"/>
        <v>0</v>
      </c>
      <c r="V195" s="284">
        <f t="shared" si="127"/>
        <v>0</v>
      </c>
      <c r="W195" s="284">
        <f t="shared" si="127"/>
        <v>0</v>
      </c>
      <c r="X195" s="284">
        <f t="shared" si="127"/>
        <v>0</v>
      </c>
      <c r="Y195" s="284">
        <f t="shared" si="127"/>
        <v>0</v>
      </c>
      <c r="Z195" s="284">
        <f t="shared" si="127"/>
        <v>0</v>
      </c>
      <c r="AA195" s="284">
        <f t="shared" si="127"/>
        <v>0</v>
      </c>
      <c r="AB195" s="284">
        <f t="shared" si="127"/>
        <v>0</v>
      </c>
      <c r="AC195" s="286">
        <f t="shared" si="127"/>
        <v>0</v>
      </c>
      <c r="AD195" s="1"/>
      <c r="AE195" s="1"/>
    </row>
    <row r="196" spans="8:58" s="4" customFormat="1" ht="15.75" outlineLevel="1" x14ac:dyDescent="0.25">
      <c r="H196" s="1"/>
      <c r="J196" s="31"/>
      <c r="K196" s="164"/>
      <c r="L196" s="164"/>
      <c r="M196" s="1"/>
      <c r="N196" s="31"/>
      <c r="O196" s="31"/>
      <c r="P196" s="31"/>
      <c r="Q196" s="31"/>
      <c r="R196" s="31"/>
      <c r="S196" s="31"/>
      <c r="T196" s="31"/>
      <c r="U196" s="31"/>
      <c r="V196" s="31"/>
      <c r="W196" s="31"/>
      <c r="X196" s="31"/>
      <c r="Y196" s="31"/>
      <c r="Z196" s="31"/>
      <c r="AA196" s="31"/>
      <c r="AB196" s="31"/>
      <c r="AC196" s="3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row>
    <row r="197" spans="8:58" ht="18" x14ac:dyDescent="0.2">
      <c r="I197" s="104" t="s">
        <v>158</v>
      </c>
      <c r="J197" s="105" t="s">
        <v>159</v>
      </c>
      <c r="K197" s="105"/>
      <c r="L197" s="105"/>
      <c r="M197" s="106"/>
      <c r="N197" s="107">
        <f>N$11</f>
        <v>2024</v>
      </c>
      <c r="O197" s="107">
        <f t="shared" ref="O197:AC197" si="128">O$11</f>
        <v>2025</v>
      </c>
      <c r="P197" s="107">
        <f t="shared" si="128"/>
        <v>2026</v>
      </c>
      <c r="Q197" s="107">
        <f t="shared" si="128"/>
        <v>2027</v>
      </c>
      <c r="R197" s="107">
        <f t="shared" si="128"/>
        <v>2028</v>
      </c>
      <c r="S197" s="107">
        <f t="shared" si="128"/>
        <v>2029</v>
      </c>
      <c r="T197" s="107">
        <f t="shared" si="128"/>
        <v>2030</v>
      </c>
      <c r="U197" s="107">
        <f t="shared" si="128"/>
        <v>2031</v>
      </c>
      <c r="V197" s="107">
        <f t="shared" si="128"/>
        <v>2032</v>
      </c>
      <c r="W197" s="107">
        <f t="shared" si="128"/>
        <v>2033</v>
      </c>
      <c r="X197" s="107">
        <f t="shared" si="128"/>
        <v>2034</v>
      </c>
      <c r="Y197" s="107">
        <f t="shared" si="128"/>
        <v>2035</v>
      </c>
      <c r="Z197" s="107">
        <f t="shared" si="128"/>
        <v>2036</v>
      </c>
      <c r="AA197" s="107">
        <f t="shared" si="128"/>
        <v>2037</v>
      </c>
      <c r="AB197" s="107">
        <f t="shared" si="128"/>
        <v>2038</v>
      </c>
      <c r="AC197" s="107">
        <f t="shared" si="128"/>
        <v>2039</v>
      </c>
      <c r="AD197" s="1"/>
      <c r="AE197" s="1"/>
    </row>
    <row r="198" spans="8:58" s="4" customFormat="1" ht="15.75" x14ac:dyDescent="0.25">
      <c r="H198" s="1"/>
      <c r="I198" s="99">
        <v>1</v>
      </c>
      <c r="J198" s="544" t="s">
        <v>160</v>
      </c>
      <c r="K198" s="31"/>
      <c r="L198" s="169"/>
      <c r="M198" s="1"/>
      <c r="N198" s="31"/>
      <c r="O198" s="31"/>
      <c r="P198" s="31"/>
      <c r="Q198" s="31"/>
      <c r="R198" s="31"/>
      <c r="S198" s="31"/>
      <c r="T198" s="31"/>
      <c r="U198" s="31"/>
      <c r="V198" s="31"/>
      <c r="W198" s="31"/>
      <c r="X198" s="31"/>
      <c r="Y198" s="31"/>
      <c r="Z198" s="31"/>
      <c r="AA198" s="31"/>
      <c r="AB198" s="31"/>
      <c r="AC198" s="3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row>
    <row r="199" spans="8:58" s="4" customFormat="1" ht="15.75" x14ac:dyDescent="0.25">
      <c r="H199" s="1"/>
      <c r="I199" s="99"/>
      <c r="J199" s="545" t="s">
        <v>161</v>
      </c>
      <c r="K199" s="31"/>
      <c r="L199" s="287"/>
      <c r="M199" s="1"/>
      <c r="N199" s="844">
        <f t="shared" ref="N199:AC199" si="129">N240</f>
        <v>0</v>
      </c>
      <c r="O199" s="844">
        <f t="shared" si="129"/>
        <v>0</v>
      </c>
      <c r="P199" s="844">
        <f t="shared" si="129"/>
        <v>0</v>
      </c>
      <c r="Q199" s="844">
        <f t="shared" si="129"/>
        <v>0</v>
      </c>
      <c r="R199" s="844">
        <f t="shared" si="129"/>
        <v>0</v>
      </c>
      <c r="S199" s="844">
        <f t="shared" si="129"/>
        <v>0</v>
      </c>
      <c r="T199" s="844">
        <f t="shared" si="129"/>
        <v>0</v>
      </c>
      <c r="U199" s="844">
        <f t="shared" si="129"/>
        <v>0</v>
      </c>
      <c r="V199" s="844">
        <f t="shared" si="129"/>
        <v>0</v>
      </c>
      <c r="W199" s="844">
        <f t="shared" si="129"/>
        <v>0</v>
      </c>
      <c r="X199" s="844">
        <f t="shared" si="129"/>
        <v>0</v>
      </c>
      <c r="Y199" s="844">
        <f t="shared" si="129"/>
        <v>0</v>
      </c>
      <c r="Z199" s="844">
        <f t="shared" si="129"/>
        <v>0</v>
      </c>
      <c r="AA199" s="844">
        <f t="shared" si="129"/>
        <v>0</v>
      </c>
      <c r="AB199" s="844">
        <f t="shared" si="129"/>
        <v>0</v>
      </c>
      <c r="AC199" s="844">
        <f t="shared" si="129"/>
        <v>0</v>
      </c>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row>
    <row r="200" spans="8:58" s="4" customFormat="1" ht="15.75" x14ac:dyDescent="0.25">
      <c r="H200" s="1"/>
      <c r="I200" s="99"/>
      <c r="J200" s="545" t="s">
        <v>30</v>
      </c>
      <c r="K200" s="31"/>
      <c r="L200" s="287"/>
      <c r="M200" s="1"/>
      <c r="N200" s="844">
        <f t="shared" ref="N200:AC200" si="130">N118*IF(N78&lt;N79,N78,N79)/N78</f>
        <v>0</v>
      </c>
      <c r="O200" s="844">
        <f t="shared" si="130"/>
        <v>0</v>
      </c>
      <c r="P200" s="844">
        <f t="shared" si="130"/>
        <v>0</v>
      </c>
      <c r="Q200" s="844">
        <f t="shared" si="130"/>
        <v>0</v>
      </c>
      <c r="R200" s="844">
        <f t="shared" si="130"/>
        <v>0</v>
      </c>
      <c r="S200" s="844">
        <f t="shared" si="130"/>
        <v>0</v>
      </c>
      <c r="T200" s="844">
        <f t="shared" si="130"/>
        <v>0</v>
      </c>
      <c r="U200" s="844">
        <f t="shared" si="130"/>
        <v>0</v>
      </c>
      <c r="V200" s="844">
        <f t="shared" si="130"/>
        <v>0</v>
      </c>
      <c r="W200" s="844">
        <f t="shared" si="130"/>
        <v>0</v>
      </c>
      <c r="X200" s="844">
        <f t="shared" si="130"/>
        <v>0</v>
      </c>
      <c r="Y200" s="844">
        <f t="shared" si="130"/>
        <v>0</v>
      </c>
      <c r="Z200" s="844">
        <f t="shared" si="130"/>
        <v>0</v>
      </c>
      <c r="AA200" s="844">
        <f t="shared" si="130"/>
        <v>0</v>
      </c>
      <c r="AB200" s="844">
        <f t="shared" si="130"/>
        <v>0</v>
      </c>
      <c r="AC200" s="844">
        <f t="shared" si="130"/>
        <v>0</v>
      </c>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row>
    <row r="201" spans="8:58" s="4" customFormat="1" ht="15.75" x14ac:dyDescent="0.25">
      <c r="H201" s="1"/>
      <c r="I201" s="99"/>
      <c r="J201" s="545" t="s">
        <v>295</v>
      </c>
      <c r="K201" s="31"/>
      <c r="L201" s="287"/>
      <c r="M201" s="1"/>
      <c r="N201" s="844">
        <f t="shared" ref="N201:AC201" si="131">-(SUM(N119:N123)+N148)*IF(N78&lt;N81,N78,N81)/N78</f>
        <v>0</v>
      </c>
      <c r="O201" s="844">
        <f t="shared" si="131"/>
        <v>0</v>
      </c>
      <c r="P201" s="844">
        <f t="shared" si="131"/>
        <v>0</v>
      </c>
      <c r="Q201" s="844">
        <f t="shared" si="131"/>
        <v>0</v>
      </c>
      <c r="R201" s="844">
        <f t="shared" si="131"/>
        <v>0</v>
      </c>
      <c r="S201" s="844">
        <f t="shared" si="131"/>
        <v>0</v>
      </c>
      <c r="T201" s="844">
        <f t="shared" si="131"/>
        <v>0</v>
      </c>
      <c r="U201" s="844">
        <f t="shared" si="131"/>
        <v>0</v>
      </c>
      <c r="V201" s="844">
        <f t="shared" si="131"/>
        <v>0</v>
      </c>
      <c r="W201" s="844">
        <f t="shared" si="131"/>
        <v>0</v>
      </c>
      <c r="X201" s="844">
        <f t="shared" si="131"/>
        <v>0</v>
      </c>
      <c r="Y201" s="844">
        <f t="shared" si="131"/>
        <v>0</v>
      </c>
      <c r="Z201" s="844">
        <f t="shared" si="131"/>
        <v>0</v>
      </c>
      <c r="AA201" s="844">
        <f t="shared" si="131"/>
        <v>0</v>
      </c>
      <c r="AB201" s="844">
        <f t="shared" si="131"/>
        <v>0</v>
      </c>
      <c r="AC201" s="844">
        <f t="shared" si="131"/>
        <v>0</v>
      </c>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row>
    <row r="202" spans="8:58" s="4" customFormat="1" ht="15.75" x14ac:dyDescent="0.25">
      <c r="H202" s="1"/>
      <c r="I202" s="99"/>
      <c r="J202" s="545" t="s">
        <v>296</v>
      </c>
      <c r="K202" s="31"/>
      <c r="L202" s="287"/>
      <c r="M202" s="1"/>
      <c r="N202" s="844">
        <f t="shared" ref="N202:AC202" si="132">-(SUM(N$119:N$123)+SUM(N$126:N$129)*$K$82+SUM(N$149:N$150)*$K$82)*IF(N$78&lt;N82,N$78,N82)/N$78</f>
        <v>0</v>
      </c>
      <c r="O202" s="844">
        <f t="shared" si="132"/>
        <v>0</v>
      </c>
      <c r="P202" s="844">
        <f t="shared" si="132"/>
        <v>0</v>
      </c>
      <c r="Q202" s="844">
        <f t="shared" si="132"/>
        <v>0</v>
      </c>
      <c r="R202" s="844">
        <f t="shared" si="132"/>
        <v>0</v>
      </c>
      <c r="S202" s="844">
        <f t="shared" si="132"/>
        <v>0</v>
      </c>
      <c r="T202" s="844">
        <f t="shared" si="132"/>
        <v>0</v>
      </c>
      <c r="U202" s="844">
        <f t="shared" si="132"/>
        <v>0</v>
      </c>
      <c r="V202" s="844">
        <f t="shared" si="132"/>
        <v>0</v>
      </c>
      <c r="W202" s="844">
        <f t="shared" si="132"/>
        <v>0</v>
      </c>
      <c r="X202" s="844">
        <f t="shared" si="132"/>
        <v>0</v>
      </c>
      <c r="Y202" s="844">
        <f t="shared" si="132"/>
        <v>0</v>
      </c>
      <c r="Z202" s="844">
        <f t="shared" si="132"/>
        <v>0</v>
      </c>
      <c r="AA202" s="844">
        <f t="shared" si="132"/>
        <v>0</v>
      </c>
      <c r="AB202" s="844">
        <f t="shared" si="132"/>
        <v>0</v>
      </c>
      <c r="AC202" s="844">
        <f t="shared" si="132"/>
        <v>0</v>
      </c>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row>
    <row r="203" spans="8:58" s="4" customFormat="1" ht="15.75" x14ac:dyDescent="0.25">
      <c r="H203" s="1"/>
      <c r="I203" s="99"/>
      <c r="J203" s="545" t="s">
        <v>458</v>
      </c>
      <c r="K203" s="31"/>
      <c r="L203" s="287"/>
      <c r="M203" s="1"/>
      <c r="N203" s="844">
        <f t="shared" ref="N203:AC203" si="133">-(SUM(N$119:N$123)+SUM(N$126:N$129)+SUM(N$149:N$150))*IF(N$78&lt;N83,N$78,N83)/N$78</f>
        <v>0</v>
      </c>
      <c r="O203" s="844">
        <f t="shared" si="133"/>
        <v>0</v>
      </c>
      <c r="P203" s="844">
        <f t="shared" si="133"/>
        <v>0</v>
      </c>
      <c r="Q203" s="844">
        <f t="shared" si="133"/>
        <v>0</v>
      </c>
      <c r="R203" s="844">
        <f t="shared" si="133"/>
        <v>0</v>
      </c>
      <c r="S203" s="844">
        <f t="shared" si="133"/>
        <v>0</v>
      </c>
      <c r="T203" s="844">
        <f t="shared" si="133"/>
        <v>0</v>
      </c>
      <c r="U203" s="844">
        <f t="shared" si="133"/>
        <v>0</v>
      </c>
      <c r="V203" s="844">
        <f t="shared" si="133"/>
        <v>0</v>
      </c>
      <c r="W203" s="844">
        <f t="shared" si="133"/>
        <v>0</v>
      </c>
      <c r="X203" s="844">
        <f t="shared" si="133"/>
        <v>0</v>
      </c>
      <c r="Y203" s="844">
        <f t="shared" si="133"/>
        <v>0</v>
      </c>
      <c r="Z203" s="844">
        <f t="shared" si="133"/>
        <v>0</v>
      </c>
      <c r="AA203" s="844">
        <f t="shared" si="133"/>
        <v>0</v>
      </c>
      <c r="AB203" s="844">
        <f t="shared" si="133"/>
        <v>0</v>
      </c>
      <c r="AC203" s="844">
        <f t="shared" si="133"/>
        <v>0</v>
      </c>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row>
    <row r="204" spans="8:58" s="4" customFormat="1" ht="15.75" x14ac:dyDescent="0.25">
      <c r="H204" s="1"/>
      <c r="I204" s="99"/>
      <c r="J204" s="545" t="s">
        <v>298</v>
      </c>
      <c r="K204" s="31"/>
      <c r="L204" s="287"/>
      <c r="M204" s="1"/>
      <c r="N204" s="844">
        <f t="shared" ref="N204:AC204" si="134">-(SUM(N$119:N$123)+SUM(N$126:N$129)+SUM(N$149:N$150))*IF(N$78&lt;N84,N$78,N84)/N$78</f>
        <v>0</v>
      </c>
      <c r="O204" s="844">
        <f t="shared" si="134"/>
        <v>0</v>
      </c>
      <c r="P204" s="844">
        <f t="shared" si="134"/>
        <v>0</v>
      </c>
      <c r="Q204" s="844">
        <f t="shared" si="134"/>
        <v>0</v>
      </c>
      <c r="R204" s="844">
        <f t="shared" si="134"/>
        <v>0</v>
      </c>
      <c r="S204" s="844">
        <f t="shared" si="134"/>
        <v>0</v>
      </c>
      <c r="T204" s="844">
        <f t="shared" si="134"/>
        <v>0</v>
      </c>
      <c r="U204" s="844">
        <f t="shared" si="134"/>
        <v>0</v>
      </c>
      <c r="V204" s="844">
        <f t="shared" si="134"/>
        <v>0</v>
      </c>
      <c r="W204" s="844">
        <f t="shared" si="134"/>
        <v>0</v>
      </c>
      <c r="X204" s="844">
        <f t="shared" si="134"/>
        <v>0</v>
      </c>
      <c r="Y204" s="844">
        <f t="shared" si="134"/>
        <v>0</v>
      </c>
      <c r="Z204" s="844">
        <f t="shared" si="134"/>
        <v>0</v>
      </c>
      <c r="AA204" s="844">
        <f t="shared" si="134"/>
        <v>0</v>
      </c>
      <c r="AB204" s="844">
        <f t="shared" si="134"/>
        <v>0</v>
      </c>
      <c r="AC204" s="844">
        <f t="shared" si="134"/>
        <v>0</v>
      </c>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row>
    <row r="205" spans="8:58" s="4" customFormat="1" ht="15.75" x14ac:dyDescent="0.25">
      <c r="H205" s="1"/>
      <c r="I205" s="99"/>
      <c r="J205" s="545" t="s">
        <v>162</v>
      </c>
      <c r="K205" s="31"/>
      <c r="L205" s="287"/>
      <c r="M205" s="1"/>
      <c r="N205" s="844">
        <f t="shared" ref="N205:AC205" si="135">N118*N85</f>
        <v>0</v>
      </c>
      <c r="O205" s="844">
        <f t="shared" si="135"/>
        <v>0</v>
      </c>
      <c r="P205" s="844">
        <f t="shared" si="135"/>
        <v>0</v>
      </c>
      <c r="Q205" s="844">
        <f t="shared" si="135"/>
        <v>0</v>
      </c>
      <c r="R205" s="844">
        <f t="shared" si="135"/>
        <v>0</v>
      </c>
      <c r="S205" s="844">
        <f t="shared" si="135"/>
        <v>0</v>
      </c>
      <c r="T205" s="844">
        <f t="shared" si="135"/>
        <v>0</v>
      </c>
      <c r="U205" s="844">
        <f t="shared" si="135"/>
        <v>0</v>
      </c>
      <c r="V205" s="844">
        <f t="shared" si="135"/>
        <v>0</v>
      </c>
      <c r="W205" s="844">
        <f t="shared" si="135"/>
        <v>0</v>
      </c>
      <c r="X205" s="844">
        <f t="shared" si="135"/>
        <v>0</v>
      </c>
      <c r="Y205" s="844">
        <f t="shared" si="135"/>
        <v>0</v>
      </c>
      <c r="Z205" s="844">
        <f t="shared" si="135"/>
        <v>0</v>
      </c>
      <c r="AA205" s="844">
        <f t="shared" si="135"/>
        <v>0</v>
      </c>
      <c r="AB205" s="844">
        <f t="shared" si="135"/>
        <v>0</v>
      </c>
      <c r="AC205" s="844">
        <f t="shared" si="135"/>
        <v>0</v>
      </c>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row>
    <row r="206" spans="8:58" s="4" customFormat="1" ht="15.75" x14ac:dyDescent="0.25">
      <c r="H206" s="1"/>
      <c r="I206" s="99"/>
      <c r="J206" s="545" t="s">
        <v>163</v>
      </c>
      <c r="K206" s="31"/>
      <c r="L206" s="287"/>
      <c r="M206" s="1"/>
      <c r="N206" s="844">
        <f t="shared" ref="N206:AC206" si="136">N86</f>
        <v>0</v>
      </c>
      <c r="O206" s="844">
        <f t="shared" si="136"/>
        <v>0</v>
      </c>
      <c r="P206" s="844">
        <f t="shared" si="136"/>
        <v>0</v>
      </c>
      <c r="Q206" s="844">
        <f t="shared" si="136"/>
        <v>0</v>
      </c>
      <c r="R206" s="844">
        <f t="shared" si="136"/>
        <v>0</v>
      </c>
      <c r="S206" s="844">
        <f t="shared" si="136"/>
        <v>0</v>
      </c>
      <c r="T206" s="844">
        <f t="shared" si="136"/>
        <v>0</v>
      </c>
      <c r="U206" s="844">
        <f t="shared" si="136"/>
        <v>0</v>
      </c>
      <c r="V206" s="844">
        <f t="shared" si="136"/>
        <v>0</v>
      </c>
      <c r="W206" s="844">
        <f t="shared" si="136"/>
        <v>0</v>
      </c>
      <c r="X206" s="844">
        <f t="shared" si="136"/>
        <v>0</v>
      </c>
      <c r="Y206" s="844">
        <f t="shared" si="136"/>
        <v>0</v>
      </c>
      <c r="Z206" s="844">
        <f t="shared" si="136"/>
        <v>0</v>
      </c>
      <c r="AA206" s="844">
        <f t="shared" si="136"/>
        <v>0</v>
      </c>
      <c r="AB206" s="844">
        <f t="shared" si="136"/>
        <v>0</v>
      </c>
      <c r="AC206" s="844">
        <f t="shared" si="136"/>
        <v>0</v>
      </c>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row>
    <row r="207" spans="8:58" s="4" customFormat="1" ht="15.75" x14ac:dyDescent="0.25">
      <c r="H207" s="1"/>
      <c r="I207" s="99"/>
      <c r="J207" s="545" t="s">
        <v>164</v>
      </c>
      <c r="K207" s="31"/>
      <c r="L207" s="287"/>
      <c r="M207" s="1"/>
      <c r="N207" s="844">
        <f>N299</f>
        <v>0</v>
      </c>
      <c r="O207" s="844">
        <f t="shared" ref="O207:AC207" si="137">O299</f>
        <v>0</v>
      </c>
      <c r="P207" s="844">
        <f t="shared" si="137"/>
        <v>0</v>
      </c>
      <c r="Q207" s="844">
        <f t="shared" si="137"/>
        <v>0</v>
      </c>
      <c r="R207" s="844">
        <f t="shared" si="137"/>
        <v>0</v>
      </c>
      <c r="S207" s="844">
        <f t="shared" si="137"/>
        <v>0</v>
      </c>
      <c r="T207" s="844">
        <f t="shared" si="137"/>
        <v>0</v>
      </c>
      <c r="U207" s="844">
        <f t="shared" si="137"/>
        <v>0</v>
      </c>
      <c r="V207" s="844">
        <f t="shared" si="137"/>
        <v>0</v>
      </c>
      <c r="W207" s="844">
        <f t="shared" si="137"/>
        <v>0</v>
      </c>
      <c r="X207" s="844">
        <f t="shared" si="137"/>
        <v>0</v>
      </c>
      <c r="Y207" s="844">
        <f t="shared" si="137"/>
        <v>0</v>
      </c>
      <c r="Z207" s="844">
        <f t="shared" si="137"/>
        <v>0</v>
      </c>
      <c r="AA207" s="844">
        <f t="shared" si="137"/>
        <v>0</v>
      </c>
      <c r="AB207" s="844">
        <f t="shared" si="137"/>
        <v>0</v>
      </c>
      <c r="AC207" s="844">
        <f t="shared" si="137"/>
        <v>0</v>
      </c>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row>
    <row r="208" spans="8:58" s="4" customFormat="1" ht="15.75" x14ac:dyDescent="0.25">
      <c r="H208" s="1"/>
      <c r="I208" s="99"/>
      <c r="J208" s="545" t="s">
        <v>165</v>
      </c>
      <c r="K208" s="31"/>
      <c r="L208" s="289"/>
      <c r="M208" s="1"/>
      <c r="N208" s="844">
        <f t="shared" ref="N208:AC208" si="138">N295</f>
        <v>0</v>
      </c>
      <c r="O208" s="844">
        <f t="shared" si="138"/>
        <v>0</v>
      </c>
      <c r="P208" s="844">
        <f t="shared" si="138"/>
        <v>0</v>
      </c>
      <c r="Q208" s="844">
        <f t="shared" si="138"/>
        <v>0</v>
      </c>
      <c r="R208" s="844">
        <f t="shared" si="138"/>
        <v>0</v>
      </c>
      <c r="S208" s="844">
        <f t="shared" si="138"/>
        <v>0</v>
      </c>
      <c r="T208" s="844">
        <f t="shared" si="138"/>
        <v>0</v>
      </c>
      <c r="U208" s="844">
        <f t="shared" si="138"/>
        <v>0</v>
      </c>
      <c r="V208" s="844">
        <f t="shared" si="138"/>
        <v>0</v>
      </c>
      <c r="W208" s="844">
        <f t="shared" si="138"/>
        <v>0</v>
      </c>
      <c r="X208" s="844">
        <f t="shared" si="138"/>
        <v>0</v>
      </c>
      <c r="Y208" s="844">
        <f t="shared" si="138"/>
        <v>0</v>
      </c>
      <c r="Z208" s="844">
        <f t="shared" si="138"/>
        <v>0</v>
      </c>
      <c r="AA208" s="844">
        <f t="shared" si="138"/>
        <v>0</v>
      </c>
      <c r="AB208" s="844">
        <f t="shared" si="138"/>
        <v>0</v>
      </c>
      <c r="AC208" s="844">
        <f t="shared" si="138"/>
        <v>0</v>
      </c>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row>
    <row r="209" spans="8:58" s="4" customFormat="1" thickBot="1" x14ac:dyDescent="0.3">
      <c r="H209" s="1"/>
      <c r="I209" s="99"/>
      <c r="J209" s="558" t="s">
        <v>166</v>
      </c>
      <c r="K209" s="263"/>
      <c r="L209" s="290"/>
      <c r="M209" s="1"/>
      <c r="N209" s="837">
        <f t="shared" ref="N209:AC209" si="139">SUM(N199:N208)</f>
        <v>0</v>
      </c>
      <c r="O209" s="837">
        <f t="shared" si="139"/>
        <v>0</v>
      </c>
      <c r="P209" s="837">
        <f t="shared" si="139"/>
        <v>0</v>
      </c>
      <c r="Q209" s="837">
        <f t="shared" si="139"/>
        <v>0</v>
      </c>
      <c r="R209" s="837">
        <f t="shared" si="139"/>
        <v>0</v>
      </c>
      <c r="S209" s="837">
        <f t="shared" si="139"/>
        <v>0</v>
      </c>
      <c r="T209" s="837">
        <f t="shared" si="139"/>
        <v>0</v>
      </c>
      <c r="U209" s="837">
        <f t="shared" si="139"/>
        <v>0</v>
      </c>
      <c r="V209" s="837">
        <f t="shared" si="139"/>
        <v>0</v>
      </c>
      <c r="W209" s="837">
        <f t="shared" si="139"/>
        <v>0</v>
      </c>
      <c r="X209" s="837">
        <f t="shared" si="139"/>
        <v>0</v>
      </c>
      <c r="Y209" s="837">
        <f t="shared" si="139"/>
        <v>0</v>
      </c>
      <c r="Z209" s="837">
        <f t="shared" si="139"/>
        <v>0</v>
      </c>
      <c r="AA209" s="837">
        <f t="shared" si="139"/>
        <v>0</v>
      </c>
      <c r="AB209" s="837">
        <f t="shared" si="139"/>
        <v>0</v>
      </c>
      <c r="AC209" s="837">
        <f t="shared" si="139"/>
        <v>0</v>
      </c>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row>
    <row r="210" spans="8:58" s="4" customFormat="1" thickTop="1" x14ac:dyDescent="0.25">
      <c r="H210" s="1"/>
      <c r="I210" s="99">
        <v>2</v>
      </c>
      <c r="J210" s="544" t="s">
        <v>167</v>
      </c>
      <c r="K210" s="31"/>
      <c r="L210" s="287"/>
      <c r="M210" s="1"/>
      <c r="N210" s="291"/>
      <c r="O210" s="291"/>
      <c r="P210" s="291"/>
      <c r="Q210" s="291"/>
      <c r="R210" s="291"/>
      <c r="S210" s="291"/>
      <c r="T210" s="291"/>
      <c r="U210" s="291"/>
      <c r="V210" s="291"/>
      <c r="W210" s="291"/>
      <c r="X210" s="291"/>
      <c r="Y210" s="291"/>
      <c r="Z210" s="291"/>
      <c r="AA210" s="291"/>
      <c r="AB210" s="291"/>
      <c r="AC210" s="29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row>
    <row r="211" spans="8:58" s="4" customFormat="1" ht="15.75" x14ac:dyDescent="0.25">
      <c r="H211" s="1"/>
      <c r="I211" s="99"/>
      <c r="J211" s="545" t="s">
        <v>168</v>
      </c>
      <c r="K211" s="31"/>
      <c r="L211" s="287"/>
      <c r="M211" s="1"/>
      <c r="N211" s="844">
        <f t="shared" ref="N211:AC211" si="140">-(SUM(N119:N123)+SUM(N127,N129))*IF(N78&lt;N88,N78,N88)/N78</f>
        <v>0</v>
      </c>
      <c r="O211" s="844">
        <f t="shared" si="140"/>
        <v>0</v>
      </c>
      <c r="P211" s="844">
        <f t="shared" si="140"/>
        <v>0</v>
      </c>
      <c r="Q211" s="844">
        <f t="shared" si="140"/>
        <v>0</v>
      </c>
      <c r="R211" s="844">
        <f t="shared" si="140"/>
        <v>0</v>
      </c>
      <c r="S211" s="844">
        <f t="shared" si="140"/>
        <v>0</v>
      </c>
      <c r="T211" s="844">
        <f t="shared" si="140"/>
        <v>0</v>
      </c>
      <c r="U211" s="844">
        <f t="shared" si="140"/>
        <v>0</v>
      </c>
      <c r="V211" s="844">
        <f t="shared" si="140"/>
        <v>0</v>
      </c>
      <c r="W211" s="844">
        <f t="shared" si="140"/>
        <v>0</v>
      </c>
      <c r="X211" s="844">
        <f t="shared" si="140"/>
        <v>0</v>
      </c>
      <c r="Y211" s="844">
        <f t="shared" si="140"/>
        <v>0</v>
      </c>
      <c r="Z211" s="844">
        <f t="shared" si="140"/>
        <v>0</v>
      </c>
      <c r="AA211" s="844">
        <f t="shared" si="140"/>
        <v>0</v>
      </c>
      <c r="AB211" s="844">
        <f t="shared" si="140"/>
        <v>0</v>
      </c>
      <c r="AC211" s="844">
        <f t="shared" si="140"/>
        <v>0</v>
      </c>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row>
    <row r="212" spans="8:58" s="4" customFormat="1" ht="15.75" x14ac:dyDescent="0.25">
      <c r="H212" s="1"/>
      <c r="I212" s="99"/>
      <c r="J212" s="545" t="s">
        <v>169</v>
      </c>
      <c r="K212" s="31"/>
      <c r="L212" s="287"/>
      <c r="M212" s="1"/>
      <c r="N212" s="844">
        <f t="shared" ref="N212:AC212" si="141">N89*N118</f>
        <v>0</v>
      </c>
      <c r="O212" s="844">
        <f t="shared" si="141"/>
        <v>0</v>
      </c>
      <c r="P212" s="844">
        <f t="shared" si="141"/>
        <v>0</v>
      </c>
      <c r="Q212" s="844">
        <f t="shared" si="141"/>
        <v>0</v>
      </c>
      <c r="R212" s="844">
        <f t="shared" si="141"/>
        <v>0</v>
      </c>
      <c r="S212" s="844">
        <f t="shared" si="141"/>
        <v>0</v>
      </c>
      <c r="T212" s="844">
        <f t="shared" si="141"/>
        <v>0</v>
      </c>
      <c r="U212" s="844">
        <f t="shared" si="141"/>
        <v>0</v>
      </c>
      <c r="V212" s="844">
        <f t="shared" si="141"/>
        <v>0</v>
      </c>
      <c r="W212" s="844">
        <f t="shared" si="141"/>
        <v>0</v>
      </c>
      <c r="X212" s="844">
        <f t="shared" si="141"/>
        <v>0</v>
      </c>
      <c r="Y212" s="844">
        <f t="shared" si="141"/>
        <v>0</v>
      </c>
      <c r="Z212" s="844">
        <f t="shared" si="141"/>
        <v>0</v>
      </c>
      <c r="AA212" s="844">
        <f t="shared" si="141"/>
        <v>0</v>
      </c>
      <c r="AB212" s="844">
        <f t="shared" si="141"/>
        <v>0</v>
      </c>
      <c r="AC212" s="844">
        <f t="shared" si="141"/>
        <v>0</v>
      </c>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row>
    <row r="213" spans="8:58" s="4" customFormat="1" ht="15.75" x14ac:dyDescent="0.25">
      <c r="H213" s="1"/>
      <c r="I213" s="99"/>
      <c r="J213" s="545" t="s">
        <v>170</v>
      </c>
      <c r="K213" s="31"/>
      <c r="L213" s="289"/>
      <c r="M213" s="1"/>
      <c r="N213" s="844">
        <f t="shared" ref="N213:AC213" si="142">N303</f>
        <v>0</v>
      </c>
      <c r="O213" s="844">
        <f t="shared" si="142"/>
        <v>0</v>
      </c>
      <c r="P213" s="844">
        <f t="shared" si="142"/>
        <v>0</v>
      </c>
      <c r="Q213" s="844">
        <f t="shared" si="142"/>
        <v>0</v>
      </c>
      <c r="R213" s="844">
        <f t="shared" si="142"/>
        <v>0</v>
      </c>
      <c r="S213" s="844">
        <f t="shared" si="142"/>
        <v>0</v>
      </c>
      <c r="T213" s="844">
        <f t="shared" si="142"/>
        <v>0</v>
      </c>
      <c r="U213" s="844">
        <f t="shared" si="142"/>
        <v>0</v>
      </c>
      <c r="V213" s="844">
        <f t="shared" si="142"/>
        <v>0</v>
      </c>
      <c r="W213" s="844">
        <f t="shared" si="142"/>
        <v>0</v>
      </c>
      <c r="X213" s="844">
        <f t="shared" si="142"/>
        <v>0</v>
      </c>
      <c r="Y213" s="844">
        <f t="shared" si="142"/>
        <v>0</v>
      </c>
      <c r="Z213" s="844">
        <f t="shared" si="142"/>
        <v>0</v>
      </c>
      <c r="AA213" s="844">
        <f t="shared" si="142"/>
        <v>0</v>
      </c>
      <c r="AB213" s="844">
        <f t="shared" si="142"/>
        <v>0</v>
      </c>
      <c r="AC213" s="844">
        <f t="shared" si="142"/>
        <v>0</v>
      </c>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row>
    <row r="214" spans="8:58" s="4" customFormat="1" ht="15.75" x14ac:dyDescent="0.25">
      <c r="H214" s="1"/>
      <c r="I214" s="99"/>
      <c r="J214" s="547" t="s">
        <v>171</v>
      </c>
      <c r="K214" s="210"/>
      <c r="L214" s="292"/>
      <c r="M214" s="1"/>
      <c r="N214" s="839">
        <f t="shared" ref="N214:AC214" si="143">SUM(N211:N213)</f>
        <v>0</v>
      </c>
      <c r="O214" s="839">
        <f t="shared" si="143"/>
        <v>0</v>
      </c>
      <c r="P214" s="839">
        <f t="shared" si="143"/>
        <v>0</v>
      </c>
      <c r="Q214" s="839">
        <f t="shared" si="143"/>
        <v>0</v>
      </c>
      <c r="R214" s="839">
        <f t="shared" si="143"/>
        <v>0</v>
      </c>
      <c r="S214" s="839">
        <f t="shared" si="143"/>
        <v>0</v>
      </c>
      <c r="T214" s="839">
        <f t="shared" si="143"/>
        <v>0</v>
      </c>
      <c r="U214" s="839">
        <f t="shared" si="143"/>
        <v>0</v>
      </c>
      <c r="V214" s="839">
        <f t="shared" si="143"/>
        <v>0</v>
      </c>
      <c r="W214" s="839">
        <f t="shared" si="143"/>
        <v>0</v>
      </c>
      <c r="X214" s="839">
        <f t="shared" si="143"/>
        <v>0</v>
      </c>
      <c r="Y214" s="839">
        <f t="shared" si="143"/>
        <v>0</v>
      </c>
      <c r="Z214" s="839">
        <f t="shared" si="143"/>
        <v>0</v>
      </c>
      <c r="AA214" s="839">
        <f t="shared" si="143"/>
        <v>0</v>
      </c>
      <c r="AB214" s="839">
        <f t="shared" si="143"/>
        <v>0</v>
      </c>
      <c r="AC214" s="839">
        <f t="shared" si="143"/>
        <v>0</v>
      </c>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row>
    <row r="215" spans="8:58" s="4" customFormat="1" ht="15.75" x14ac:dyDescent="0.25">
      <c r="H215" s="1"/>
      <c r="I215" s="99"/>
      <c r="J215" s="544" t="s">
        <v>172</v>
      </c>
      <c r="K215" s="31"/>
      <c r="L215" s="293"/>
      <c r="M215" s="1"/>
      <c r="N215" s="838"/>
      <c r="O215" s="838"/>
      <c r="P215" s="838"/>
      <c r="Q215" s="838"/>
      <c r="R215" s="838"/>
      <c r="S215" s="838"/>
      <c r="T215" s="838"/>
      <c r="U215" s="838"/>
      <c r="V215" s="838"/>
      <c r="W215" s="838"/>
      <c r="X215" s="838"/>
      <c r="Y215" s="838"/>
      <c r="Z215" s="838"/>
      <c r="AA215" s="838"/>
      <c r="AB215" s="838"/>
      <c r="AC215" s="838"/>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row>
    <row r="216" spans="8:58" s="4" customFormat="1" ht="15.75" x14ac:dyDescent="0.25">
      <c r="H216" s="1"/>
      <c r="I216" s="99"/>
      <c r="J216" s="545" t="s">
        <v>173</v>
      </c>
      <c r="K216" s="31"/>
      <c r="L216" s="289"/>
      <c r="M216" s="1"/>
      <c r="N216" s="861">
        <f>N102</f>
        <v>0</v>
      </c>
      <c r="O216" s="844">
        <f t="shared" ref="O216:AC216" si="144">N216+O102</f>
        <v>0</v>
      </c>
      <c r="P216" s="844">
        <f t="shared" si="144"/>
        <v>0</v>
      </c>
      <c r="Q216" s="844">
        <f t="shared" si="144"/>
        <v>0</v>
      </c>
      <c r="R216" s="844">
        <f t="shared" si="144"/>
        <v>0</v>
      </c>
      <c r="S216" s="844">
        <f t="shared" si="144"/>
        <v>0</v>
      </c>
      <c r="T216" s="844">
        <f t="shared" si="144"/>
        <v>0</v>
      </c>
      <c r="U216" s="844">
        <f t="shared" si="144"/>
        <v>0</v>
      </c>
      <c r="V216" s="844">
        <f t="shared" si="144"/>
        <v>0</v>
      </c>
      <c r="W216" s="844">
        <f t="shared" si="144"/>
        <v>0</v>
      </c>
      <c r="X216" s="844">
        <f t="shared" si="144"/>
        <v>0</v>
      </c>
      <c r="Y216" s="844">
        <f t="shared" si="144"/>
        <v>0</v>
      </c>
      <c r="Z216" s="844">
        <f t="shared" si="144"/>
        <v>0</v>
      </c>
      <c r="AA216" s="844">
        <f t="shared" si="144"/>
        <v>0</v>
      </c>
      <c r="AB216" s="844">
        <f t="shared" si="144"/>
        <v>0</v>
      </c>
      <c r="AC216" s="844">
        <f t="shared" si="144"/>
        <v>0</v>
      </c>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row>
    <row r="217" spans="8:58" s="4" customFormat="1" ht="15.75" x14ac:dyDescent="0.25">
      <c r="H217" s="1"/>
      <c r="I217" s="99"/>
      <c r="J217" s="545" t="s">
        <v>174</v>
      </c>
      <c r="K217" s="31"/>
      <c r="L217" s="289"/>
      <c r="M217" s="1"/>
      <c r="N217" s="861">
        <f>N171</f>
        <v>0</v>
      </c>
      <c r="O217" s="844">
        <f t="shared" ref="O217:AC217" si="145">N217+O171</f>
        <v>0</v>
      </c>
      <c r="P217" s="844">
        <f t="shared" si="145"/>
        <v>0</v>
      </c>
      <c r="Q217" s="844">
        <f t="shared" si="145"/>
        <v>0</v>
      </c>
      <c r="R217" s="844">
        <f t="shared" si="145"/>
        <v>0</v>
      </c>
      <c r="S217" s="844">
        <f t="shared" si="145"/>
        <v>0</v>
      </c>
      <c r="T217" s="844">
        <f t="shared" si="145"/>
        <v>0</v>
      </c>
      <c r="U217" s="844">
        <f t="shared" si="145"/>
        <v>0</v>
      </c>
      <c r="V217" s="844">
        <f t="shared" si="145"/>
        <v>0</v>
      </c>
      <c r="W217" s="844">
        <f t="shared" si="145"/>
        <v>0</v>
      </c>
      <c r="X217" s="844">
        <f t="shared" si="145"/>
        <v>0</v>
      </c>
      <c r="Y217" s="844">
        <f t="shared" si="145"/>
        <v>0</v>
      </c>
      <c r="Z217" s="844">
        <f t="shared" si="145"/>
        <v>0</v>
      </c>
      <c r="AA217" s="844">
        <f t="shared" si="145"/>
        <v>0</v>
      </c>
      <c r="AB217" s="844">
        <f t="shared" si="145"/>
        <v>0</v>
      </c>
      <c r="AC217" s="844">
        <f t="shared" si="145"/>
        <v>0</v>
      </c>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row>
    <row r="218" spans="8:58" s="4" customFormat="1" ht="15.75" x14ac:dyDescent="0.25">
      <c r="H218" s="1"/>
      <c r="I218" s="99"/>
      <c r="J218" s="548" t="s">
        <v>172</v>
      </c>
      <c r="K218" s="222"/>
      <c r="L218" s="294"/>
      <c r="M218" s="1"/>
      <c r="N218" s="840">
        <f t="shared" ref="N218:AC218" si="146">SUM(N216:N217)</f>
        <v>0</v>
      </c>
      <c r="O218" s="840">
        <f t="shared" si="146"/>
        <v>0</v>
      </c>
      <c r="P218" s="840">
        <f t="shared" si="146"/>
        <v>0</v>
      </c>
      <c r="Q218" s="840">
        <f t="shared" si="146"/>
        <v>0</v>
      </c>
      <c r="R218" s="840">
        <f t="shared" si="146"/>
        <v>0</v>
      </c>
      <c r="S218" s="840">
        <f t="shared" si="146"/>
        <v>0</v>
      </c>
      <c r="T218" s="840">
        <f t="shared" si="146"/>
        <v>0</v>
      </c>
      <c r="U218" s="840">
        <f t="shared" si="146"/>
        <v>0</v>
      </c>
      <c r="V218" s="840">
        <f t="shared" si="146"/>
        <v>0</v>
      </c>
      <c r="W218" s="840">
        <f t="shared" si="146"/>
        <v>0</v>
      </c>
      <c r="X218" s="840">
        <f t="shared" si="146"/>
        <v>0</v>
      </c>
      <c r="Y218" s="840">
        <f t="shared" si="146"/>
        <v>0</v>
      </c>
      <c r="Z218" s="840">
        <f t="shared" si="146"/>
        <v>0</v>
      </c>
      <c r="AA218" s="840">
        <f t="shared" si="146"/>
        <v>0</v>
      </c>
      <c r="AB218" s="840">
        <f t="shared" si="146"/>
        <v>0</v>
      </c>
      <c r="AC218" s="840">
        <f t="shared" si="146"/>
        <v>0</v>
      </c>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row>
    <row r="219" spans="8:58" s="4" customFormat="1" thickBot="1" x14ac:dyDescent="0.3">
      <c r="H219" s="1"/>
      <c r="I219" s="99"/>
      <c r="J219" s="558" t="s">
        <v>175</v>
      </c>
      <c r="K219" s="263"/>
      <c r="L219" s="290"/>
      <c r="M219" s="1"/>
      <c r="N219" s="837">
        <f>N214+N218</f>
        <v>0</v>
      </c>
      <c r="O219" s="837">
        <f t="shared" ref="O219:AC219" si="147">O214+O218</f>
        <v>0</v>
      </c>
      <c r="P219" s="837">
        <f t="shared" si="147"/>
        <v>0</v>
      </c>
      <c r="Q219" s="837">
        <f t="shared" si="147"/>
        <v>0</v>
      </c>
      <c r="R219" s="837">
        <f t="shared" si="147"/>
        <v>0</v>
      </c>
      <c r="S219" s="837">
        <f t="shared" si="147"/>
        <v>0</v>
      </c>
      <c r="T219" s="837">
        <f t="shared" si="147"/>
        <v>0</v>
      </c>
      <c r="U219" s="837">
        <f t="shared" si="147"/>
        <v>0</v>
      </c>
      <c r="V219" s="837">
        <f t="shared" si="147"/>
        <v>0</v>
      </c>
      <c r="W219" s="837">
        <f t="shared" si="147"/>
        <v>0</v>
      </c>
      <c r="X219" s="837">
        <f t="shared" si="147"/>
        <v>0</v>
      </c>
      <c r="Y219" s="837">
        <f t="shared" si="147"/>
        <v>0</v>
      </c>
      <c r="Z219" s="837">
        <f t="shared" si="147"/>
        <v>0</v>
      </c>
      <c r="AA219" s="837">
        <f t="shared" si="147"/>
        <v>0</v>
      </c>
      <c r="AB219" s="837">
        <f t="shared" si="147"/>
        <v>0</v>
      </c>
      <c r="AC219" s="837">
        <f t="shared" si="147"/>
        <v>0</v>
      </c>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row>
    <row r="220" spans="8:58" s="4" customFormat="1" thickTop="1" x14ac:dyDescent="0.25">
      <c r="H220" s="1"/>
      <c r="I220" s="99"/>
      <c r="J220" s="537" t="s">
        <v>176</v>
      </c>
      <c r="K220" s="296"/>
      <c r="L220" s="297"/>
      <c r="M220" s="1"/>
      <c r="N220" s="298" t="str">
        <f>IF(ABS(N219-N209)&lt;1,"OK","Wrong")</f>
        <v>OK</v>
      </c>
      <c r="O220" s="298" t="str">
        <f>IF(ABS(O219-O209)&lt;1,"OK","Wrong")</f>
        <v>OK</v>
      </c>
      <c r="P220" s="298" t="str">
        <f t="shared" ref="P220:AC220" si="148">IF(ABS(P219-P209)&lt;1,"OK","Wrong")</f>
        <v>OK</v>
      </c>
      <c r="Q220" s="298" t="str">
        <f t="shared" si="148"/>
        <v>OK</v>
      </c>
      <c r="R220" s="298" t="str">
        <f t="shared" si="148"/>
        <v>OK</v>
      </c>
      <c r="S220" s="298" t="str">
        <f t="shared" si="148"/>
        <v>OK</v>
      </c>
      <c r="T220" s="298" t="str">
        <f t="shared" si="148"/>
        <v>OK</v>
      </c>
      <c r="U220" s="298" t="str">
        <f t="shared" si="148"/>
        <v>OK</v>
      </c>
      <c r="V220" s="298" t="str">
        <f t="shared" si="148"/>
        <v>OK</v>
      </c>
      <c r="W220" s="298" t="str">
        <f t="shared" si="148"/>
        <v>OK</v>
      </c>
      <c r="X220" s="298" t="str">
        <f t="shared" si="148"/>
        <v>OK</v>
      </c>
      <c r="Y220" s="298" t="str">
        <f t="shared" si="148"/>
        <v>OK</v>
      </c>
      <c r="Z220" s="298" t="str">
        <f t="shared" si="148"/>
        <v>OK</v>
      </c>
      <c r="AA220" s="298" t="str">
        <f t="shared" si="148"/>
        <v>OK</v>
      </c>
      <c r="AB220" s="298" t="str">
        <f t="shared" si="148"/>
        <v>OK</v>
      </c>
      <c r="AC220" s="298" t="str">
        <f t="shared" si="148"/>
        <v>OK</v>
      </c>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row>
    <row r="221" spans="8:58" s="4" customFormat="1" ht="15.75" x14ac:dyDescent="0.25">
      <c r="H221" s="1"/>
      <c r="I221" s="99"/>
      <c r="J221" s="559" t="s">
        <v>177</v>
      </c>
      <c r="K221" s="296"/>
      <c r="L221" s="297"/>
      <c r="M221" s="1"/>
      <c r="N221" s="299" t="str">
        <f>IF(ABS(((N217)-N171))&lt;1,"OK","Wrong")</f>
        <v>OK</v>
      </c>
      <c r="O221" s="298" t="str">
        <f t="shared" ref="O221:AC221" si="149">IF(ABS(((O217-N217)-O171))&lt;1,"OK","Wrong")</f>
        <v>OK</v>
      </c>
      <c r="P221" s="298" t="str">
        <f t="shared" si="149"/>
        <v>OK</v>
      </c>
      <c r="Q221" s="298" t="str">
        <f t="shared" si="149"/>
        <v>OK</v>
      </c>
      <c r="R221" s="298" t="str">
        <f t="shared" si="149"/>
        <v>OK</v>
      </c>
      <c r="S221" s="298" t="str">
        <f t="shared" si="149"/>
        <v>OK</v>
      </c>
      <c r="T221" s="298" t="str">
        <f t="shared" si="149"/>
        <v>OK</v>
      </c>
      <c r="U221" s="298" t="str">
        <f t="shared" si="149"/>
        <v>OK</v>
      </c>
      <c r="V221" s="298" t="str">
        <f t="shared" si="149"/>
        <v>OK</v>
      </c>
      <c r="W221" s="298" t="str">
        <f t="shared" si="149"/>
        <v>OK</v>
      </c>
      <c r="X221" s="298" t="str">
        <f t="shared" si="149"/>
        <v>OK</v>
      </c>
      <c r="Y221" s="298" t="str">
        <f t="shared" si="149"/>
        <v>OK</v>
      </c>
      <c r="Z221" s="298" t="str">
        <f t="shared" si="149"/>
        <v>OK</v>
      </c>
      <c r="AA221" s="298" t="str">
        <f t="shared" si="149"/>
        <v>OK</v>
      </c>
      <c r="AB221" s="298" t="str">
        <f t="shared" si="149"/>
        <v>OK</v>
      </c>
      <c r="AC221" s="298" t="str">
        <f t="shared" si="149"/>
        <v>OK</v>
      </c>
      <c r="AD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row>
    <row r="222" spans="8:58" s="4" customFormat="1" thickBot="1" x14ac:dyDescent="0.3">
      <c r="H222" s="1"/>
      <c r="I222" s="99"/>
      <c r="J222" s="31"/>
      <c r="K222" s="31"/>
      <c r="L222" s="169"/>
      <c r="M222" s="1"/>
      <c r="N222" s="31">
        <f>N219-N209</f>
        <v>0</v>
      </c>
      <c r="O222" s="31">
        <f t="shared" ref="O222:P222" si="150">O219-O209</f>
        <v>0</v>
      </c>
      <c r="P222" s="31">
        <f t="shared" si="150"/>
        <v>0</v>
      </c>
      <c r="Q222" s="31">
        <f>Q219-Q209</f>
        <v>0</v>
      </c>
      <c r="R222" s="31"/>
      <c r="S222" s="31"/>
      <c r="T222" s="31"/>
      <c r="U222" s="31"/>
      <c r="V222" s="31"/>
      <c r="W222" s="31"/>
      <c r="X222" s="31"/>
      <c r="Y222" s="31"/>
      <c r="Z222" s="31"/>
      <c r="AA222" s="31"/>
      <c r="AB222" s="31"/>
      <c r="AC222" s="31"/>
      <c r="AD222" s="1"/>
      <c r="AE222" s="1"/>
      <c r="AU222" s="1"/>
      <c r="AV222" s="1"/>
      <c r="AW222" s="1"/>
      <c r="AX222" s="1"/>
      <c r="AY222" s="1"/>
      <c r="AZ222" s="1"/>
      <c r="BA222" s="1"/>
      <c r="BB222" s="1"/>
      <c r="BC222" s="1"/>
      <c r="BD222" s="1"/>
      <c r="BE222" s="1"/>
      <c r="BF222" s="1"/>
    </row>
    <row r="223" spans="8:58" s="4" customFormat="1" ht="18" x14ac:dyDescent="0.2">
      <c r="H223" s="1"/>
      <c r="I223" s="132">
        <v>5</v>
      </c>
      <c r="J223" s="33" t="s">
        <v>178</v>
      </c>
      <c r="K223" s="33"/>
      <c r="L223" s="34" t="s">
        <v>11</v>
      </c>
      <c r="M223" s="1"/>
      <c r="N223" s="133">
        <f>N$11</f>
        <v>2024</v>
      </c>
      <c r="O223" s="133">
        <f t="shared" ref="O223:AC223" si="151">O$11</f>
        <v>2025</v>
      </c>
      <c r="P223" s="133">
        <f t="shared" si="151"/>
        <v>2026</v>
      </c>
      <c r="Q223" s="133">
        <f t="shared" si="151"/>
        <v>2027</v>
      </c>
      <c r="R223" s="133">
        <f t="shared" si="151"/>
        <v>2028</v>
      </c>
      <c r="S223" s="133">
        <f t="shared" si="151"/>
        <v>2029</v>
      </c>
      <c r="T223" s="133">
        <f t="shared" si="151"/>
        <v>2030</v>
      </c>
      <c r="U223" s="133">
        <f t="shared" si="151"/>
        <v>2031</v>
      </c>
      <c r="V223" s="133">
        <f t="shared" si="151"/>
        <v>2032</v>
      </c>
      <c r="W223" s="133">
        <f t="shared" si="151"/>
        <v>2033</v>
      </c>
      <c r="X223" s="133">
        <f t="shared" si="151"/>
        <v>2034</v>
      </c>
      <c r="Y223" s="133">
        <f t="shared" si="151"/>
        <v>2035</v>
      </c>
      <c r="Z223" s="133">
        <f t="shared" si="151"/>
        <v>2036</v>
      </c>
      <c r="AA223" s="133">
        <f t="shared" si="151"/>
        <v>2037</v>
      </c>
      <c r="AB223" s="133">
        <f t="shared" si="151"/>
        <v>2038</v>
      </c>
      <c r="AC223" s="133">
        <f t="shared" si="151"/>
        <v>2039</v>
      </c>
      <c r="AD223" s="1"/>
      <c r="AE223" s="1"/>
      <c r="AV223" s="1"/>
      <c r="AW223" s="1"/>
      <c r="AX223" s="1"/>
      <c r="AY223" s="1"/>
      <c r="AZ223" s="1"/>
      <c r="BA223" s="1"/>
      <c r="BB223" s="1"/>
      <c r="BC223" s="1"/>
      <c r="BD223" s="1"/>
      <c r="BE223" s="1"/>
      <c r="BF223" s="1"/>
    </row>
    <row r="224" spans="8:58" s="4" customFormat="1" ht="15.75" x14ac:dyDescent="0.25">
      <c r="H224" s="1"/>
      <c r="I224" s="99">
        <v>1</v>
      </c>
      <c r="J224" s="67" t="s">
        <v>179</v>
      </c>
      <c r="K224" s="31"/>
      <c r="L224" s="300"/>
      <c r="M224" s="1"/>
      <c r="N224" s="31"/>
      <c r="O224" s="31"/>
      <c r="P224" s="31"/>
      <c r="Q224" s="31"/>
      <c r="R224" s="31"/>
      <c r="S224" s="31"/>
      <c r="T224" s="31"/>
      <c r="U224" s="31"/>
      <c r="V224" s="31"/>
      <c r="W224" s="31"/>
      <c r="X224" s="31"/>
      <c r="Y224" s="31"/>
      <c r="Z224" s="31"/>
      <c r="AA224" s="31"/>
      <c r="AB224" s="31"/>
      <c r="AC224" s="31"/>
      <c r="AD224" s="1"/>
      <c r="AV224" s="1"/>
      <c r="AW224" s="1"/>
      <c r="AX224" s="1"/>
      <c r="AY224" s="1"/>
      <c r="AZ224" s="1"/>
      <c r="BA224" s="1"/>
      <c r="BB224" s="1"/>
      <c r="BC224" s="1"/>
      <c r="BD224" s="1"/>
      <c r="BE224" s="1"/>
      <c r="BF224" s="1"/>
    </row>
    <row r="225" spans="8:58" s="4" customFormat="1" ht="15.75" x14ac:dyDescent="0.25">
      <c r="H225" s="1"/>
      <c r="I225" s="99"/>
      <c r="J225" s="31" t="s">
        <v>149</v>
      </c>
      <c r="K225" s="31"/>
      <c r="L225" s="841">
        <f>SUM(N225:AC225)</f>
        <v>0</v>
      </c>
      <c r="M225" s="750"/>
      <c r="N225" s="844">
        <f t="shared" ref="N225:AC225" si="152">N171</f>
        <v>0</v>
      </c>
      <c r="O225" s="844">
        <f t="shared" si="152"/>
        <v>0</v>
      </c>
      <c r="P225" s="844">
        <f t="shared" si="152"/>
        <v>0</v>
      </c>
      <c r="Q225" s="844">
        <f t="shared" si="152"/>
        <v>0</v>
      </c>
      <c r="R225" s="844">
        <f t="shared" si="152"/>
        <v>0</v>
      </c>
      <c r="S225" s="844">
        <f t="shared" si="152"/>
        <v>0</v>
      </c>
      <c r="T225" s="844">
        <f t="shared" si="152"/>
        <v>0</v>
      </c>
      <c r="U225" s="844">
        <f t="shared" si="152"/>
        <v>0</v>
      </c>
      <c r="V225" s="844">
        <f t="shared" si="152"/>
        <v>0</v>
      </c>
      <c r="W225" s="844">
        <f t="shared" si="152"/>
        <v>0</v>
      </c>
      <c r="X225" s="844">
        <f t="shared" si="152"/>
        <v>0</v>
      </c>
      <c r="Y225" s="844">
        <f t="shared" si="152"/>
        <v>0</v>
      </c>
      <c r="Z225" s="844">
        <f t="shared" si="152"/>
        <v>0</v>
      </c>
      <c r="AA225" s="844">
        <f t="shared" si="152"/>
        <v>0</v>
      </c>
      <c r="AB225" s="844">
        <f t="shared" si="152"/>
        <v>0</v>
      </c>
      <c r="AC225" s="844">
        <f t="shared" si="152"/>
        <v>0</v>
      </c>
      <c r="AD225" s="1"/>
      <c r="AV225" s="1"/>
      <c r="AW225" s="1"/>
      <c r="AX225" s="1"/>
      <c r="AY225" s="1"/>
      <c r="AZ225" s="1"/>
      <c r="BA225" s="1"/>
      <c r="BB225" s="1"/>
      <c r="BC225" s="1"/>
      <c r="BD225" s="1"/>
      <c r="BE225" s="1"/>
      <c r="BF225" s="1"/>
    </row>
    <row r="226" spans="8:58" s="4" customFormat="1" ht="15.75" x14ac:dyDescent="0.25">
      <c r="H226" s="1"/>
      <c r="I226" s="99"/>
      <c r="J226" s="31" t="s">
        <v>180</v>
      </c>
      <c r="K226" s="31"/>
      <c r="L226" s="841">
        <f>SUM(N226:AC226)</f>
        <v>0</v>
      </c>
      <c r="M226" s="750"/>
      <c r="N226" s="844">
        <f t="shared" ref="N226:AC226" si="153">-N164-N131-N151</f>
        <v>0</v>
      </c>
      <c r="O226" s="844">
        <f t="shared" si="153"/>
        <v>0</v>
      </c>
      <c r="P226" s="844">
        <f t="shared" si="153"/>
        <v>0</v>
      </c>
      <c r="Q226" s="844">
        <f t="shared" si="153"/>
        <v>0</v>
      </c>
      <c r="R226" s="844">
        <f t="shared" si="153"/>
        <v>0</v>
      </c>
      <c r="S226" s="844">
        <f t="shared" si="153"/>
        <v>0</v>
      </c>
      <c r="T226" s="844">
        <f t="shared" si="153"/>
        <v>0</v>
      </c>
      <c r="U226" s="844">
        <f t="shared" si="153"/>
        <v>0</v>
      </c>
      <c r="V226" s="844">
        <f t="shared" si="153"/>
        <v>0</v>
      </c>
      <c r="W226" s="844">
        <f t="shared" si="153"/>
        <v>0</v>
      </c>
      <c r="X226" s="844">
        <f t="shared" si="153"/>
        <v>0</v>
      </c>
      <c r="Y226" s="844">
        <f t="shared" si="153"/>
        <v>0</v>
      </c>
      <c r="Z226" s="844">
        <f t="shared" si="153"/>
        <v>0</v>
      </c>
      <c r="AA226" s="844">
        <f t="shared" si="153"/>
        <v>0</v>
      </c>
      <c r="AB226" s="844">
        <f t="shared" si="153"/>
        <v>0</v>
      </c>
      <c r="AC226" s="844">
        <f t="shared" si="153"/>
        <v>0</v>
      </c>
      <c r="AD226" s="1"/>
      <c r="AV226" s="1"/>
      <c r="AW226" s="1"/>
      <c r="AX226" s="1"/>
      <c r="AY226" s="1"/>
      <c r="AZ226" s="1"/>
      <c r="BA226" s="1"/>
      <c r="BB226" s="1"/>
      <c r="BC226" s="1"/>
      <c r="BD226" s="1"/>
      <c r="BE226" s="1"/>
      <c r="BF226" s="1"/>
    </row>
    <row r="227" spans="8:58" s="4" customFormat="1" ht="15.75" x14ac:dyDescent="0.25">
      <c r="H227" s="1"/>
      <c r="I227" s="99"/>
      <c r="J227" s="31" t="s">
        <v>181</v>
      </c>
      <c r="K227" s="31"/>
      <c r="L227" s="841">
        <f>SUM(N227:AC227)</f>
        <v>0</v>
      </c>
      <c r="M227" s="750"/>
      <c r="N227" s="844">
        <f>-N289</f>
        <v>0</v>
      </c>
      <c r="O227" s="844">
        <f t="shared" ref="O227:AC227" si="154">-O289</f>
        <v>0</v>
      </c>
      <c r="P227" s="844">
        <f t="shared" si="154"/>
        <v>0</v>
      </c>
      <c r="Q227" s="844">
        <f t="shared" si="154"/>
        <v>0</v>
      </c>
      <c r="R227" s="844">
        <f t="shared" si="154"/>
        <v>0</v>
      </c>
      <c r="S227" s="844">
        <f t="shared" si="154"/>
        <v>0</v>
      </c>
      <c r="T227" s="844">
        <f t="shared" si="154"/>
        <v>0</v>
      </c>
      <c r="U227" s="844">
        <f t="shared" si="154"/>
        <v>0</v>
      </c>
      <c r="V227" s="844">
        <f t="shared" si="154"/>
        <v>0</v>
      </c>
      <c r="W227" s="844">
        <f t="shared" si="154"/>
        <v>0</v>
      </c>
      <c r="X227" s="844">
        <f t="shared" si="154"/>
        <v>0</v>
      </c>
      <c r="Y227" s="844">
        <f t="shared" si="154"/>
        <v>0</v>
      </c>
      <c r="Z227" s="844">
        <f t="shared" si="154"/>
        <v>0</v>
      </c>
      <c r="AA227" s="844">
        <f t="shared" si="154"/>
        <v>0</v>
      </c>
      <c r="AB227" s="844">
        <f t="shared" si="154"/>
        <v>0</v>
      </c>
      <c r="AC227" s="844">
        <f t="shared" si="154"/>
        <v>0</v>
      </c>
      <c r="AD227" s="1"/>
      <c r="AV227" s="1"/>
      <c r="AW227" s="1"/>
      <c r="AX227" s="1"/>
      <c r="AY227" s="1"/>
      <c r="AZ227" s="1"/>
      <c r="BA227" s="1"/>
      <c r="BB227" s="1"/>
      <c r="BC227" s="1"/>
      <c r="BD227" s="1"/>
      <c r="BE227" s="1"/>
      <c r="BF227" s="1"/>
    </row>
    <row r="228" spans="8:58" s="4" customFormat="1" ht="15.75" x14ac:dyDescent="0.25">
      <c r="H228" s="1"/>
      <c r="I228" s="99"/>
      <c r="J228" s="210" t="s">
        <v>182</v>
      </c>
      <c r="K228" s="102"/>
      <c r="L228" s="842">
        <f t="shared" ref="L228:AC228" si="155">SUM(L225:L227)</f>
        <v>0</v>
      </c>
      <c r="M228" s="750"/>
      <c r="N228" s="839">
        <f t="shared" si="155"/>
        <v>0</v>
      </c>
      <c r="O228" s="839">
        <f t="shared" si="155"/>
        <v>0</v>
      </c>
      <c r="P228" s="839">
        <f t="shared" si="155"/>
        <v>0</v>
      </c>
      <c r="Q228" s="839">
        <f t="shared" si="155"/>
        <v>0</v>
      </c>
      <c r="R228" s="839">
        <f t="shared" si="155"/>
        <v>0</v>
      </c>
      <c r="S228" s="839">
        <f t="shared" si="155"/>
        <v>0</v>
      </c>
      <c r="T228" s="839">
        <f t="shared" si="155"/>
        <v>0</v>
      </c>
      <c r="U228" s="839">
        <f t="shared" si="155"/>
        <v>0</v>
      </c>
      <c r="V228" s="839">
        <f t="shared" si="155"/>
        <v>0</v>
      </c>
      <c r="W228" s="839">
        <f t="shared" si="155"/>
        <v>0</v>
      </c>
      <c r="X228" s="839">
        <f t="shared" si="155"/>
        <v>0</v>
      </c>
      <c r="Y228" s="839">
        <f t="shared" si="155"/>
        <v>0</v>
      </c>
      <c r="Z228" s="839">
        <f t="shared" si="155"/>
        <v>0</v>
      </c>
      <c r="AA228" s="839">
        <f t="shared" si="155"/>
        <v>0</v>
      </c>
      <c r="AB228" s="839">
        <f t="shared" si="155"/>
        <v>0</v>
      </c>
      <c r="AC228" s="839">
        <f t="shared" si="155"/>
        <v>0</v>
      </c>
      <c r="AD228" s="1"/>
      <c r="AV228" s="1"/>
      <c r="AW228" s="1"/>
      <c r="AX228" s="1"/>
      <c r="AY228" s="1"/>
      <c r="AZ228" s="1"/>
      <c r="BA228" s="1"/>
      <c r="BB228" s="1"/>
      <c r="BC228" s="1"/>
      <c r="BD228" s="1"/>
      <c r="BE228" s="1"/>
      <c r="BF228" s="1"/>
    </row>
    <row r="229" spans="8:58" s="4" customFormat="1" ht="15.75" x14ac:dyDescent="0.25">
      <c r="H229" s="1"/>
      <c r="I229" s="99">
        <v>2</v>
      </c>
      <c r="J229" s="67" t="s">
        <v>183</v>
      </c>
      <c r="K229" s="31"/>
      <c r="L229" s="843"/>
      <c r="M229" s="750"/>
      <c r="N229" s="838"/>
      <c r="O229" s="838"/>
      <c r="P229" s="838"/>
      <c r="Q229" s="838"/>
      <c r="R229" s="838"/>
      <c r="S229" s="838"/>
      <c r="T229" s="838"/>
      <c r="U229" s="838"/>
      <c r="V229" s="838"/>
      <c r="W229" s="838"/>
      <c r="X229" s="838"/>
      <c r="Y229" s="838"/>
      <c r="Z229" s="838"/>
      <c r="AA229" s="838"/>
      <c r="AB229" s="838"/>
      <c r="AC229" s="838"/>
      <c r="AD229" s="1"/>
      <c r="AF229" s="1"/>
      <c r="AG229" s="1"/>
      <c r="AH229" s="1"/>
      <c r="AI229" s="1"/>
      <c r="AJ229" s="1"/>
      <c r="AK229" s="1"/>
      <c r="AL229" s="1"/>
      <c r="AM229" s="1"/>
      <c r="AN229" s="1"/>
      <c r="AO229" s="1"/>
      <c r="AP229" s="1"/>
      <c r="AQ229" s="1"/>
      <c r="AR229" s="1"/>
      <c r="AS229" s="1"/>
      <c r="AT229" s="1"/>
      <c r="AV229" s="1"/>
      <c r="AW229" s="1"/>
      <c r="AX229" s="1"/>
      <c r="AY229" s="1"/>
      <c r="AZ229" s="1"/>
      <c r="BA229" s="1"/>
      <c r="BB229" s="1"/>
      <c r="BC229" s="1"/>
      <c r="BD229" s="1"/>
      <c r="BE229" s="1"/>
      <c r="BF229" s="1"/>
    </row>
    <row r="230" spans="8:58" ht="15.75" x14ac:dyDescent="0.25">
      <c r="I230" s="99"/>
      <c r="J230" s="31" t="s">
        <v>351</v>
      </c>
      <c r="K230" s="31"/>
      <c r="L230" s="841">
        <f>SUM(N230:AC230)</f>
        <v>0</v>
      </c>
      <c r="M230" s="750"/>
      <c r="N230" s="844">
        <f>N69-N73</f>
        <v>0</v>
      </c>
      <c r="O230" s="844">
        <f t="shared" ref="O230:AC230" si="156">O69-O73</f>
        <v>0</v>
      </c>
      <c r="P230" s="844">
        <f t="shared" si="156"/>
        <v>0</v>
      </c>
      <c r="Q230" s="844">
        <f t="shared" si="156"/>
        <v>0</v>
      </c>
      <c r="R230" s="844">
        <f t="shared" si="156"/>
        <v>0</v>
      </c>
      <c r="S230" s="844">
        <f t="shared" si="156"/>
        <v>0</v>
      </c>
      <c r="T230" s="844">
        <f t="shared" si="156"/>
        <v>0</v>
      </c>
      <c r="U230" s="844">
        <f t="shared" si="156"/>
        <v>0</v>
      </c>
      <c r="V230" s="844">
        <f t="shared" si="156"/>
        <v>0</v>
      </c>
      <c r="W230" s="844">
        <f t="shared" si="156"/>
        <v>0</v>
      </c>
      <c r="X230" s="844">
        <f t="shared" si="156"/>
        <v>0</v>
      </c>
      <c r="Y230" s="844">
        <f t="shared" si="156"/>
        <v>0</v>
      </c>
      <c r="Z230" s="844">
        <f t="shared" si="156"/>
        <v>0</v>
      </c>
      <c r="AA230" s="844">
        <f t="shared" si="156"/>
        <v>0</v>
      </c>
      <c r="AB230" s="844">
        <f t="shared" si="156"/>
        <v>0</v>
      </c>
      <c r="AC230" s="844">
        <f t="shared" si="156"/>
        <v>0</v>
      </c>
      <c r="AD230" s="1"/>
    </row>
    <row r="231" spans="8:58" ht="15.75" x14ac:dyDescent="0.25">
      <c r="I231" s="99"/>
      <c r="J231" s="31" t="s">
        <v>184</v>
      </c>
      <c r="K231" s="31"/>
      <c r="L231" s="841">
        <f>SUM(N231:AC231)</f>
        <v>0</v>
      </c>
      <c r="M231" s="750"/>
      <c r="N231" s="844">
        <f t="shared" ref="N231:AC231" si="157">N75</f>
        <v>0</v>
      </c>
      <c r="O231" s="844">
        <f t="shared" si="157"/>
        <v>0</v>
      </c>
      <c r="P231" s="844">
        <f t="shared" si="157"/>
        <v>0</v>
      </c>
      <c r="Q231" s="844">
        <f t="shared" si="157"/>
        <v>0</v>
      </c>
      <c r="R231" s="844">
        <f t="shared" si="157"/>
        <v>0</v>
      </c>
      <c r="S231" s="844">
        <f t="shared" si="157"/>
        <v>0</v>
      </c>
      <c r="T231" s="844">
        <f t="shared" si="157"/>
        <v>0</v>
      </c>
      <c r="U231" s="844">
        <f t="shared" si="157"/>
        <v>0</v>
      </c>
      <c r="V231" s="844">
        <f t="shared" si="157"/>
        <v>0</v>
      </c>
      <c r="W231" s="844">
        <f t="shared" si="157"/>
        <v>0</v>
      </c>
      <c r="X231" s="844">
        <f t="shared" si="157"/>
        <v>0</v>
      </c>
      <c r="Y231" s="844">
        <f t="shared" si="157"/>
        <v>0</v>
      </c>
      <c r="Z231" s="844">
        <f t="shared" si="157"/>
        <v>0</v>
      </c>
      <c r="AA231" s="844">
        <f t="shared" si="157"/>
        <v>0</v>
      </c>
      <c r="AB231" s="844">
        <f t="shared" si="157"/>
        <v>0</v>
      </c>
      <c r="AC231" s="844">
        <f t="shared" si="157"/>
        <v>0</v>
      </c>
      <c r="AD231" s="1"/>
    </row>
    <row r="232" spans="8:58" ht="15.75" x14ac:dyDescent="0.25">
      <c r="I232" s="99"/>
      <c r="J232" s="210" t="s">
        <v>185</v>
      </c>
      <c r="K232" s="102"/>
      <c r="L232" s="842">
        <f t="shared" ref="L232:AC232" si="158">SUM(L230:L231)</f>
        <v>0</v>
      </c>
      <c r="M232" s="750"/>
      <c r="N232" s="839">
        <f t="shared" si="158"/>
        <v>0</v>
      </c>
      <c r="O232" s="839">
        <f t="shared" si="158"/>
        <v>0</v>
      </c>
      <c r="P232" s="839">
        <f t="shared" si="158"/>
        <v>0</v>
      </c>
      <c r="Q232" s="839">
        <f t="shared" si="158"/>
        <v>0</v>
      </c>
      <c r="R232" s="839">
        <f t="shared" si="158"/>
        <v>0</v>
      </c>
      <c r="S232" s="839">
        <f t="shared" si="158"/>
        <v>0</v>
      </c>
      <c r="T232" s="839">
        <f t="shared" si="158"/>
        <v>0</v>
      </c>
      <c r="U232" s="839">
        <f t="shared" si="158"/>
        <v>0</v>
      </c>
      <c r="V232" s="839">
        <f t="shared" si="158"/>
        <v>0</v>
      </c>
      <c r="W232" s="839">
        <f t="shared" si="158"/>
        <v>0</v>
      </c>
      <c r="X232" s="839">
        <f t="shared" si="158"/>
        <v>0</v>
      </c>
      <c r="Y232" s="839">
        <f t="shared" si="158"/>
        <v>0</v>
      </c>
      <c r="Z232" s="839">
        <f t="shared" si="158"/>
        <v>0</v>
      </c>
      <c r="AA232" s="839">
        <f t="shared" si="158"/>
        <v>0</v>
      </c>
      <c r="AB232" s="839">
        <f t="shared" si="158"/>
        <v>0</v>
      </c>
      <c r="AC232" s="839">
        <f t="shared" si="158"/>
        <v>0</v>
      </c>
      <c r="AD232" s="1"/>
    </row>
    <row r="233" spans="8:58" ht="15.75" x14ac:dyDescent="0.25">
      <c r="I233" s="99">
        <v>3</v>
      </c>
      <c r="J233" s="67" t="s">
        <v>186</v>
      </c>
      <c r="K233" s="31"/>
      <c r="L233" s="843"/>
      <c r="M233" s="750"/>
      <c r="N233" s="838"/>
      <c r="O233" s="838"/>
      <c r="P233" s="838"/>
      <c r="Q233" s="838"/>
      <c r="R233" s="838"/>
      <c r="S233" s="838"/>
      <c r="T233" s="838"/>
      <c r="U233" s="838"/>
      <c r="V233" s="838"/>
      <c r="W233" s="838"/>
      <c r="X233" s="838"/>
      <c r="Y233" s="838"/>
      <c r="Z233" s="838"/>
      <c r="AA233" s="838"/>
      <c r="AB233" s="838"/>
      <c r="AC233" s="838"/>
      <c r="AD233" s="1"/>
    </row>
    <row r="234" spans="8:58" ht="15.75" x14ac:dyDescent="0.25">
      <c r="I234" s="99"/>
      <c r="J234" s="31" t="s">
        <v>187</v>
      </c>
      <c r="K234" s="31"/>
      <c r="L234" s="845"/>
      <c r="M234" s="750"/>
      <c r="N234" s="948"/>
      <c r="O234" s="948"/>
      <c r="P234" s="948"/>
      <c r="Q234" s="948"/>
      <c r="R234" s="948"/>
      <c r="S234" s="948"/>
      <c r="T234" s="948"/>
      <c r="U234" s="948"/>
      <c r="V234" s="948"/>
      <c r="W234" s="948"/>
      <c r="X234" s="948"/>
      <c r="Y234" s="948"/>
      <c r="Z234" s="948"/>
      <c r="AA234" s="948"/>
      <c r="AB234" s="948"/>
      <c r="AC234" s="948"/>
      <c r="AD234" s="1"/>
    </row>
    <row r="235" spans="8:58" ht="15.75" x14ac:dyDescent="0.25">
      <c r="I235" s="99"/>
      <c r="J235" s="31" t="s">
        <v>188</v>
      </c>
      <c r="K235" s="31"/>
      <c r="L235" s="841">
        <f>SUM(N235:AC235)</f>
        <v>0</v>
      </c>
      <c r="M235" s="750"/>
      <c r="N235" s="844">
        <f t="shared" ref="N235:AC235" si="159">IF(((N232-N228-N236)-N239)&gt;0,((N232-N228-N236)-N239),0)</f>
        <v>0</v>
      </c>
      <c r="O235" s="844">
        <f t="shared" si="159"/>
        <v>0</v>
      </c>
      <c r="P235" s="844">
        <f t="shared" si="159"/>
        <v>0</v>
      </c>
      <c r="Q235" s="844">
        <f t="shared" si="159"/>
        <v>0</v>
      </c>
      <c r="R235" s="844">
        <f t="shared" si="159"/>
        <v>0</v>
      </c>
      <c r="S235" s="844">
        <f t="shared" si="159"/>
        <v>0</v>
      </c>
      <c r="T235" s="844">
        <f t="shared" si="159"/>
        <v>0</v>
      </c>
      <c r="U235" s="844">
        <f t="shared" si="159"/>
        <v>0</v>
      </c>
      <c r="V235" s="844">
        <f t="shared" si="159"/>
        <v>0</v>
      </c>
      <c r="W235" s="844">
        <f t="shared" si="159"/>
        <v>0</v>
      </c>
      <c r="X235" s="844">
        <f t="shared" si="159"/>
        <v>0</v>
      </c>
      <c r="Y235" s="844">
        <f t="shared" si="159"/>
        <v>0</v>
      </c>
      <c r="Z235" s="844">
        <f t="shared" si="159"/>
        <v>0</v>
      </c>
      <c r="AA235" s="844">
        <f t="shared" si="159"/>
        <v>0</v>
      </c>
      <c r="AB235" s="844">
        <f t="shared" si="159"/>
        <v>0</v>
      </c>
      <c r="AC235" s="844">
        <f t="shared" si="159"/>
        <v>0</v>
      </c>
      <c r="AD235" s="1"/>
      <c r="AE235" s="1"/>
    </row>
    <row r="236" spans="8:58" ht="15.75" x14ac:dyDescent="0.25">
      <c r="I236" s="99"/>
      <c r="J236" s="31" t="s">
        <v>189</v>
      </c>
      <c r="K236" s="31"/>
      <c r="L236" s="841">
        <f>SUM(N236:AC236)</f>
        <v>0</v>
      </c>
      <c r="M236" s="750"/>
      <c r="N236" s="844">
        <f t="shared" ref="N236:AC236" si="160">N101</f>
        <v>0</v>
      </c>
      <c r="O236" s="844">
        <f t="shared" si="160"/>
        <v>0</v>
      </c>
      <c r="P236" s="844">
        <f t="shared" si="160"/>
        <v>0</v>
      </c>
      <c r="Q236" s="844">
        <f t="shared" si="160"/>
        <v>0</v>
      </c>
      <c r="R236" s="844">
        <f t="shared" si="160"/>
        <v>0</v>
      </c>
      <c r="S236" s="844">
        <f t="shared" si="160"/>
        <v>0</v>
      </c>
      <c r="T236" s="844">
        <f t="shared" si="160"/>
        <v>0</v>
      </c>
      <c r="U236" s="844">
        <f t="shared" si="160"/>
        <v>0</v>
      </c>
      <c r="V236" s="844">
        <f t="shared" si="160"/>
        <v>0</v>
      </c>
      <c r="W236" s="844">
        <f t="shared" si="160"/>
        <v>0</v>
      </c>
      <c r="X236" s="844">
        <f t="shared" si="160"/>
        <v>0</v>
      </c>
      <c r="Y236" s="844">
        <f t="shared" si="160"/>
        <v>0</v>
      </c>
      <c r="Z236" s="844">
        <f t="shared" si="160"/>
        <v>0</v>
      </c>
      <c r="AA236" s="844">
        <f t="shared" si="160"/>
        <v>0</v>
      </c>
      <c r="AB236" s="844">
        <f t="shared" si="160"/>
        <v>0</v>
      </c>
      <c r="AC236" s="844">
        <f t="shared" si="160"/>
        <v>0</v>
      </c>
      <c r="AD236" s="1"/>
      <c r="AE236" s="1"/>
    </row>
    <row r="237" spans="8:58" ht="15.75" x14ac:dyDescent="0.25">
      <c r="I237" s="99"/>
      <c r="J237" s="210" t="s">
        <v>190</v>
      </c>
      <c r="K237" s="102"/>
      <c r="L237" s="842">
        <f>SUM(L234:L236)</f>
        <v>0</v>
      </c>
      <c r="M237" s="750"/>
      <c r="N237" s="839">
        <f t="shared" ref="N237:AC237" si="161">SUM(N234:N236)</f>
        <v>0</v>
      </c>
      <c r="O237" s="839">
        <f t="shared" si="161"/>
        <v>0</v>
      </c>
      <c r="P237" s="839">
        <f t="shared" si="161"/>
        <v>0</v>
      </c>
      <c r="Q237" s="839">
        <f t="shared" si="161"/>
        <v>0</v>
      </c>
      <c r="R237" s="839">
        <f t="shared" si="161"/>
        <v>0</v>
      </c>
      <c r="S237" s="839">
        <f t="shared" si="161"/>
        <v>0</v>
      </c>
      <c r="T237" s="839">
        <f t="shared" si="161"/>
        <v>0</v>
      </c>
      <c r="U237" s="839">
        <f t="shared" si="161"/>
        <v>0</v>
      </c>
      <c r="V237" s="839">
        <f t="shared" si="161"/>
        <v>0</v>
      </c>
      <c r="W237" s="839">
        <f t="shared" si="161"/>
        <v>0</v>
      </c>
      <c r="X237" s="839">
        <f t="shared" si="161"/>
        <v>0</v>
      </c>
      <c r="Y237" s="839">
        <f t="shared" si="161"/>
        <v>0</v>
      </c>
      <c r="Z237" s="839">
        <f t="shared" si="161"/>
        <v>0</v>
      </c>
      <c r="AA237" s="839">
        <f t="shared" si="161"/>
        <v>0</v>
      </c>
      <c r="AB237" s="839">
        <f t="shared" si="161"/>
        <v>0</v>
      </c>
      <c r="AC237" s="839">
        <f t="shared" si="161"/>
        <v>0</v>
      </c>
      <c r="AD237" s="1"/>
      <c r="AE237" s="1"/>
    </row>
    <row r="238" spans="8:58" ht="15.75" x14ac:dyDescent="0.25">
      <c r="I238" s="99"/>
      <c r="J238" s="31" t="s">
        <v>191</v>
      </c>
      <c r="K238" s="31"/>
      <c r="L238" s="841">
        <f>L228-L232+L237</f>
        <v>0</v>
      </c>
      <c r="M238" s="750"/>
      <c r="N238" s="844">
        <f t="shared" ref="N238:AC238" si="162">N228-N232+N237</f>
        <v>0</v>
      </c>
      <c r="O238" s="844">
        <f t="shared" si="162"/>
        <v>0</v>
      </c>
      <c r="P238" s="844">
        <f t="shared" si="162"/>
        <v>0</v>
      </c>
      <c r="Q238" s="844">
        <f t="shared" si="162"/>
        <v>0</v>
      </c>
      <c r="R238" s="844">
        <f t="shared" si="162"/>
        <v>0</v>
      </c>
      <c r="S238" s="844">
        <f t="shared" si="162"/>
        <v>0</v>
      </c>
      <c r="T238" s="844">
        <f t="shared" si="162"/>
        <v>0</v>
      </c>
      <c r="U238" s="844">
        <f t="shared" si="162"/>
        <v>0</v>
      </c>
      <c r="V238" s="844">
        <f t="shared" si="162"/>
        <v>0</v>
      </c>
      <c r="W238" s="844">
        <f t="shared" si="162"/>
        <v>0</v>
      </c>
      <c r="X238" s="844">
        <f t="shared" si="162"/>
        <v>0</v>
      </c>
      <c r="Y238" s="844">
        <f t="shared" si="162"/>
        <v>0</v>
      </c>
      <c r="Z238" s="844">
        <f t="shared" si="162"/>
        <v>0</v>
      </c>
      <c r="AA238" s="844">
        <f t="shared" si="162"/>
        <v>0</v>
      </c>
      <c r="AB238" s="844">
        <f t="shared" si="162"/>
        <v>0</v>
      </c>
      <c r="AC238" s="844">
        <f t="shared" si="162"/>
        <v>0</v>
      </c>
      <c r="AD238" s="1"/>
      <c r="AE238" s="1"/>
    </row>
    <row r="239" spans="8:58" ht="15.75" x14ac:dyDescent="0.25">
      <c r="I239" s="99"/>
      <c r="J239" s="31" t="s">
        <v>192</v>
      </c>
      <c r="K239" s="31"/>
      <c r="L239" s="845">
        <v>0</v>
      </c>
      <c r="M239" s="750"/>
      <c r="N239" s="948">
        <v>0</v>
      </c>
      <c r="O239" s="844">
        <f t="shared" ref="O239:AC239" si="163">+N240</f>
        <v>0</v>
      </c>
      <c r="P239" s="844">
        <f t="shared" si="163"/>
        <v>0</v>
      </c>
      <c r="Q239" s="844">
        <f t="shared" si="163"/>
        <v>0</v>
      </c>
      <c r="R239" s="844">
        <f t="shared" si="163"/>
        <v>0</v>
      </c>
      <c r="S239" s="844">
        <f t="shared" si="163"/>
        <v>0</v>
      </c>
      <c r="T239" s="844">
        <f t="shared" si="163"/>
        <v>0</v>
      </c>
      <c r="U239" s="844">
        <f t="shared" si="163"/>
        <v>0</v>
      </c>
      <c r="V239" s="844">
        <f t="shared" si="163"/>
        <v>0</v>
      </c>
      <c r="W239" s="844">
        <f t="shared" si="163"/>
        <v>0</v>
      </c>
      <c r="X239" s="844">
        <f t="shared" si="163"/>
        <v>0</v>
      </c>
      <c r="Y239" s="844">
        <f t="shared" si="163"/>
        <v>0</v>
      </c>
      <c r="Z239" s="844">
        <f t="shared" si="163"/>
        <v>0</v>
      </c>
      <c r="AA239" s="844">
        <f t="shared" si="163"/>
        <v>0</v>
      </c>
      <c r="AB239" s="844">
        <f t="shared" si="163"/>
        <v>0</v>
      </c>
      <c r="AC239" s="844">
        <f t="shared" si="163"/>
        <v>0</v>
      </c>
      <c r="AD239" s="1"/>
      <c r="AE239" s="1"/>
    </row>
    <row r="240" spans="8:58" thickBot="1" x14ac:dyDescent="0.3">
      <c r="I240" s="99">
        <v>4</v>
      </c>
      <c r="J240" s="301" t="s">
        <v>193</v>
      </c>
      <c r="K240" s="302"/>
      <c r="L240" s="846">
        <f>SUM(L238:L239)</f>
        <v>0</v>
      </c>
      <c r="M240" s="750"/>
      <c r="N240" s="847">
        <f t="shared" ref="N240:AC240" si="164">SUM(N238:N239)</f>
        <v>0</v>
      </c>
      <c r="O240" s="847">
        <f t="shared" si="164"/>
        <v>0</v>
      </c>
      <c r="P240" s="847">
        <f t="shared" si="164"/>
        <v>0</v>
      </c>
      <c r="Q240" s="847">
        <f t="shared" si="164"/>
        <v>0</v>
      </c>
      <c r="R240" s="847">
        <f t="shared" si="164"/>
        <v>0</v>
      </c>
      <c r="S240" s="847">
        <f t="shared" si="164"/>
        <v>0</v>
      </c>
      <c r="T240" s="847">
        <f t="shared" si="164"/>
        <v>0</v>
      </c>
      <c r="U240" s="847">
        <f t="shared" si="164"/>
        <v>0</v>
      </c>
      <c r="V240" s="847">
        <f t="shared" si="164"/>
        <v>0</v>
      </c>
      <c r="W240" s="847">
        <f t="shared" si="164"/>
        <v>0</v>
      </c>
      <c r="X240" s="847">
        <f t="shared" si="164"/>
        <v>0</v>
      </c>
      <c r="Y240" s="847">
        <f t="shared" si="164"/>
        <v>0</v>
      </c>
      <c r="Z240" s="847">
        <f t="shared" si="164"/>
        <v>0</v>
      </c>
      <c r="AA240" s="847">
        <f t="shared" si="164"/>
        <v>0</v>
      </c>
      <c r="AB240" s="847">
        <f t="shared" si="164"/>
        <v>0</v>
      </c>
      <c r="AC240" s="847">
        <f t="shared" si="164"/>
        <v>0</v>
      </c>
      <c r="AD240" s="1"/>
      <c r="AE240" s="308"/>
      <c r="AF240" s="308"/>
      <c r="AG240" s="308"/>
      <c r="AH240" s="308"/>
      <c r="AI240" s="308"/>
      <c r="AJ240" s="308"/>
      <c r="AK240" s="308"/>
      <c r="AL240" s="308"/>
      <c r="AM240" s="308"/>
      <c r="AN240" s="308"/>
      <c r="AO240" s="308"/>
      <c r="AP240" s="308"/>
      <c r="AQ240" s="308"/>
      <c r="AR240" s="308"/>
      <c r="AS240" s="308"/>
      <c r="AT240" s="308"/>
    </row>
    <row r="241" spans="9:46" s="308" customFormat="1" ht="18" customHeight="1" thickTop="1" x14ac:dyDescent="0.2">
      <c r="I241" s="303"/>
      <c r="J241" s="304" t="s">
        <v>176</v>
      </c>
      <c r="K241" s="305"/>
      <c r="L241" s="306"/>
      <c r="M241" s="7"/>
      <c r="N241" s="307" t="str">
        <f>IF(AND(ABS(N240-N199)&lt;1,ABS(N240)&gt;=0),"OK","Wrong")</f>
        <v>OK</v>
      </c>
      <c r="O241" s="307" t="str">
        <f>IF(AND(ABS(O240-O199)&lt;1,ABS(O240)&gt;=0),"OK","Wrong")</f>
        <v>OK</v>
      </c>
      <c r="P241" s="307" t="str">
        <f t="shared" ref="P241:AC241" si="165">IF(AND(ABS(P240-P199)&lt;1,ABS(P240)&gt;=0),"OK","Wrong")</f>
        <v>OK</v>
      </c>
      <c r="Q241" s="307" t="str">
        <f t="shared" si="165"/>
        <v>OK</v>
      </c>
      <c r="R241" s="307" t="str">
        <f t="shared" si="165"/>
        <v>OK</v>
      </c>
      <c r="S241" s="307" t="str">
        <f t="shared" si="165"/>
        <v>OK</v>
      </c>
      <c r="T241" s="307" t="str">
        <f t="shared" si="165"/>
        <v>OK</v>
      </c>
      <c r="U241" s="307" t="str">
        <f t="shared" si="165"/>
        <v>OK</v>
      </c>
      <c r="V241" s="307" t="str">
        <f t="shared" si="165"/>
        <v>OK</v>
      </c>
      <c r="W241" s="307" t="str">
        <f t="shared" si="165"/>
        <v>OK</v>
      </c>
      <c r="X241" s="307" t="str">
        <f t="shared" si="165"/>
        <v>OK</v>
      </c>
      <c r="Y241" s="307" t="str">
        <f t="shared" si="165"/>
        <v>OK</v>
      </c>
      <c r="Z241" s="307" t="str">
        <f t="shared" si="165"/>
        <v>OK</v>
      </c>
      <c r="AA241" s="307" t="str">
        <f t="shared" si="165"/>
        <v>OK</v>
      </c>
      <c r="AB241" s="307" t="str">
        <f t="shared" si="165"/>
        <v>OK</v>
      </c>
      <c r="AC241" s="307" t="str">
        <f t="shared" si="165"/>
        <v>OK</v>
      </c>
    </row>
    <row r="242" spans="9:46" s="308" customFormat="1" ht="18" customHeight="1" x14ac:dyDescent="0.2">
      <c r="I242" s="303"/>
      <c r="J242" s="304"/>
      <c r="K242" s="305"/>
      <c r="L242" s="306"/>
      <c r="M242" s="7"/>
      <c r="N242" s="307"/>
      <c r="O242" s="307"/>
      <c r="P242" s="307"/>
      <c r="Q242" s="307"/>
      <c r="R242" s="307"/>
      <c r="S242" s="307"/>
      <c r="T242" s="307"/>
      <c r="U242" s="307"/>
      <c r="V242" s="307"/>
      <c r="W242" s="307"/>
      <c r="X242" s="307"/>
      <c r="Y242" s="307"/>
      <c r="Z242" s="307"/>
      <c r="AA242" s="307"/>
      <c r="AB242" s="307"/>
      <c r="AC242" s="307"/>
      <c r="AE242" s="1"/>
      <c r="AF242" s="1"/>
      <c r="AG242" s="1"/>
      <c r="AH242" s="1"/>
      <c r="AI242" s="1"/>
      <c r="AJ242" s="1"/>
      <c r="AK242" s="1"/>
      <c r="AL242" s="1"/>
      <c r="AM242" s="1"/>
      <c r="AN242" s="1"/>
      <c r="AO242" s="1"/>
      <c r="AP242" s="1"/>
      <c r="AQ242" s="1"/>
      <c r="AR242" s="1"/>
      <c r="AS242" s="1"/>
      <c r="AT242" s="1"/>
    </row>
    <row r="243" spans="9:46" ht="18" outlineLevel="1" x14ac:dyDescent="0.2">
      <c r="I243" s="104" t="s">
        <v>194</v>
      </c>
      <c r="J243" s="105" t="s">
        <v>195</v>
      </c>
      <c r="K243" s="105"/>
      <c r="L243" s="105"/>
      <c r="M243" s="106"/>
      <c r="N243" s="107">
        <f>N$11</f>
        <v>2024</v>
      </c>
      <c r="O243" s="107">
        <f t="shared" ref="O243:AC243" si="166">O$11</f>
        <v>2025</v>
      </c>
      <c r="P243" s="107">
        <f t="shared" si="166"/>
        <v>2026</v>
      </c>
      <c r="Q243" s="107">
        <f t="shared" si="166"/>
        <v>2027</v>
      </c>
      <c r="R243" s="107">
        <f t="shared" si="166"/>
        <v>2028</v>
      </c>
      <c r="S243" s="107">
        <f t="shared" si="166"/>
        <v>2029</v>
      </c>
      <c r="T243" s="107">
        <f t="shared" si="166"/>
        <v>2030</v>
      </c>
      <c r="U243" s="107">
        <f t="shared" si="166"/>
        <v>2031</v>
      </c>
      <c r="V243" s="107">
        <f t="shared" si="166"/>
        <v>2032</v>
      </c>
      <c r="W243" s="107">
        <f t="shared" si="166"/>
        <v>2033</v>
      </c>
      <c r="X243" s="107">
        <f t="shared" si="166"/>
        <v>2034</v>
      </c>
      <c r="Y243" s="107">
        <f t="shared" si="166"/>
        <v>2035</v>
      </c>
      <c r="Z243" s="107">
        <f t="shared" si="166"/>
        <v>2036</v>
      </c>
      <c r="AA243" s="107">
        <f t="shared" si="166"/>
        <v>2037</v>
      </c>
      <c r="AB243" s="107">
        <f t="shared" si="166"/>
        <v>2038</v>
      </c>
      <c r="AC243" s="107">
        <f t="shared" si="166"/>
        <v>2039</v>
      </c>
      <c r="AD243" s="1"/>
      <c r="AE243"/>
      <c r="AF243"/>
      <c r="AG243"/>
      <c r="AH243"/>
      <c r="AI243"/>
      <c r="AJ243"/>
      <c r="AK243"/>
      <c r="AL243"/>
      <c r="AM243"/>
      <c r="AN243"/>
      <c r="AO243"/>
      <c r="AP243"/>
      <c r="AQ243"/>
      <c r="AR243"/>
      <c r="AS243"/>
      <c r="AT243"/>
    </row>
    <row r="244" spans="9:46" customFormat="1" ht="15" outlineLevel="1" thickBot="1" x14ac:dyDescent="0.25">
      <c r="AE244" s="4"/>
      <c r="AF244" s="1"/>
      <c r="AG244" s="1"/>
      <c r="AH244" s="1"/>
      <c r="AI244" s="1"/>
      <c r="AJ244" s="1"/>
      <c r="AK244" s="1"/>
      <c r="AL244" s="1"/>
      <c r="AM244" s="1"/>
      <c r="AN244" s="1"/>
      <c r="AO244" s="1"/>
      <c r="AP244" s="1"/>
      <c r="AQ244" s="1"/>
      <c r="AR244" s="1"/>
      <c r="AS244" s="1"/>
      <c r="AT244" s="1"/>
    </row>
    <row r="245" spans="9:46" ht="18" outlineLevel="1" x14ac:dyDescent="0.4">
      <c r="I245" s="309"/>
      <c r="J245" s="310" t="s">
        <v>196</v>
      </c>
      <c r="K245" s="311"/>
      <c r="L245" s="312"/>
      <c r="M245" s="313"/>
      <c r="N245" s="314"/>
      <c r="O245" s="314"/>
      <c r="P245" s="314"/>
      <c r="Q245" s="314"/>
      <c r="R245" s="314"/>
      <c r="S245" s="314"/>
      <c r="T245" s="314"/>
      <c r="U245" s="314"/>
      <c r="V245" s="314"/>
      <c r="W245" s="314"/>
      <c r="X245" s="314"/>
      <c r="Y245" s="314"/>
      <c r="Z245" s="314"/>
      <c r="AA245" s="314"/>
      <c r="AB245" s="314"/>
      <c r="AC245" s="315"/>
      <c r="AD245" s="1"/>
    </row>
    <row r="246" spans="9:46" ht="18.75" customHeight="1" outlineLevel="1" x14ac:dyDescent="0.25">
      <c r="I246" s="316"/>
      <c r="J246" s="317" t="s">
        <v>197</v>
      </c>
      <c r="K246" s="318"/>
      <c r="L246" s="319"/>
      <c r="M246" s="320"/>
      <c r="N246" s="319"/>
      <c r="O246" s="319"/>
      <c r="P246" s="319"/>
      <c r="Q246" s="319"/>
      <c r="R246" s="319"/>
      <c r="S246" s="319"/>
      <c r="T246" s="319"/>
      <c r="U246" s="319"/>
      <c r="V246" s="319"/>
      <c r="W246" s="319"/>
      <c r="X246" s="319"/>
      <c r="Y246" s="319"/>
      <c r="Z246" s="319"/>
      <c r="AA246" s="319"/>
      <c r="AB246" s="319"/>
      <c r="AC246" s="321"/>
      <c r="AD246" s="1"/>
    </row>
    <row r="247" spans="9:46" ht="15.75" outlineLevel="1" x14ac:dyDescent="0.25">
      <c r="I247" s="316"/>
      <c r="J247" s="322" t="s">
        <v>198</v>
      </c>
      <c r="K247" s="318"/>
      <c r="L247" s="848">
        <f>SUM(N247:AC247)</f>
        <v>0</v>
      </c>
      <c r="M247" s="750"/>
      <c r="N247" s="848">
        <f t="shared" ref="N247:AC247" si="167">IFERROR(N118+N139,)</f>
        <v>0</v>
      </c>
      <c r="O247" s="848">
        <f t="shared" si="167"/>
        <v>0</v>
      </c>
      <c r="P247" s="848">
        <f t="shared" si="167"/>
        <v>0</v>
      </c>
      <c r="Q247" s="848">
        <f t="shared" si="167"/>
        <v>0</v>
      </c>
      <c r="R247" s="848">
        <f t="shared" si="167"/>
        <v>0</v>
      </c>
      <c r="S247" s="848">
        <f t="shared" si="167"/>
        <v>0</v>
      </c>
      <c r="T247" s="848">
        <f t="shared" si="167"/>
        <v>0</v>
      </c>
      <c r="U247" s="848">
        <f t="shared" si="167"/>
        <v>0</v>
      </c>
      <c r="V247" s="848">
        <f t="shared" si="167"/>
        <v>0</v>
      </c>
      <c r="W247" s="848">
        <f t="shared" si="167"/>
        <v>0</v>
      </c>
      <c r="X247" s="848">
        <f t="shared" si="167"/>
        <v>0</v>
      </c>
      <c r="Y247" s="848">
        <f t="shared" si="167"/>
        <v>0</v>
      </c>
      <c r="Z247" s="848">
        <f t="shared" si="167"/>
        <v>0</v>
      </c>
      <c r="AA247" s="848">
        <f t="shared" si="167"/>
        <v>0</v>
      </c>
      <c r="AB247" s="848">
        <f t="shared" si="167"/>
        <v>0</v>
      </c>
      <c r="AC247" s="949">
        <f t="shared" si="167"/>
        <v>0</v>
      </c>
      <c r="AD247" s="1"/>
    </row>
    <row r="248" spans="9:46" ht="15.75" outlineLevel="1" x14ac:dyDescent="0.25">
      <c r="I248" s="316"/>
      <c r="J248" s="322" t="s">
        <v>199</v>
      </c>
      <c r="K248" s="318"/>
      <c r="L248" s="848">
        <f>SUM(N248:AC248)</f>
        <v>0</v>
      </c>
      <c r="M248" s="750"/>
      <c r="N248" s="950">
        <f>-IFERROR(N279,)</f>
        <v>0</v>
      </c>
      <c r="O248" s="848">
        <f t="shared" ref="O248:AC248" si="168">-IFERROR(O279-N279,)</f>
        <v>0</v>
      </c>
      <c r="P248" s="848">
        <f t="shared" si="168"/>
        <v>0</v>
      </c>
      <c r="Q248" s="848">
        <f t="shared" si="168"/>
        <v>0</v>
      </c>
      <c r="R248" s="848">
        <f t="shared" si="168"/>
        <v>0</v>
      </c>
      <c r="S248" s="848">
        <f t="shared" si="168"/>
        <v>0</v>
      </c>
      <c r="T248" s="848">
        <f t="shared" si="168"/>
        <v>0</v>
      </c>
      <c r="U248" s="848">
        <f t="shared" si="168"/>
        <v>0</v>
      </c>
      <c r="V248" s="848">
        <f t="shared" si="168"/>
        <v>0</v>
      </c>
      <c r="W248" s="848">
        <f t="shared" si="168"/>
        <v>0</v>
      </c>
      <c r="X248" s="848">
        <f t="shared" si="168"/>
        <v>0</v>
      </c>
      <c r="Y248" s="848">
        <f t="shared" si="168"/>
        <v>0</v>
      </c>
      <c r="Z248" s="848">
        <f t="shared" si="168"/>
        <v>0</v>
      </c>
      <c r="AA248" s="848">
        <f t="shared" si="168"/>
        <v>0</v>
      </c>
      <c r="AB248" s="848">
        <f t="shared" si="168"/>
        <v>0</v>
      </c>
      <c r="AC248" s="949">
        <f t="shared" si="168"/>
        <v>0</v>
      </c>
      <c r="AD248" s="1"/>
    </row>
    <row r="249" spans="9:46" ht="15.75" outlineLevel="1" x14ac:dyDescent="0.25">
      <c r="I249" s="316"/>
      <c r="J249" s="324" t="s">
        <v>200</v>
      </c>
      <c r="K249" s="318"/>
      <c r="L249" s="839">
        <f>SUM(L247:L248)</f>
        <v>0</v>
      </c>
      <c r="M249" s="750"/>
      <c r="N249" s="839">
        <f>SUM(N247:N248)</f>
        <v>0</v>
      </c>
      <c r="O249" s="839">
        <f t="shared" ref="O249:AC249" si="169">SUM(O247:O248)</f>
        <v>0</v>
      </c>
      <c r="P249" s="839">
        <f t="shared" si="169"/>
        <v>0</v>
      </c>
      <c r="Q249" s="839">
        <f t="shared" si="169"/>
        <v>0</v>
      </c>
      <c r="R249" s="839">
        <f t="shared" si="169"/>
        <v>0</v>
      </c>
      <c r="S249" s="839">
        <f t="shared" si="169"/>
        <v>0</v>
      </c>
      <c r="T249" s="839">
        <f t="shared" si="169"/>
        <v>0</v>
      </c>
      <c r="U249" s="839">
        <f t="shared" si="169"/>
        <v>0</v>
      </c>
      <c r="V249" s="839">
        <f t="shared" si="169"/>
        <v>0</v>
      </c>
      <c r="W249" s="839">
        <f t="shared" si="169"/>
        <v>0</v>
      </c>
      <c r="X249" s="839">
        <f t="shared" si="169"/>
        <v>0</v>
      </c>
      <c r="Y249" s="839">
        <f t="shared" si="169"/>
        <v>0</v>
      </c>
      <c r="Z249" s="839">
        <f t="shared" si="169"/>
        <v>0</v>
      </c>
      <c r="AA249" s="839">
        <f t="shared" si="169"/>
        <v>0</v>
      </c>
      <c r="AB249" s="839">
        <f t="shared" si="169"/>
        <v>0</v>
      </c>
      <c r="AC249" s="849">
        <f t="shared" si="169"/>
        <v>0</v>
      </c>
      <c r="AD249" s="1"/>
    </row>
    <row r="250" spans="9:46" ht="15.75" outlineLevel="1" x14ac:dyDescent="0.25">
      <c r="I250" s="316"/>
      <c r="J250" s="317" t="s">
        <v>201</v>
      </c>
      <c r="K250" s="318"/>
      <c r="L250" s="850"/>
      <c r="M250" s="750"/>
      <c r="N250" s="850"/>
      <c r="O250" s="850"/>
      <c r="P250" s="850"/>
      <c r="Q250" s="850"/>
      <c r="R250" s="850"/>
      <c r="S250" s="850"/>
      <c r="T250" s="850"/>
      <c r="U250" s="850"/>
      <c r="V250" s="850"/>
      <c r="W250" s="850"/>
      <c r="X250" s="850"/>
      <c r="Y250" s="850"/>
      <c r="Z250" s="850"/>
      <c r="AA250" s="850"/>
      <c r="AB250" s="850"/>
      <c r="AC250" s="851"/>
      <c r="AD250" s="1"/>
    </row>
    <row r="251" spans="9:46" ht="15.75" outlineLevel="1" x14ac:dyDescent="0.25">
      <c r="I251" s="316"/>
      <c r="J251" s="322" t="s">
        <v>202</v>
      </c>
      <c r="K251" s="318"/>
      <c r="L251" s="848">
        <f>SUM(N251:AC251)</f>
        <v>0</v>
      </c>
      <c r="M251" s="750"/>
      <c r="N251" s="848">
        <f>IFERROR(SUM(N119:N123,N126:N130,N134:N137,N140,N141,N170,N167,N132,N148:N150,N152,N156:N158,N161,N168),)</f>
        <v>0</v>
      </c>
      <c r="O251" s="848">
        <f t="shared" ref="O251:AC251" si="170">IFERROR(SUM(O119:O123,O126:O130,O134:O137,O140,O141,O170,O167,O132,O148:O150,O152,O156:O158,O161,O168),)</f>
        <v>0</v>
      </c>
      <c r="P251" s="848">
        <f t="shared" si="170"/>
        <v>0</v>
      </c>
      <c r="Q251" s="848">
        <f t="shared" si="170"/>
        <v>0</v>
      </c>
      <c r="R251" s="848">
        <f t="shared" si="170"/>
        <v>0</v>
      </c>
      <c r="S251" s="848">
        <f t="shared" si="170"/>
        <v>0</v>
      </c>
      <c r="T251" s="848">
        <f t="shared" si="170"/>
        <v>0</v>
      </c>
      <c r="U251" s="848">
        <f t="shared" si="170"/>
        <v>0</v>
      </c>
      <c r="V251" s="848">
        <f t="shared" si="170"/>
        <v>0</v>
      </c>
      <c r="W251" s="848">
        <f t="shared" si="170"/>
        <v>0</v>
      </c>
      <c r="X251" s="848">
        <f t="shared" si="170"/>
        <v>0</v>
      </c>
      <c r="Y251" s="848">
        <f t="shared" si="170"/>
        <v>0</v>
      </c>
      <c r="Z251" s="848">
        <f t="shared" si="170"/>
        <v>0</v>
      </c>
      <c r="AA251" s="848">
        <f t="shared" si="170"/>
        <v>0</v>
      </c>
      <c r="AB251" s="848">
        <f t="shared" si="170"/>
        <v>0</v>
      </c>
      <c r="AC251" s="949">
        <f t="shared" si="170"/>
        <v>0</v>
      </c>
      <c r="AD251" s="1"/>
    </row>
    <row r="252" spans="9:46" ht="15.75" outlineLevel="1" x14ac:dyDescent="0.25">
      <c r="I252" s="316"/>
      <c r="J252" s="322" t="s">
        <v>203</v>
      </c>
      <c r="K252" s="318"/>
      <c r="L252" s="848">
        <f>SUM(N252:AC252)</f>
        <v>0</v>
      </c>
      <c r="M252" s="750"/>
      <c r="N252" s="950">
        <f>-(SUM(N280:N287))</f>
        <v>0</v>
      </c>
      <c r="O252" s="848">
        <f t="shared" ref="O252:AC252" si="171">-SUM(O280:O287)+SUM(N280:N287)</f>
        <v>0</v>
      </c>
      <c r="P252" s="848">
        <f t="shared" si="171"/>
        <v>0</v>
      </c>
      <c r="Q252" s="848">
        <f t="shared" si="171"/>
        <v>0</v>
      </c>
      <c r="R252" s="848">
        <f t="shared" si="171"/>
        <v>0</v>
      </c>
      <c r="S252" s="848">
        <f t="shared" si="171"/>
        <v>0</v>
      </c>
      <c r="T252" s="848">
        <f t="shared" si="171"/>
        <v>0</v>
      </c>
      <c r="U252" s="848">
        <f t="shared" si="171"/>
        <v>0</v>
      </c>
      <c r="V252" s="848">
        <f t="shared" si="171"/>
        <v>0</v>
      </c>
      <c r="W252" s="848">
        <f t="shared" si="171"/>
        <v>0</v>
      </c>
      <c r="X252" s="848">
        <f t="shared" si="171"/>
        <v>0</v>
      </c>
      <c r="Y252" s="848">
        <f t="shared" si="171"/>
        <v>0</v>
      </c>
      <c r="Z252" s="848">
        <f t="shared" si="171"/>
        <v>0</v>
      </c>
      <c r="AA252" s="848">
        <f t="shared" si="171"/>
        <v>0</v>
      </c>
      <c r="AB252" s="848">
        <f t="shared" si="171"/>
        <v>0</v>
      </c>
      <c r="AC252" s="949">
        <f t="shared" si="171"/>
        <v>0</v>
      </c>
      <c r="AD252" s="1"/>
    </row>
    <row r="253" spans="9:46" ht="15.75" outlineLevel="1" x14ac:dyDescent="0.25">
      <c r="I253" s="316"/>
      <c r="J253" s="324" t="s">
        <v>204</v>
      </c>
      <c r="K253" s="318"/>
      <c r="L253" s="839">
        <f t="shared" ref="L253:AC253" si="172">SUM(L251:L252)</f>
        <v>0</v>
      </c>
      <c r="M253" s="750"/>
      <c r="N253" s="839">
        <f t="shared" si="172"/>
        <v>0</v>
      </c>
      <c r="O253" s="839">
        <f t="shared" si="172"/>
        <v>0</v>
      </c>
      <c r="P253" s="839">
        <f t="shared" si="172"/>
        <v>0</v>
      </c>
      <c r="Q253" s="839">
        <f t="shared" si="172"/>
        <v>0</v>
      </c>
      <c r="R253" s="839">
        <f t="shared" si="172"/>
        <v>0</v>
      </c>
      <c r="S253" s="839">
        <f t="shared" si="172"/>
        <v>0</v>
      </c>
      <c r="T253" s="839">
        <f t="shared" si="172"/>
        <v>0</v>
      </c>
      <c r="U253" s="839">
        <f t="shared" si="172"/>
        <v>0</v>
      </c>
      <c r="V253" s="839">
        <f t="shared" si="172"/>
        <v>0</v>
      </c>
      <c r="W253" s="839">
        <f t="shared" si="172"/>
        <v>0</v>
      </c>
      <c r="X253" s="839">
        <f t="shared" si="172"/>
        <v>0</v>
      </c>
      <c r="Y253" s="839">
        <f t="shared" si="172"/>
        <v>0</v>
      </c>
      <c r="Z253" s="839">
        <f t="shared" si="172"/>
        <v>0</v>
      </c>
      <c r="AA253" s="839">
        <f t="shared" si="172"/>
        <v>0</v>
      </c>
      <c r="AB253" s="839">
        <f t="shared" si="172"/>
        <v>0</v>
      </c>
      <c r="AC253" s="849">
        <f t="shared" si="172"/>
        <v>0</v>
      </c>
      <c r="AD253" s="1"/>
    </row>
    <row r="254" spans="9:46" outlineLevel="1" thickBot="1" x14ac:dyDescent="0.3">
      <c r="I254" s="316"/>
      <c r="J254" s="317" t="s">
        <v>182</v>
      </c>
      <c r="K254" s="318"/>
      <c r="L254" s="837">
        <f>L249+L253</f>
        <v>0</v>
      </c>
      <c r="M254" s="750"/>
      <c r="N254" s="837">
        <f>N249+N253</f>
        <v>0</v>
      </c>
      <c r="O254" s="837">
        <f t="shared" ref="O254:AC254" si="173">O249+O253</f>
        <v>0</v>
      </c>
      <c r="P254" s="837">
        <f t="shared" si="173"/>
        <v>0</v>
      </c>
      <c r="Q254" s="837">
        <f t="shared" si="173"/>
        <v>0</v>
      </c>
      <c r="R254" s="837">
        <f t="shared" si="173"/>
        <v>0</v>
      </c>
      <c r="S254" s="837">
        <f t="shared" si="173"/>
        <v>0</v>
      </c>
      <c r="T254" s="837">
        <f t="shared" si="173"/>
        <v>0</v>
      </c>
      <c r="U254" s="837">
        <f t="shared" si="173"/>
        <v>0</v>
      </c>
      <c r="V254" s="837">
        <f t="shared" si="173"/>
        <v>0</v>
      </c>
      <c r="W254" s="837">
        <f t="shared" si="173"/>
        <v>0</v>
      </c>
      <c r="X254" s="837">
        <f t="shared" si="173"/>
        <v>0</v>
      </c>
      <c r="Y254" s="837">
        <f t="shared" si="173"/>
        <v>0</v>
      </c>
      <c r="Z254" s="837">
        <f t="shared" si="173"/>
        <v>0</v>
      </c>
      <c r="AA254" s="837">
        <f t="shared" si="173"/>
        <v>0</v>
      </c>
      <c r="AB254" s="837">
        <f t="shared" si="173"/>
        <v>0</v>
      </c>
      <c r="AC254" s="852">
        <f t="shared" si="173"/>
        <v>0</v>
      </c>
      <c r="AD254" s="1"/>
      <c r="AE254" s="308"/>
      <c r="AF254" s="308"/>
      <c r="AG254" s="308"/>
      <c r="AH254" s="308"/>
      <c r="AI254" s="308"/>
      <c r="AJ254" s="308"/>
      <c r="AK254" s="308"/>
      <c r="AL254" s="308"/>
      <c r="AM254" s="308"/>
      <c r="AN254" s="308"/>
      <c r="AO254" s="308"/>
      <c r="AP254" s="308"/>
      <c r="AQ254" s="308"/>
      <c r="AR254" s="308"/>
      <c r="AS254" s="308"/>
      <c r="AT254" s="308"/>
    </row>
    <row r="255" spans="9:46" s="308" customFormat="1" ht="18" customHeight="1" outlineLevel="1" thickTop="1" x14ac:dyDescent="0.25">
      <c r="I255" s="316"/>
      <c r="J255" s="326"/>
      <c r="K255" s="305"/>
      <c r="L255" s="327" t="s">
        <v>205</v>
      </c>
      <c r="M255" s="328"/>
      <c r="N255" s="329" t="str">
        <f>IF(N256&lt;1,"OK","Wrong")</f>
        <v>OK</v>
      </c>
      <c r="O255" s="329" t="str">
        <f t="shared" ref="O255:AC255" si="174">IF(O256&lt;1,"OK","Wrong")</f>
        <v>OK</v>
      </c>
      <c r="P255" s="329" t="str">
        <f t="shared" si="174"/>
        <v>OK</v>
      </c>
      <c r="Q255" s="329" t="str">
        <f t="shared" si="174"/>
        <v>OK</v>
      </c>
      <c r="R255" s="329" t="str">
        <f t="shared" si="174"/>
        <v>OK</v>
      </c>
      <c r="S255" s="329" t="str">
        <f t="shared" si="174"/>
        <v>OK</v>
      </c>
      <c r="T255" s="329" t="str">
        <f t="shared" si="174"/>
        <v>OK</v>
      </c>
      <c r="U255" s="329" t="str">
        <f t="shared" si="174"/>
        <v>OK</v>
      </c>
      <c r="V255" s="329" t="str">
        <f t="shared" si="174"/>
        <v>OK</v>
      </c>
      <c r="W255" s="329" t="str">
        <f t="shared" si="174"/>
        <v>OK</v>
      </c>
      <c r="X255" s="329" t="str">
        <f t="shared" si="174"/>
        <v>OK</v>
      </c>
      <c r="Y255" s="329" t="str">
        <f t="shared" si="174"/>
        <v>OK</v>
      </c>
      <c r="Z255" s="329" t="str">
        <f t="shared" si="174"/>
        <v>OK</v>
      </c>
      <c r="AA255" s="329" t="str">
        <f t="shared" si="174"/>
        <v>OK</v>
      </c>
      <c r="AB255" s="329" t="str">
        <f t="shared" si="174"/>
        <v>OK</v>
      </c>
      <c r="AC255" s="330" t="str">
        <f t="shared" si="174"/>
        <v>OK</v>
      </c>
      <c r="AE255" s="339"/>
      <c r="AF255" s="338"/>
      <c r="AG255" s="338"/>
      <c r="AH255" s="338"/>
      <c r="AI255" s="338"/>
      <c r="AJ255" s="338"/>
      <c r="AK255" s="338"/>
      <c r="AL255" s="338"/>
      <c r="AM255" s="338"/>
      <c r="AN255" s="338"/>
      <c r="AO255" s="338"/>
      <c r="AP255" s="338"/>
      <c r="AQ255" s="338"/>
      <c r="AR255" s="338"/>
      <c r="AS255" s="338"/>
      <c r="AT255" s="338"/>
    </row>
    <row r="256" spans="9:46" s="338" customFormat="1" ht="13.5" outlineLevel="1" thickBot="1" x14ac:dyDescent="0.25">
      <c r="I256" s="331"/>
      <c r="J256" s="332"/>
      <c r="K256" s="333"/>
      <c r="L256" s="334" t="s">
        <v>206</v>
      </c>
      <c r="M256" s="335"/>
      <c r="N256" s="336">
        <f>IF(ABS(N254-N228)&lt;0.5,0,N254-N228)</f>
        <v>0</v>
      </c>
      <c r="O256" s="336">
        <f t="shared" ref="O256:AC256" si="175">IF(ABS(O254-O228)&lt;0.5,0,O254-O228)</f>
        <v>0</v>
      </c>
      <c r="P256" s="336">
        <f t="shared" si="175"/>
        <v>0</v>
      </c>
      <c r="Q256" s="336">
        <f t="shared" si="175"/>
        <v>0</v>
      </c>
      <c r="R256" s="336">
        <f t="shared" si="175"/>
        <v>0</v>
      </c>
      <c r="S256" s="336">
        <f t="shared" si="175"/>
        <v>0</v>
      </c>
      <c r="T256" s="336">
        <f t="shared" si="175"/>
        <v>0</v>
      </c>
      <c r="U256" s="336">
        <f t="shared" si="175"/>
        <v>0</v>
      </c>
      <c r="V256" s="336">
        <f t="shared" si="175"/>
        <v>0</v>
      </c>
      <c r="W256" s="336">
        <f t="shared" si="175"/>
        <v>0</v>
      </c>
      <c r="X256" s="336">
        <f t="shared" si="175"/>
        <v>0</v>
      </c>
      <c r="Y256" s="336">
        <f t="shared" si="175"/>
        <v>0</v>
      </c>
      <c r="Z256" s="336">
        <f t="shared" si="175"/>
        <v>0</v>
      </c>
      <c r="AA256" s="336">
        <f t="shared" si="175"/>
        <v>0</v>
      </c>
      <c r="AB256" s="336">
        <f t="shared" si="175"/>
        <v>0</v>
      </c>
      <c r="AC256" s="337">
        <f t="shared" si="175"/>
        <v>0</v>
      </c>
      <c r="AE256" s="345"/>
      <c r="AF256" s="344"/>
      <c r="AG256" s="344"/>
      <c r="AH256" s="344"/>
      <c r="AI256" s="344"/>
      <c r="AJ256" s="344"/>
      <c r="AK256" s="344"/>
      <c r="AL256" s="344"/>
      <c r="AM256" s="344"/>
      <c r="AN256" s="344"/>
      <c r="AO256" s="344"/>
      <c r="AP256" s="344"/>
      <c r="AQ256" s="344"/>
      <c r="AR256" s="344"/>
      <c r="AS256" s="344"/>
      <c r="AT256" s="344"/>
    </row>
    <row r="257" spans="9:31" s="344" customFormat="1" outlineLevel="1" thickBot="1" x14ac:dyDescent="0.3">
      <c r="I257" s="340"/>
      <c r="J257" s="341"/>
      <c r="K257" s="342"/>
      <c r="L257" s="343"/>
      <c r="M257" s="7"/>
      <c r="N257" s="325"/>
      <c r="O257" s="325"/>
      <c r="P257" s="325"/>
      <c r="Q257" s="325"/>
      <c r="R257" s="325"/>
      <c r="S257" s="325"/>
      <c r="T257" s="325"/>
      <c r="U257" s="325"/>
      <c r="V257" s="325"/>
      <c r="W257" s="325"/>
      <c r="X257" s="325"/>
      <c r="Y257" s="325"/>
      <c r="Z257" s="325"/>
      <c r="AA257" s="325"/>
      <c r="AB257" s="325"/>
      <c r="AC257" s="325"/>
      <c r="AE257" s="345"/>
    </row>
    <row r="258" spans="9:31" s="344" customFormat="1" ht="18" outlineLevel="1" x14ac:dyDescent="0.4">
      <c r="I258" s="346"/>
      <c r="J258" s="310" t="s">
        <v>207</v>
      </c>
      <c r="K258" s="347"/>
      <c r="L258" s="348"/>
      <c r="M258" s="349"/>
      <c r="N258" s="107">
        <f>N$11</f>
        <v>2024</v>
      </c>
      <c r="O258" s="107">
        <f t="shared" ref="O258:AC258" si="176">O$11</f>
        <v>2025</v>
      </c>
      <c r="P258" s="107">
        <f t="shared" si="176"/>
        <v>2026</v>
      </c>
      <c r="Q258" s="107">
        <f t="shared" si="176"/>
        <v>2027</v>
      </c>
      <c r="R258" s="107">
        <f t="shared" si="176"/>
        <v>2028</v>
      </c>
      <c r="S258" s="107">
        <f t="shared" si="176"/>
        <v>2029</v>
      </c>
      <c r="T258" s="107">
        <f t="shared" si="176"/>
        <v>2030</v>
      </c>
      <c r="U258" s="107">
        <f t="shared" si="176"/>
        <v>2031</v>
      </c>
      <c r="V258" s="107">
        <f t="shared" si="176"/>
        <v>2032</v>
      </c>
      <c r="W258" s="107">
        <f t="shared" si="176"/>
        <v>2033</v>
      </c>
      <c r="X258" s="107">
        <f t="shared" si="176"/>
        <v>2034</v>
      </c>
      <c r="Y258" s="107">
        <f t="shared" si="176"/>
        <v>2035</v>
      </c>
      <c r="Z258" s="107">
        <f t="shared" si="176"/>
        <v>2036</v>
      </c>
      <c r="AA258" s="107">
        <f t="shared" si="176"/>
        <v>2037</v>
      </c>
      <c r="AB258" s="107">
        <f t="shared" si="176"/>
        <v>2038</v>
      </c>
      <c r="AC258" s="107">
        <f t="shared" si="176"/>
        <v>2039</v>
      </c>
      <c r="AE258" s="345"/>
    </row>
    <row r="259" spans="9:31" s="344" customFormat="1" ht="15.75" outlineLevel="1" x14ac:dyDescent="0.25">
      <c r="I259" s="350"/>
      <c r="J259" s="341"/>
      <c r="K259" s="342"/>
      <c r="L259" s="343"/>
      <c r="M259" s="7"/>
      <c r="N259" s="1"/>
      <c r="O259" s="1"/>
      <c r="P259" s="1"/>
      <c r="Q259" s="1"/>
      <c r="R259" s="1"/>
      <c r="S259" s="1"/>
      <c r="T259" s="1"/>
      <c r="U259" s="1"/>
      <c r="V259" s="1"/>
      <c r="W259" s="1"/>
      <c r="X259" s="1"/>
      <c r="Y259" s="1"/>
      <c r="Z259" s="1"/>
      <c r="AA259" s="1"/>
      <c r="AB259" s="1"/>
      <c r="AC259" s="351"/>
      <c r="AE259" s="345"/>
    </row>
    <row r="260" spans="9:31" s="344" customFormat="1" ht="15.75" outlineLevel="1" x14ac:dyDescent="0.25">
      <c r="I260" s="350"/>
      <c r="J260" s="110" t="s">
        <v>208</v>
      </c>
      <c r="K260" s="110"/>
      <c r="L260" s="343"/>
      <c r="M260" s="7"/>
      <c r="N260" s="352"/>
      <c r="O260" s="352"/>
      <c r="P260" s="352"/>
      <c r="Q260" s="352"/>
      <c r="R260" s="352"/>
      <c r="S260" s="352"/>
      <c r="T260" s="352"/>
      <c r="U260" s="352"/>
      <c r="V260" s="352"/>
      <c r="W260" s="352"/>
      <c r="X260" s="352"/>
      <c r="Y260" s="352"/>
      <c r="Z260" s="352"/>
      <c r="AA260" s="352"/>
      <c r="AB260" s="352"/>
      <c r="AC260" s="353"/>
      <c r="AE260" s="345"/>
    </row>
    <row r="261" spans="9:31" s="344" customFormat="1" ht="15.75" outlineLevel="1" x14ac:dyDescent="0.25">
      <c r="I261" s="350"/>
      <c r="J261" s="110" t="s">
        <v>209</v>
      </c>
      <c r="K261" s="110"/>
      <c r="L261" s="352"/>
      <c r="M261" s="7"/>
      <c r="N261" s="848">
        <f t="shared" ref="N261:AC261" si="177">N253*MAX(N79,60)/365</f>
        <v>0</v>
      </c>
      <c r="O261" s="848">
        <f t="shared" si="177"/>
        <v>0</v>
      </c>
      <c r="P261" s="848">
        <f t="shared" si="177"/>
        <v>0</v>
      </c>
      <c r="Q261" s="848">
        <f t="shared" si="177"/>
        <v>0</v>
      </c>
      <c r="R261" s="848">
        <f t="shared" si="177"/>
        <v>0</v>
      </c>
      <c r="S261" s="848">
        <f t="shared" si="177"/>
        <v>0</v>
      </c>
      <c r="T261" s="848">
        <f t="shared" si="177"/>
        <v>0</v>
      </c>
      <c r="U261" s="848">
        <f t="shared" si="177"/>
        <v>0</v>
      </c>
      <c r="V261" s="848">
        <f t="shared" si="177"/>
        <v>0</v>
      </c>
      <c r="W261" s="848">
        <f t="shared" si="177"/>
        <v>0</v>
      </c>
      <c r="X261" s="848">
        <f t="shared" si="177"/>
        <v>0</v>
      </c>
      <c r="Y261" s="848">
        <f t="shared" si="177"/>
        <v>0</v>
      </c>
      <c r="Z261" s="848">
        <f t="shared" si="177"/>
        <v>0</v>
      </c>
      <c r="AA261" s="848">
        <f t="shared" si="177"/>
        <v>0</v>
      </c>
      <c r="AB261" s="848">
        <f t="shared" si="177"/>
        <v>0</v>
      </c>
      <c r="AC261" s="949">
        <f t="shared" si="177"/>
        <v>0</v>
      </c>
      <c r="AE261" s="345"/>
    </row>
    <row r="262" spans="9:31" s="344" customFormat="1" outlineLevel="1" x14ac:dyDescent="0.3">
      <c r="I262" s="350"/>
      <c r="J262" s="515" t="s">
        <v>348</v>
      </c>
      <c r="K262" s="110"/>
      <c r="L262" s="352"/>
      <c r="M262" s="7"/>
      <c r="N262" s="848">
        <f t="shared" ref="N262" si="178">IF($L$86="Milestone Calculation",_xlfn.XLOOKUP(N258,$AR$72:$AR$87,$AT$72:$AT$87,0),0)</f>
        <v>0</v>
      </c>
      <c r="O262" s="848">
        <f>IF($L$86="Milestone Calculation",_xlfn.XLOOKUP(O258,$AR$72:$AR$87,$AT$72:$AT$87,0),0)</f>
        <v>0</v>
      </c>
      <c r="P262" s="848">
        <f t="shared" ref="P262:AC262" si="179">IF($L$86="Milestone Calculation",_xlfn.XLOOKUP(P258,$AR$72:$AR$87,$AT$72:$AT$87,0),0)</f>
        <v>0</v>
      </c>
      <c r="Q262" s="848">
        <f t="shared" si="179"/>
        <v>0</v>
      </c>
      <c r="R262" s="848">
        <f t="shared" si="179"/>
        <v>0</v>
      </c>
      <c r="S262" s="848">
        <f t="shared" si="179"/>
        <v>0</v>
      </c>
      <c r="T262" s="848">
        <f t="shared" si="179"/>
        <v>0</v>
      </c>
      <c r="U262" s="848">
        <f t="shared" si="179"/>
        <v>0</v>
      </c>
      <c r="V262" s="848">
        <f t="shared" si="179"/>
        <v>0</v>
      </c>
      <c r="W262" s="848">
        <f t="shared" si="179"/>
        <v>0</v>
      </c>
      <c r="X262" s="848">
        <f t="shared" si="179"/>
        <v>0</v>
      </c>
      <c r="Y262" s="848">
        <f t="shared" si="179"/>
        <v>0</v>
      </c>
      <c r="Z262" s="848">
        <f t="shared" si="179"/>
        <v>0</v>
      </c>
      <c r="AA262" s="848">
        <f t="shared" si="179"/>
        <v>0</v>
      </c>
      <c r="AB262" s="848">
        <f t="shared" si="179"/>
        <v>0</v>
      </c>
      <c r="AC262" s="949">
        <f t="shared" si="179"/>
        <v>0</v>
      </c>
      <c r="AE262" s="345"/>
    </row>
    <row r="263" spans="9:31" s="344" customFormat="1" ht="15.75" outlineLevel="1" x14ac:dyDescent="0.25">
      <c r="I263" s="350"/>
      <c r="J263" s="110" t="s">
        <v>210</v>
      </c>
      <c r="K263" s="110"/>
      <c r="L263" s="352"/>
      <c r="M263" s="7"/>
      <c r="N263" s="848">
        <f>-N232</f>
        <v>0</v>
      </c>
      <c r="O263" s="848">
        <f t="shared" ref="O263:AC263" si="180">-O232</f>
        <v>0</v>
      </c>
      <c r="P263" s="848">
        <f t="shared" si="180"/>
        <v>0</v>
      </c>
      <c r="Q263" s="848">
        <f t="shared" si="180"/>
        <v>0</v>
      </c>
      <c r="R263" s="848">
        <f t="shared" si="180"/>
        <v>0</v>
      </c>
      <c r="S263" s="848">
        <f t="shared" si="180"/>
        <v>0</v>
      </c>
      <c r="T263" s="848">
        <f t="shared" si="180"/>
        <v>0</v>
      </c>
      <c r="U263" s="848">
        <f t="shared" si="180"/>
        <v>0</v>
      </c>
      <c r="V263" s="848">
        <f t="shared" si="180"/>
        <v>0</v>
      </c>
      <c r="W263" s="848">
        <f t="shared" si="180"/>
        <v>0</v>
      </c>
      <c r="X263" s="848">
        <f t="shared" si="180"/>
        <v>0</v>
      </c>
      <c r="Y263" s="848">
        <f t="shared" si="180"/>
        <v>0</v>
      </c>
      <c r="Z263" s="848">
        <f t="shared" si="180"/>
        <v>0</v>
      </c>
      <c r="AA263" s="848">
        <f t="shared" si="180"/>
        <v>0</v>
      </c>
      <c r="AB263" s="848">
        <f t="shared" si="180"/>
        <v>0</v>
      </c>
      <c r="AC263" s="949">
        <f t="shared" si="180"/>
        <v>0</v>
      </c>
      <c r="AE263" s="345"/>
    </row>
    <row r="264" spans="9:31" s="344" customFormat="1" ht="15.75" outlineLevel="1" x14ac:dyDescent="0.25">
      <c r="I264" s="350"/>
      <c r="J264" s="210" t="s">
        <v>211</v>
      </c>
      <c r="K264" s="210"/>
      <c r="L264" s="354"/>
      <c r="M264" s="7"/>
      <c r="N264" s="839">
        <f>SUM(N261:N263)</f>
        <v>0</v>
      </c>
      <c r="O264" s="839">
        <f t="shared" ref="O264:AC264" si="181">SUM(O261:O263)</f>
        <v>0</v>
      </c>
      <c r="P264" s="839">
        <f t="shared" si="181"/>
        <v>0</v>
      </c>
      <c r="Q264" s="839">
        <f t="shared" si="181"/>
        <v>0</v>
      </c>
      <c r="R264" s="839">
        <f t="shared" si="181"/>
        <v>0</v>
      </c>
      <c r="S264" s="839">
        <f t="shared" si="181"/>
        <v>0</v>
      </c>
      <c r="T264" s="839">
        <f t="shared" si="181"/>
        <v>0</v>
      </c>
      <c r="U264" s="839">
        <f t="shared" si="181"/>
        <v>0</v>
      </c>
      <c r="V264" s="839">
        <f t="shared" si="181"/>
        <v>0</v>
      </c>
      <c r="W264" s="839">
        <f t="shared" si="181"/>
        <v>0</v>
      </c>
      <c r="X264" s="839">
        <f t="shared" si="181"/>
        <v>0</v>
      </c>
      <c r="Y264" s="839">
        <f t="shared" si="181"/>
        <v>0</v>
      </c>
      <c r="Z264" s="839">
        <f t="shared" si="181"/>
        <v>0</v>
      </c>
      <c r="AA264" s="839">
        <f t="shared" si="181"/>
        <v>0</v>
      </c>
      <c r="AB264" s="839">
        <f t="shared" si="181"/>
        <v>0</v>
      </c>
      <c r="AC264" s="849">
        <f t="shared" si="181"/>
        <v>0</v>
      </c>
      <c r="AE264" s="345"/>
    </row>
    <row r="265" spans="9:31" s="344" customFormat="1" ht="15.75" outlineLevel="1" x14ac:dyDescent="0.25">
      <c r="I265" s="350"/>
      <c r="J265" s="355"/>
      <c r="K265" s="355"/>
      <c r="L265" s="1"/>
      <c r="M265" s="7"/>
      <c r="N265" s="750"/>
      <c r="O265" s="750"/>
      <c r="P265" s="750"/>
      <c r="Q265" s="750"/>
      <c r="R265" s="750"/>
      <c r="S265" s="750"/>
      <c r="T265" s="750"/>
      <c r="U265" s="750"/>
      <c r="V265" s="750"/>
      <c r="W265" s="750"/>
      <c r="X265" s="750"/>
      <c r="Y265" s="750"/>
      <c r="Z265" s="750"/>
      <c r="AA265" s="750"/>
      <c r="AB265" s="750"/>
      <c r="AC265" s="854"/>
      <c r="AE265" s="345"/>
    </row>
    <row r="266" spans="9:31" s="344" customFormat="1" ht="15.75" outlineLevel="1" x14ac:dyDescent="0.25">
      <c r="I266" s="350"/>
      <c r="J266" s="110" t="s">
        <v>212</v>
      </c>
      <c r="K266" s="110"/>
      <c r="L266" s="352"/>
      <c r="M266" s="7"/>
      <c r="N266" s="848">
        <f t="shared" ref="N266:AC266" si="182">-M248</f>
        <v>0</v>
      </c>
      <c r="O266" s="848">
        <f t="shared" si="182"/>
        <v>0</v>
      </c>
      <c r="P266" s="848">
        <f t="shared" si="182"/>
        <v>0</v>
      </c>
      <c r="Q266" s="848">
        <f t="shared" si="182"/>
        <v>0</v>
      </c>
      <c r="R266" s="848">
        <f t="shared" si="182"/>
        <v>0</v>
      </c>
      <c r="S266" s="848">
        <f t="shared" si="182"/>
        <v>0</v>
      </c>
      <c r="T266" s="848">
        <f t="shared" si="182"/>
        <v>0</v>
      </c>
      <c r="U266" s="848">
        <f t="shared" si="182"/>
        <v>0</v>
      </c>
      <c r="V266" s="848">
        <f t="shared" si="182"/>
        <v>0</v>
      </c>
      <c r="W266" s="848">
        <f t="shared" si="182"/>
        <v>0</v>
      </c>
      <c r="X266" s="848">
        <f t="shared" si="182"/>
        <v>0</v>
      </c>
      <c r="Y266" s="848">
        <f t="shared" si="182"/>
        <v>0</v>
      </c>
      <c r="Z266" s="848">
        <f t="shared" si="182"/>
        <v>0</v>
      </c>
      <c r="AA266" s="848">
        <f t="shared" si="182"/>
        <v>0</v>
      </c>
      <c r="AB266" s="848">
        <f t="shared" si="182"/>
        <v>0</v>
      </c>
      <c r="AC266" s="949">
        <f t="shared" si="182"/>
        <v>0</v>
      </c>
      <c r="AE266" s="345"/>
    </row>
    <row r="267" spans="9:31" s="344" customFormat="1" ht="15.75" outlineLevel="1" x14ac:dyDescent="0.25">
      <c r="I267" s="350"/>
      <c r="J267" s="110" t="s">
        <v>213</v>
      </c>
      <c r="K267" s="110"/>
      <c r="L267" s="352"/>
      <c r="M267" s="7"/>
      <c r="N267" s="848">
        <f t="shared" ref="N267:AC267" si="183">+M240</f>
        <v>0</v>
      </c>
      <c r="O267" s="848">
        <f t="shared" si="183"/>
        <v>0</v>
      </c>
      <c r="P267" s="848">
        <f t="shared" si="183"/>
        <v>0</v>
      </c>
      <c r="Q267" s="848">
        <f t="shared" si="183"/>
        <v>0</v>
      </c>
      <c r="R267" s="848">
        <f t="shared" si="183"/>
        <v>0</v>
      </c>
      <c r="S267" s="848">
        <f t="shared" si="183"/>
        <v>0</v>
      </c>
      <c r="T267" s="848">
        <f t="shared" si="183"/>
        <v>0</v>
      </c>
      <c r="U267" s="848">
        <f t="shared" si="183"/>
        <v>0</v>
      </c>
      <c r="V267" s="848">
        <f t="shared" si="183"/>
        <v>0</v>
      </c>
      <c r="W267" s="848">
        <f t="shared" si="183"/>
        <v>0</v>
      </c>
      <c r="X267" s="848">
        <f t="shared" si="183"/>
        <v>0</v>
      </c>
      <c r="Y267" s="848">
        <f t="shared" si="183"/>
        <v>0</v>
      </c>
      <c r="Z267" s="848">
        <f t="shared" si="183"/>
        <v>0</v>
      </c>
      <c r="AA267" s="848">
        <f t="shared" si="183"/>
        <v>0</v>
      </c>
      <c r="AB267" s="848">
        <f t="shared" si="183"/>
        <v>0</v>
      </c>
      <c r="AC267" s="949">
        <f t="shared" si="183"/>
        <v>0</v>
      </c>
      <c r="AE267" s="345"/>
    </row>
    <row r="268" spans="9:31" s="344" customFormat="1" ht="15.75" outlineLevel="1" x14ac:dyDescent="0.25">
      <c r="I268" s="350"/>
      <c r="J268" s="210" t="s">
        <v>214</v>
      </c>
      <c r="K268" s="210"/>
      <c r="L268" s="354"/>
      <c r="M268" s="7"/>
      <c r="N268" s="839">
        <f>SUM(N266:N267)</f>
        <v>0</v>
      </c>
      <c r="O268" s="839">
        <f t="shared" ref="O268:AC268" si="184">SUM(O266:O267)</f>
        <v>0</v>
      </c>
      <c r="P268" s="839">
        <f t="shared" si="184"/>
        <v>0</v>
      </c>
      <c r="Q268" s="839">
        <f t="shared" si="184"/>
        <v>0</v>
      </c>
      <c r="R268" s="839">
        <f t="shared" si="184"/>
        <v>0</v>
      </c>
      <c r="S268" s="839">
        <f t="shared" si="184"/>
        <v>0</v>
      </c>
      <c r="T268" s="839">
        <f t="shared" si="184"/>
        <v>0</v>
      </c>
      <c r="U268" s="839">
        <f t="shared" si="184"/>
        <v>0</v>
      </c>
      <c r="V268" s="839">
        <f t="shared" si="184"/>
        <v>0</v>
      </c>
      <c r="W268" s="839">
        <f t="shared" si="184"/>
        <v>0</v>
      </c>
      <c r="X268" s="839">
        <f t="shared" si="184"/>
        <v>0</v>
      </c>
      <c r="Y268" s="839">
        <f t="shared" si="184"/>
        <v>0</v>
      </c>
      <c r="Z268" s="839">
        <f t="shared" si="184"/>
        <v>0</v>
      </c>
      <c r="AA268" s="839">
        <f t="shared" si="184"/>
        <v>0</v>
      </c>
      <c r="AB268" s="839">
        <f t="shared" si="184"/>
        <v>0</v>
      </c>
      <c r="AC268" s="849">
        <f t="shared" si="184"/>
        <v>0</v>
      </c>
      <c r="AE268" s="345"/>
    </row>
    <row r="269" spans="9:31" s="344" customFormat="1" ht="14.25" outlineLevel="1" x14ac:dyDescent="0.2">
      <c r="I269" s="350"/>
      <c r="J269" s="1"/>
      <c r="K269" s="1"/>
      <c r="L269" s="1"/>
      <c r="M269" s="7"/>
      <c r="N269" s="750"/>
      <c r="O269" s="750"/>
      <c r="P269" s="750"/>
      <c r="Q269" s="750"/>
      <c r="R269" s="750"/>
      <c r="S269" s="750"/>
      <c r="T269" s="750"/>
      <c r="U269" s="750"/>
      <c r="V269" s="750"/>
      <c r="W269" s="750"/>
      <c r="X269" s="750"/>
      <c r="Y269" s="750"/>
      <c r="Z269" s="750"/>
      <c r="AA269" s="750"/>
      <c r="AB269" s="750"/>
      <c r="AC269" s="854"/>
      <c r="AE269" s="345"/>
    </row>
    <row r="270" spans="9:31" s="344" customFormat="1" ht="15.75" outlineLevel="1" x14ac:dyDescent="0.25">
      <c r="I270" s="350"/>
      <c r="J270" s="1" t="s">
        <v>215</v>
      </c>
      <c r="K270" s="1"/>
      <c r="L270" s="1"/>
      <c r="M270" s="7"/>
      <c r="N270" s="855">
        <f>N264+N268</f>
        <v>0</v>
      </c>
      <c r="O270" s="855">
        <f t="shared" ref="O270:AC270" si="185">O264+O268</f>
        <v>0</v>
      </c>
      <c r="P270" s="855">
        <f t="shared" si="185"/>
        <v>0</v>
      </c>
      <c r="Q270" s="855">
        <f t="shared" si="185"/>
        <v>0</v>
      </c>
      <c r="R270" s="855">
        <f t="shared" si="185"/>
        <v>0</v>
      </c>
      <c r="S270" s="855">
        <f t="shared" si="185"/>
        <v>0</v>
      </c>
      <c r="T270" s="855">
        <f t="shared" si="185"/>
        <v>0</v>
      </c>
      <c r="U270" s="855">
        <f t="shared" si="185"/>
        <v>0</v>
      </c>
      <c r="V270" s="855">
        <f t="shared" si="185"/>
        <v>0</v>
      </c>
      <c r="W270" s="855">
        <f t="shared" si="185"/>
        <v>0</v>
      </c>
      <c r="X270" s="855">
        <f t="shared" si="185"/>
        <v>0</v>
      </c>
      <c r="Y270" s="855">
        <f t="shared" si="185"/>
        <v>0</v>
      </c>
      <c r="Z270" s="855">
        <f t="shared" si="185"/>
        <v>0</v>
      </c>
      <c r="AA270" s="855">
        <f t="shared" si="185"/>
        <v>0</v>
      </c>
      <c r="AB270" s="855">
        <f t="shared" si="185"/>
        <v>0</v>
      </c>
      <c r="AC270" s="856">
        <f t="shared" si="185"/>
        <v>0</v>
      </c>
      <c r="AE270" s="345"/>
    </row>
    <row r="271" spans="9:31" s="344" customFormat="1" ht="14.25" outlineLevel="1" x14ac:dyDescent="0.2">
      <c r="I271" s="350"/>
      <c r="J271" s="1"/>
      <c r="K271" s="1"/>
      <c r="L271" s="1"/>
      <c r="M271" s="7"/>
      <c r="N271" s="750"/>
      <c r="O271" s="750"/>
      <c r="P271" s="750"/>
      <c r="Q271" s="750"/>
      <c r="R271" s="750"/>
      <c r="S271" s="750"/>
      <c r="T271" s="750"/>
      <c r="U271" s="750"/>
      <c r="V271" s="750"/>
      <c r="W271" s="750"/>
      <c r="X271" s="750"/>
      <c r="Y271" s="750"/>
      <c r="Z271" s="750"/>
      <c r="AA271" s="750"/>
      <c r="AB271" s="750"/>
      <c r="AC271" s="854"/>
      <c r="AE271" s="345"/>
    </row>
    <row r="272" spans="9:31" s="344" customFormat="1" ht="15.75" outlineLevel="1" x14ac:dyDescent="0.25">
      <c r="I272" s="350"/>
      <c r="J272" s="1" t="s">
        <v>216</v>
      </c>
      <c r="K272" s="1"/>
      <c r="L272" s="1"/>
      <c r="M272" s="7"/>
      <c r="N272" s="855">
        <f>-N237</f>
        <v>0</v>
      </c>
      <c r="O272" s="855">
        <f t="shared" ref="O272:AC272" si="186">-O237</f>
        <v>0</v>
      </c>
      <c r="P272" s="855">
        <f t="shared" si="186"/>
        <v>0</v>
      </c>
      <c r="Q272" s="855">
        <f t="shared" si="186"/>
        <v>0</v>
      </c>
      <c r="R272" s="855">
        <f t="shared" si="186"/>
        <v>0</v>
      </c>
      <c r="S272" s="855">
        <f t="shared" si="186"/>
        <v>0</v>
      </c>
      <c r="T272" s="855">
        <f t="shared" si="186"/>
        <v>0</v>
      </c>
      <c r="U272" s="855">
        <f t="shared" si="186"/>
        <v>0</v>
      </c>
      <c r="V272" s="855">
        <f t="shared" si="186"/>
        <v>0</v>
      </c>
      <c r="W272" s="855">
        <f t="shared" si="186"/>
        <v>0</v>
      </c>
      <c r="X272" s="855">
        <f t="shared" si="186"/>
        <v>0</v>
      </c>
      <c r="Y272" s="855">
        <f t="shared" si="186"/>
        <v>0</v>
      </c>
      <c r="Z272" s="855">
        <f t="shared" si="186"/>
        <v>0</v>
      </c>
      <c r="AA272" s="855">
        <f t="shared" si="186"/>
        <v>0</v>
      </c>
      <c r="AB272" s="855">
        <f t="shared" si="186"/>
        <v>0</v>
      </c>
      <c r="AC272" s="856">
        <f t="shared" si="186"/>
        <v>0</v>
      </c>
      <c r="AE272" s="345"/>
    </row>
    <row r="273" spans="8:58" s="344" customFormat="1" ht="14.25" outlineLevel="1" x14ac:dyDescent="0.2">
      <c r="I273" s="350"/>
      <c r="J273" s="1"/>
      <c r="K273" s="1"/>
      <c r="L273" s="1"/>
      <c r="M273" s="7"/>
      <c r="N273" s="750"/>
      <c r="O273" s="750"/>
      <c r="P273" s="750"/>
      <c r="Q273" s="750"/>
      <c r="R273" s="750"/>
      <c r="S273" s="750"/>
      <c r="T273" s="750"/>
      <c r="U273" s="750"/>
      <c r="V273" s="750"/>
      <c r="W273" s="750"/>
      <c r="X273" s="750"/>
      <c r="Y273" s="750"/>
      <c r="Z273" s="750"/>
      <c r="AA273" s="750"/>
      <c r="AB273" s="750"/>
      <c r="AC273" s="854"/>
      <c r="AE273" s="345"/>
    </row>
    <row r="274" spans="8:58" s="344" customFormat="1" outlineLevel="1" thickBot="1" x14ac:dyDescent="0.3">
      <c r="I274" s="350"/>
      <c r="J274" s="356" t="s">
        <v>217</v>
      </c>
      <c r="K274" s="1"/>
      <c r="L274" s="1"/>
      <c r="M274" s="7"/>
      <c r="N274" s="847">
        <f>MIN(N270,N272)</f>
        <v>0</v>
      </c>
      <c r="O274" s="847">
        <f t="shared" ref="O274:AC274" si="187">MIN(O270,O272)</f>
        <v>0</v>
      </c>
      <c r="P274" s="847">
        <f t="shared" si="187"/>
        <v>0</v>
      </c>
      <c r="Q274" s="847">
        <f t="shared" si="187"/>
        <v>0</v>
      </c>
      <c r="R274" s="847">
        <f t="shared" si="187"/>
        <v>0</v>
      </c>
      <c r="S274" s="847">
        <f t="shared" si="187"/>
        <v>0</v>
      </c>
      <c r="T274" s="847">
        <f t="shared" si="187"/>
        <v>0</v>
      </c>
      <c r="U274" s="847">
        <f t="shared" si="187"/>
        <v>0</v>
      </c>
      <c r="V274" s="847">
        <f t="shared" si="187"/>
        <v>0</v>
      </c>
      <c r="W274" s="847">
        <f t="shared" si="187"/>
        <v>0</v>
      </c>
      <c r="X274" s="847">
        <f t="shared" si="187"/>
        <v>0</v>
      </c>
      <c r="Y274" s="847">
        <f t="shared" si="187"/>
        <v>0</v>
      </c>
      <c r="Z274" s="847">
        <f t="shared" si="187"/>
        <v>0</v>
      </c>
      <c r="AA274" s="847">
        <f t="shared" si="187"/>
        <v>0</v>
      </c>
      <c r="AB274" s="847">
        <f t="shared" si="187"/>
        <v>0</v>
      </c>
      <c r="AC274" s="857">
        <f t="shared" si="187"/>
        <v>0</v>
      </c>
      <c r="AE274" s="345"/>
    </row>
    <row r="275" spans="8:58" s="344" customFormat="1" ht="15.75" outlineLevel="1" thickTop="1" thickBot="1" x14ac:dyDescent="0.25">
      <c r="I275" s="357"/>
      <c r="J275" s="358"/>
      <c r="K275" s="358"/>
      <c r="L275" s="359"/>
      <c r="M275" s="360"/>
      <c r="N275" s="359"/>
      <c r="O275" s="359"/>
      <c r="P275" s="359"/>
      <c r="Q275" s="359"/>
      <c r="R275" s="359"/>
      <c r="S275" s="359"/>
      <c r="T275" s="359"/>
      <c r="U275" s="359"/>
      <c r="V275" s="359"/>
      <c r="W275" s="359"/>
      <c r="X275" s="359"/>
      <c r="Y275" s="359"/>
      <c r="Z275" s="359"/>
      <c r="AA275" s="359"/>
      <c r="AB275" s="359"/>
      <c r="AC275" s="361"/>
      <c r="AE275" s="308"/>
      <c r="AF275" s="308"/>
      <c r="AG275" s="308"/>
      <c r="AH275" s="308"/>
      <c r="AI275" s="308"/>
      <c r="AJ275" s="308"/>
      <c r="AK275" s="308"/>
      <c r="AL275" s="308"/>
      <c r="AM275" s="308"/>
      <c r="AN275" s="308"/>
      <c r="AO275" s="308"/>
      <c r="AP275" s="308"/>
      <c r="AQ275" s="308"/>
      <c r="AR275" s="308"/>
      <c r="AS275" s="308"/>
      <c r="AT275" s="308"/>
    </row>
    <row r="276" spans="8:58" s="308" customFormat="1" ht="12" customHeight="1" outlineLevel="1" x14ac:dyDescent="0.2">
      <c r="I276" s="303"/>
      <c r="J276" s="304"/>
      <c r="K276" s="305"/>
      <c r="L276" s="362"/>
      <c r="M276" s="1"/>
      <c r="N276" s="363"/>
      <c r="O276" s="363"/>
      <c r="P276" s="363"/>
      <c r="Q276" s="363"/>
      <c r="R276" s="363"/>
      <c r="S276" s="363"/>
      <c r="T276" s="363"/>
      <c r="U276" s="363"/>
      <c r="V276" s="363"/>
      <c r="W276" s="363"/>
      <c r="X276" s="363"/>
      <c r="Y276" s="363"/>
      <c r="Z276" s="363"/>
      <c r="AA276" s="363"/>
      <c r="AB276" s="363"/>
      <c r="AC276" s="363"/>
      <c r="AE276" s="1"/>
      <c r="AF276" s="4"/>
      <c r="AG276" s="4"/>
      <c r="AH276" s="4"/>
      <c r="AI276" s="4"/>
      <c r="AJ276" s="4"/>
      <c r="AK276" s="4"/>
      <c r="AL276" s="4"/>
      <c r="AM276" s="4"/>
      <c r="AN276" s="4"/>
      <c r="AO276" s="4"/>
      <c r="AP276" s="4"/>
      <c r="AQ276" s="4"/>
      <c r="AR276" s="4"/>
      <c r="AS276" s="4"/>
      <c r="AT276" s="4"/>
    </row>
    <row r="277" spans="8:58" s="4" customFormat="1" ht="18" x14ac:dyDescent="0.2">
      <c r="H277" s="1"/>
      <c r="I277" s="132" t="s">
        <v>218</v>
      </c>
      <c r="J277" s="33" t="s">
        <v>219</v>
      </c>
      <c r="K277" s="33"/>
      <c r="L277" s="364"/>
      <c r="M277" s="364"/>
      <c r="N277" s="133">
        <f>N$11</f>
        <v>2024</v>
      </c>
      <c r="O277" s="133">
        <f t="shared" ref="O277:AC277" si="188">O$11</f>
        <v>2025</v>
      </c>
      <c r="P277" s="133">
        <f t="shared" si="188"/>
        <v>2026</v>
      </c>
      <c r="Q277" s="133">
        <f t="shared" si="188"/>
        <v>2027</v>
      </c>
      <c r="R277" s="133">
        <f t="shared" si="188"/>
        <v>2028</v>
      </c>
      <c r="S277" s="133">
        <f t="shared" si="188"/>
        <v>2029</v>
      </c>
      <c r="T277" s="133">
        <f t="shared" si="188"/>
        <v>2030</v>
      </c>
      <c r="U277" s="133">
        <f t="shared" si="188"/>
        <v>2031</v>
      </c>
      <c r="V277" s="133">
        <f t="shared" si="188"/>
        <v>2032</v>
      </c>
      <c r="W277" s="133">
        <f t="shared" si="188"/>
        <v>2033</v>
      </c>
      <c r="X277" s="133">
        <f t="shared" si="188"/>
        <v>2034</v>
      </c>
      <c r="Y277" s="133">
        <f t="shared" si="188"/>
        <v>2035</v>
      </c>
      <c r="Z277" s="133">
        <f t="shared" si="188"/>
        <v>2036</v>
      </c>
      <c r="AA277" s="133">
        <f t="shared" si="188"/>
        <v>2037</v>
      </c>
      <c r="AB277" s="133">
        <f t="shared" si="188"/>
        <v>2038</v>
      </c>
      <c r="AC277" s="133">
        <f t="shared" si="188"/>
        <v>2039</v>
      </c>
      <c r="AD277" s="1"/>
      <c r="AE277" s="1"/>
      <c r="AF277" s="1"/>
      <c r="AG277" s="1"/>
      <c r="AH277" s="1"/>
      <c r="AI277" s="1"/>
      <c r="AJ277" s="1"/>
      <c r="AK277" s="1"/>
      <c r="AL277" s="1"/>
      <c r="AM277" s="1"/>
      <c r="AN277" s="1"/>
      <c r="AO277" s="1"/>
      <c r="AP277" s="1"/>
      <c r="AQ277" s="1"/>
      <c r="AR277" s="1"/>
      <c r="AS277" s="1"/>
      <c r="AT277" s="1"/>
      <c r="AV277" s="1"/>
      <c r="AW277" s="1"/>
      <c r="AX277" s="1"/>
      <c r="AY277" s="1"/>
      <c r="AZ277" s="1"/>
      <c r="BA277" s="1"/>
      <c r="BB277" s="1"/>
      <c r="BC277" s="1"/>
      <c r="BD277" s="1"/>
      <c r="BE277" s="1"/>
      <c r="BF277" s="1"/>
    </row>
    <row r="278" spans="8:58" s="4" customFormat="1" ht="15.75" outlineLevel="1" x14ac:dyDescent="0.25">
      <c r="H278" s="1"/>
      <c r="I278" s="99">
        <v>1</v>
      </c>
      <c r="J278" s="67" t="s">
        <v>220</v>
      </c>
      <c r="K278" s="31"/>
      <c r="L278" s="169"/>
      <c r="M278" s="1"/>
      <c r="N278" s="31"/>
      <c r="O278" s="31"/>
      <c r="P278" s="31"/>
      <c r="Q278" s="31"/>
      <c r="R278" s="31"/>
      <c r="S278" s="31"/>
      <c r="T278" s="31"/>
      <c r="U278" s="31"/>
      <c r="V278" s="31"/>
      <c r="W278" s="31"/>
      <c r="X278" s="31"/>
      <c r="Y278" s="31"/>
      <c r="Z278" s="31"/>
      <c r="AA278" s="31"/>
      <c r="AB278" s="31"/>
      <c r="AC278" s="3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row>
    <row r="279" spans="8:58" s="4" customFormat="1" ht="15.75" outlineLevel="1" x14ac:dyDescent="0.25">
      <c r="H279" s="1"/>
      <c r="I279" s="99"/>
      <c r="J279" s="31" t="s">
        <v>30</v>
      </c>
      <c r="K279" s="31"/>
      <c r="L279" s="289"/>
      <c r="M279" s="1"/>
      <c r="N279" s="844">
        <f t="shared" ref="N279:AC279" si="189">N200</f>
        <v>0</v>
      </c>
      <c r="O279" s="844">
        <f t="shared" si="189"/>
        <v>0</v>
      </c>
      <c r="P279" s="844">
        <f t="shared" si="189"/>
        <v>0</v>
      </c>
      <c r="Q279" s="844">
        <f t="shared" si="189"/>
        <v>0</v>
      </c>
      <c r="R279" s="844">
        <f t="shared" si="189"/>
        <v>0</v>
      </c>
      <c r="S279" s="844">
        <f t="shared" si="189"/>
        <v>0</v>
      </c>
      <c r="T279" s="844">
        <f t="shared" si="189"/>
        <v>0</v>
      </c>
      <c r="U279" s="844">
        <f t="shared" si="189"/>
        <v>0</v>
      </c>
      <c r="V279" s="844">
        <f t="shared" si="189"/>
        <v>0</v>
      </c>
      <c r="W279" s="844">
        <f t="shared" si="189"/>
        <v>0</v>
      </c>
      <c r="X279" s="844">
        <f t="shared" si="189"/>
        <v>0</v>
      </c>
      <c r="Y279" s="844">
        <f t="shared" si="189"/>
        <v>0</v>
      </c>
      <c r="Z279" s="844">
        <f t="shared" si="189"/>
        <v>0</v>
      </c>
      <c r="AA279" s="844">
        <f t="shared" si="189"/>
        <v>0</v>
      </c>
      <c r="AB279" s="844">
        <f t="shared" si="189"/>
        <v>0</v>
      </c>
      <c r="AC279" s="844">
        <f t="shared" si="189"/>
        <v>0</v>
      </c>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row>
    <row r="280" spans="8:58" s="4" customFormat="1" ht="15.75" outlineLevel="1" x14ac:dyDescent="0.25">
      <c r="H280" s="1"/>
      <c r="I280" s="99"/>
      <c r="J280" s="31" t="s">
        <v>295</v>
      </c>
      <c r="K280" s="31"/>
      <c r="L280" s="289"/>
      <c r="M280" s="1"/>
      <c r="N280" s="844">
        <f t="shared" ref="N280:AC280" si="190">N201</f>
        <v>0</v>
      </c>
      <c r="O280" s="844">
        <f t="shared" si="190"/>
        <v>0</v>
      </c>
      <c r="P280" s="844">
        <f t="shared" si="190"/>
        <v>0</v>
      </c>
      <c r="Q280" s="844">
        <f t="shared" si="190"/>
        <v>0</v>
      </c>
      <c r="R280" s="844">
        <f t="shared" si="190"/>
        <v>0</v>
      </c>
      <c r="S280" s="844">
        <f t="shared" si="190"/>
        <v>0</v>
      </c>
      <c r="T280" s="844">
        <f t="shared" si="190"/>
        <v>0</v>
      </c>
      <c r="U280" s="844">
        <f t="shared" si="190"/>
        <v>0</v>
      </c>
      <c r="V280" s="844">
        <f t="shared" si="190"/>
        <v>0</v>
      </c>
      <c r="W280" s="844">
        <f t="shared" si="190"/>
        <v>0</v>
      </c>
      <c r="X280" s="844">
        <f t="shared" si="190"/>
        <v>0</v>
      </c>
      <c r="Y280" s="844">
        <f t="shared" si="190"/>
        <v>0</v>
      </c>
      <c r="Z280" s="844">
        <f t="shared" si="190"/>
        <v>0</v>
      </c>
      <c r="AA280" s="844">
        <f t="shared" si="190"/>
        <v>0</v>
      </c>
      <c r="AB280" s="844">
        <f t="shared" si="190"/>
        <v>0</v>
      </c>
      <c r="AC280" s="844">
        <f t="shared" si="190"/>
        <v>0</v>
      </c>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row>
    <row r="281" spans="8:58" s="4" customFormat="1" ht="15.75" outlineLevel="1" x14ac:dyDescent="0.25">
      <c r="H281" s="1"/>
      <c r="I281" s="99"/>
      <c r="J281" s="31" t="s">
        <v>296</v>
      </c>
      <c r="K281" s="31"/>
      <c r="L281" s="289"/>
      <c r="M281" s="1"/>
      <c r="N281" s="844">
        <f t="shared" ref="N281:AC281" si="191">N202</f>
        <v>0</v>
      </c>
      <c r="O281" s="844">
        <f t="shared" si="191"/>
        <v>0</v>
      </c>
      <c r="P281" s="844">
        <f t="shared" si="191"/>
        <v>0</v>
      </c>
      <c r="Q281" s="844">
        <f t="shared" si="191"/>
        <v>0</v>
      </c>
      <c r="R281" s="844">
        <f t="shared" si="191"/>
        <v>0</v>
      </c>
      <c r="S281" s="844">
        <f t="shared" si="191"/>
        <v>0</v>
      </c>
      <c r="T281" s="844">
        <f t="shared" si="191"/>
        <v>0</v>
      </c>
      <c r="U281" s="844">
        <f t="shared" si="191"/>
        <v>0</v>
      </c>
      <c r="V281" s="844">
        <f t="shared" si="191"/>
        <v>0</v>
      </c>
      <c r="W281" s="844">
        <f t="shared" si="191"/>
        <v>0</v>
      </c>
      <c r="X281" s="844">
        <f t="shared" si="191"/>
        <v>0</v>
      </c>
      <c r="Y281" s="844">
        <f t="shared" si="191"/>
        <v>0</v>
      </c>
      <c r="Z281" s="844">
        <f t="shared" si="191"/>
        <v>0</v>
      </c>
      <c r="AA281" s="844">
        <f t="shared" si="191"/>
        <v>0</v>
      </c>
      <c r="AB281" s="844">
        <f t="shared" si="191"/>
        <v>0</v>
      </c>
      <c r="AC281" s="844">
        <f t="shared" si="191"/>
        <v>0</v>
      </c>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row>
    <row r="282" spans="8:58" s="4" customFormat="1" ht="15.75" outlineLevel="1" x14ac:dyDescent="0.25">
      <c r="H282" s="1"/>
      <c r="I282" s="99"/>
      <c r="J282" s="31" t="s">
        <v>458</v>
      </c>
      <c r="K282" s="31"/>
      <c r="L282" s="289"/>
      <c r="M282" s="1"/>
      <c r="N282" s="844">
        <f>N203</f>
        <v>0</v>
      </c>
      <c r="O282" s="844">
        <f t="shared" ref="O282:AC282" si="192">O203</f>
        <v>0</v>
      </c>
      <c r="P282" s="844">
        <f t="shared" si="192"/>
        <v>0</v>
      </c>
      <c r="Q282" s="844">
        <f t="shared" si="192"/>
        <v>0</v>
      </c>
      <c r="R282" s="844">
        <f t="shared" si="192"/>
        <v>0</v>
      </c>
      <c r="S282" s="844">
        <f t="shared" si="192"/>
        <v>0</v>
      </c>
      <c r="T282" s="844">
        <f t="shared" si="192"/>
        <v>0</v>
      </c>
      <c r="U282" s="844">
        <f t="shared" si="192"/>
        <v>0</v>
      </c>
      <c r="V282" s="844">
        <f t="shared" si="192"/>
        <v>0</v>
      </c>
      <c r="W282" s="844">
        <f t="shared" si="192"/>
        <v>0</v>
      </c>
      <c r="X282" s="844">
        <f t="shared" si="192"/>
        <v>0</v>
      </c>
      <c r="Y282" s="844">
        <f t="shared" si="192"/>
        <v>0</v>
      </c>
      <c r="Z282" s="844">
        <f t="shared" si="192"/>
        <v>0</v>
      </c>
      <c r="AA282" s="844">
        <f t="shared" si="192"/>
        <v>0</v>
      </c>
      <c r="AB282" s="844">
        <f t="shared" si="192"/>
        <v>0</v>
      </c>
      <c r="AC282" s="844">
        <f t="shared" si="192"/>
        <v>0</v>
      </c>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row>
    <row r="283" spans="8:58" s="4" customFormat="1" ht="15.75" outlineLevel="1" x14ac:dyDescent="0.25">
      <c r="H283" s="1"/>
      <c r="I283" s="99"/>
      <c r="J283" s="31" t="s">
        <v>298</v>
      </c>
      <c r="K283" s="31"/>
      <c r="L283" s="289"/>
      <c r="M283" s="1"/>
      <c r="N283" s="844">
        <f>N204</f>
        <v>0</v>
      </c>
      <c r="O283" s="844">
        <f t="shared" ref="O283:AC283" si="193">O204</f>
        <v>0</v>
      </c>
      <c r="P283" s="844">
        <f t="shared" si="193"/>
        <v>0</v>
      </c>
      <c r="Q283" s="844">
        <f t="shared" si="193"/>
        <v>0</v>
      </c>
      <c r="R283" s="844">
        <f t="shared" si="193"/>
        <v>0</v>
      </c>
      <c r="S283" s="844">
        <f t="shared" si="193"/>
        <v>0</v>
      </c>
      <c r="T283" s="844">
        <f t="shared" si="193"/>
        <v>0</v>
      </c>
      <c r="U283" s="844">
        <f t="shared" si="193"/>
        <v>0</v>
      </c>
      <c r="V283" s="844">
        <f t="shared" si="193"/>
        <v>0</v>
      </c>
      <c r="W283" s="844">
        <f t="shared" si="193"/>
        <v>0</v>
      </c>
      <c r="X283" s="844">
        <f t="shared" si="193"/>
        <v>0</v>
      </c>
      <c r="Y283" s="844">
        <f t="shared" si="193"/>
        <v>0</v>
      </c>
      <c r="Z283" s="844">
        <f t="shared" si="193"/>
        <v>0</v>
      </c>
      <c r="AA283" s="844">
        <f t="shared" si="193"/>
        <v>0</v>
      </c>
      <c r="AB283" s="844">
        <f t="shared" si="193"/>
        <v>0</v>
      </c>
      <c r="AC283" s="844">
        <f t="shared" si="193"/>
        <v>0</v>
      </c>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row>
    <row r="284" spans="8:58" s="4" customFormat="1" ht="15.75" outlineLevel="1" x14ac:dyDescent="0.25">
      <c r="H284" s="1"/>
      <c r="I284" s="99"/>
      <c r="J284" s="31" t="s">
        <v>162</v>
      </c>
      <c r="K284" s="31"/>
      <c r="L284" s="289"/>
      <c r="M284" s="1"/>
      <c r="N284" s="844">
        <f t="shared" ref="N284:AC284" si="194">N205</f>
        <v>0</v>
      </c>
      <c r="O284" s="844">
        <f t="shared" si="194"/>
        <v>0</v>
      </c>
      <c r="P284" s="844">
        <f t="shared" si="194"/>
        <v>0</v>
      </c>
      <c r="Q284" s="844">
        <f t="shared" si="194"/>
        <v>0</v>
      </c>
      <c r="R284" s="844">
        <f t="shared" si="194"/>
        <v>0</v>
      </c>
      <c r="S284" s="844">
        <f t="shared" si="194"/>
        <v>0</v>
      </c>
      <c r="T284" s="844">
        <f t="shared" si="194"/>
        <v>0</v>
      </c>
      <c r="U284" s="844">
        <f t="shared" si="194"/>
        <v>0</v>
      </c>
      <c r="V284" s="844">
        <f t="shared" si="194"/>
        <v>0</v>
      </c>
      <c r="W284" s="844">
        <f t="shared" si="194"/>
        <v>0</v>
      </c>
      <c r="X284" s="844">
        <f t="shared" si="194"/>
        <v>0</v>
      </c>
      <c r="Y284" s="844">
        <f t="shared" si="194"/>
        <v>0</v>
      </c>
      <c r="Z284" s="844">
        <f t="shared" si="194"/>
        <v>0</v>
      </c>
      <c r="AA284" s="844">
        <f t="shared" si="194"/>
        <v>0</v>
      </c>
      <c r="AB284" s="844">
        <f t="shared" si="194"/>
        <v>0</v>
      </c>
      <c r="AC284" s="844">
        <f t="shared" si="194"/>
        <v>0</v>
      </c>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row>
    <row r="285" spans="8:58" s="4" customFormat="1" ht="15.75" outlineLevel="1" x14ac:dyDescent="0.25">
      <c r="H285" s="1"/>
      <c r="I285" s="99"/>
      <c r="J285" s="31" t="s">
        <v>221</v>
      </c>
      <c r="K285" s="31"/>
      <c r="L285" s="289"/>
      <c r="M285" s="1"/>
      <c r="N285" s="844">
        <f t="shared" ref="N285:AC285" si="195">N206</f>
        <v>0</v>
      </c>
      <c r="O285" s="844">
        <f t="shared" si="195"/>
        <v>0</v>
      </c>
      <c r="P285" s="844">
        <f t="shared" si="195"/>
        <v>0</v>
      </c>
      <c r="Q285" s="844">
        <f t="shared" si="195"/>
        <v>0</v>
      </c>
      <c r="R285" s="844">
        <f t="shared" si="195"/>
        <v>0</v>
      </c>
      <c r="S285" s="844">
        <f t="shared" si="195"/>
        <v>0</v>
      </c>
      <c r="T285" s="844">
        <f t="shared" si="195"/>
        <v>0</v>
      </c>
      <c r="U285" s="844">
        <f t="shared" si="195"/>
        <v>0</v>
      </c>
      <c r="V285" s="844">
        <f t="shared" si="195"/>
        <v>0</v>
      </c>
      <c r="W285" s="844">
        <f t="shared" si="195"/>
        <v>0</v>
      </c>
      <c r="X285" s="844">
        <f t="shared" si="195"/>
        <v>0</v>
      </c>
      <c r="Y285" s="844">
        <f t="shared" si="195"/>
        <v>0</v>
      </c>
      <c r="Z285" s="844">
        <f t="shared" si="195"/>
        <v>0</v>
      </c>
      <c r="AA285" s="844">
        <f t="shared" si="195"/>
        <v>0</v>
      </c>
      <c r="AB285" s="844">
        <f t="shared" si="195"/>
        <v>0</v>
      </c>
      <c r="AC285" s="844">
        <f t="shared" si="195"/>
        <v>0</v>
      </c>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row>
    <row r="286" spans="8:58" s="4" customFormat="1" ht="15.75" outlineLevel="1" x14ac:dyDescent="0.25">
      <c r="H286" s="1"/>
      <c r="I286" s="99"/>
      <c r="J286" s="31" t="s">
        <v>168</v>
      </c>
      <c r="K286" s="31"/>
      <c r="L286" s="289"/>
      <c r="M286" s="1"/>
      <c r="N286" s="844">
        <f t="shared" ref="N286:AC286" si="196">-N211</f>
        <v>0</v>
      </c>
      <c r="O286" s="844">
        <f t="shared" si="196"/>
        <v>0</v>
      </c>
      <c r="P286" s="844">
        <f t="shared" si="196"/>
        <v>0</v>
      </c>
      <c r="Q286" s="844">
        <f t="shared" si="196"/>
        <v>0</v>
      </c>
      <c r="R286" s="844">
        <f t="shared" si="196"/>
        <v>0</v>
      </c>
      <c r="S286" s="844">
        <f t="shared" si="196"/>
        <v>0</v>
      </c>
      <c r="T286" s="844">
        <f t="shared" si="196"/>
        <v>0</v>
      </c>
      <c r="U286" s="844">
        <f t="shared" si="196"/>
        <v>0</v>
      </c>
      <c r="V286" s="844">
        <f t="shared" si="196"/>
        <v>0</v>
      </c>
      <c r="W286" s="844">
        <f t="shared" si="196"/>
        <v>0</v>
      </c>
      <c r="X286" s="844">
        <f t="shared" si="196"/>
        <v>0</v>
      </c>
      <c r="Y286" s="844">
        <f t="shared" si="196"/>
        <v>0</v>
      </c>
      <c r="Z286" s="844">
        <f t="shared" si="196"/>
        <v>0</v>
      </c>
      <c r="AA286" s="844">
        <f t="shared" si="196"/>
        <v>0</v>
      </c>
      <c r="AB286" s="844">
        <f t="shared" si="196"/>
        <v>0</v>
      </c>
      <c r="AC286" s="844">
        <f t="shared" si="196"/>
        <v>0</v>
      </c>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row>
    <row r="287" spans="8:58" s="4" customFormat="1" ht="15.75" outlineLevel="1" x14ac:dyDescent="0.25">
      <c r="H287" s="1"/>
      <c r="I287" s="99"/>
      <c r="J287" s="31" t="s">
        <v>222</v>
      </c>
      <c r="K287" s="31"/>
      <c r="L287" s="289"/>
      <c r="M287" s="1"/>
      <c r="N287" s="844">
        <f t="shared" ref="N287:AC287" si="197">-N212</f>
        <v>0</v>
      </c>
      <c r="O287" s="844">
        <f t="shared" si="197"/>
        <v>0</v>
      </c>
      <c r="P287" s="844">
        <f t="shared" si="197"/>
        <v>0</v>
      </c>
      <c r="Q287" s="844">
        <f t="shared" si="197"/>
        <v>0</v>
      </c>
      <c r="R287" s="844">
        <f t="shared" si="197"/>
        <v>0</v>
      </c>
      <c r="S287" s="844">
        <f t="shared" si="197"/>
        <v>0</v>
      </c>
      <c r="T287" s="844">
        <f t="shared" si="197"/>
        <v>0</v>
      </c>
      <c r="U287" s="844">
        <f t="shared" si="197"/>
        <v>0</v>
      </c>
      <c r="V287" s="844">
        <f t="shared" si="197"/>
        <v>0</v>
      </c>
      <c r="W287" s="844">
        <f t="shared" si="197"/>
        <v>0</v>
      </c>
      <c r="X287" s="844">
        <f t="shared" si="197"/>
        <v>0</v>
      </c>
      <c r="Y287" s="844">
        <f t="shared" si="197"/>
        <v>0</v>
      </c>
      <c r="Z287" s="844">
        <f t="shared" si="197"/>
        <v>0</v>
      </c>
      <c r="AA287" s="844">
        <f t="shared" si="197"/>
        <v>0</v>
      </c>
      <c r="AB287" s="844">
        <f t="shared" si="197"/>
        <v>0</v>
      </c>
      <c r="AC287" s="844">
        <f t="shared" si="197"/>
        <v>0</v>
      </c>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row>
    <row r="288" spans="8:58" s="4" customFormat="1" ht="15.75" outlineLevel="1" x14ac:dyDescent="0.25">
      <c r="H288" s="1"/>
      <c r="I288" s="99"/>
      <c r="J288" s="102" t="s">
        <v>223</v>
      </c>
      <c r="K288" s="102"/>
      <c r="L288" s="365"/>
      <c r="M288" s="1"/>
      <c r="N288" s="860">
        <f t="shared" ref="N288:AC288" si="198">SUM(N279:N287)</f>
        <v>0</v>
      </c>
      <c r="O288" s="860">
        <f t="shared" si="198"/>
        <v>0</v>
      </c>
      <c r="P288" s="860">
        <f t="shared" si="198"/>
        <v>0</v>
      </c>
      <c r="Q288" s="860">
        <f t="shared" si="198"/>
        <v>0</v>
      </c>
      <c r="R288" s="860">
        <f t="shared" si="198"/>
        <v>0</v>
      </c>
      <c r="S288" s="860">
        <f t="shared" si="198"/>
        <v>0</v>
      </c>
      <c r="T288" s="860">
        <f t="shared" si="198"/>
        <v>0</v>
      </c>
      <c r="U288" s="860">
        <f t="shared" si="198"/>
        <v>0</v>
      </c>
      <c r="V288" s="860">
        <f t="shared" si="198"/>
        <v>0</v>
      </c>
      <c r="W288" s="860">
        <f t="shared" si="198"/>
        <v>0</v>
      </c>
      <c r="X288" s="860">
        <f t="shared" si="198"/>
        <v>0</v>
      </c>
      <c r="Y288" s="860">
        <f t="shared" si="198"/>
        <v>0</v>
      </c>
      <c r="Z288" s="860">
        <f t="shared" si="198"/>
        <v>0</v>
      </c>
      <c r="AA288" s="860">
        <f t="shared" si="198"/>
        <v>0</v>
      </c>
      <c r="AB288" s="860">
        <f t="shared" si="198"/>
        <v>0</v>
      </c>
      <c r="AC288" s="860">
        <f t="shared" si="198"/>
        <v>0</v>
      </c>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row>
    <row r="289" spans="8:58" s="4" customFormat="1" ht="15.75" outlineLevel="1" x14ac:dyDescent="0.25">
      <c r="H289" s="1"/>
      <c r="I289" s="99"/>
      <c r="J289" s="31" t="s">
        <v>224</v>
      </c>
      <c r="K289" s="31"/>
      <c r="L289" s="289"/>
      <c r="M289" s="1"/>
      <c r="N289" s="861">
        <f>N288</f>
        <v>0</v>
      </c>
      <c r="O289" s="844">
        <f t="shared" ref="O289:AC289" si="199">O288-N288</f>
        <v>0</v>
      </c>
      <c r="P289" s="844">
        <f t="shared" si="199"/>
        <v>0</v>
      </c>
      <c r="Q289" s="844">
        <f t="shared" si="199"/>
        <v>0</v>
      </c>
      <c r="R289" s="844">
        <f t="shared" si="199"/>
        <v>0</v>
      </c>
      <c r="S289" s="844">
        <f t="shared" si="199"/>
        <v>0</v>
      </c>
      <c r="T289" s="844">
        <f t="shared" si="199"/>
        <v>0</v>
      </c>
      <c r="U289" s="844">
        <f t="shared" si="199"/>
        <v>0</v>
      </c>
      <c r="V289" s="844">
        <f t="shared" si="199"/>
        <v>0</v>
      </c>
      <c r="W289" s="844">
        <f t="shared" si="199"/>
        <v>0</v>
      </c>
      <c r="X289" s="844">
        <f t="shared" si="199"/>
        <v>0</v>
      </c>
      <c r="Y289" s="844">
        <f t="shared" si="199"/>
        <v>0</v>
      </c>
      <c r="Z289" s="844">
        <f t="shared" si="199"/>
        <v>0</v>
      </c>
      <c r="AA289" s="844">
        <f t="shared" si="199"/>
        <v>0</v>
      </c>
      <c r="AB289" s="844">
        <f t="shared" si="199"/>
        <v>0</v>
      </c>
      <c r="AC289" s="844">
        <f t="shared" si="199"/>
        <v>0</v>
      </c>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row>
    <row r="290" spans="8:58" s="4" customFormat="1" ht="15.75" outlineLevel="1" x14ac:dyDescent="0.25">
      <c r="H290" s="1"/>
      <c r="I290" s="99">
        <v>2</v>
      </c>
      <c r="J290" s="67" t="s">
        <v>225</v>
      </c>
      <c r="K290" s="31"/>
      <c r="L290" s="169"/>
      <c r="M290" s="1"/>
      <c r="N290" s="838"/>
      <c r="O290" s="838"/>
      <c r="P290" s="838"/>
      <c r="Q290" s="838"/>
      <c r="R290" s="838"/>
      <c r="S290" s="838"/>
      <c r="T290" s="838"/>
      <c r="U290" s="838"/>
      <c r="V290" s="838"/>
      <c r="W290" s="838"/>
      <c r="X290" s="838"/>
      <c r="Y290" s="838"/>
      <c r="Z290" s="838"/>
      <c r="AA290" s="838"/>
      <c r="AB290" s="838"/>
      <c r="AC290" s="838"/>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row>
    <row r="291" spans="8:58" s="4" customFormat="1" ht="15.75" outlineLevel="1" x14ac:dyDescent="0.25">
      <c r="H291" s="1"/>
      <c r="I291" s="99"/>
      <c r="J291" s="31" t="s">
        <v>226</v>
      </c>
      <c r="K291" s="31"/>
      <c r="L291" s="289"/>
      <c r="M291" s="1"/>
      <c r="N291" s="864"/>
      <c r="O291" s="844">
        <f t="shared" ref="O291:AC291" si="200">N293</f>
        <v>0</v>
      </c>
      <c r="P291" s="844">
        <f t="shared" si="200"/>
        <v>0</v>
      </c>
      <c r="Q291" s="844">
        <f t="shared" si="200"/>
        <v>0</v>
      </c>
      <c r="R291" s="844">
        <f t="shared" si="200"/>
        <v>0</v>
      </c>
      <c r="S291" s="844">
        <f t="shared" si="200"/>
        <v>0</v>
      </c>
      <c r="T291" s="844">
        <f t="shared" si="200"/>
        <v>0</v>
      </c>
      <c r="U291" s="844">
        <f t="shared" si="200"/>
        <v>0</v>
      </c>
      <c r="V291" s="844">
        <f t="shared" si="200"/>
        <v>0</v>
      </c>
      <c r="W291" s="844">
        <f t="shared" si="200"/>
        <v>0</v>
      </c>
      <c r="X291" s="844">
        <f t="shared" si="200"/>
        <v>0</v>
      </c>
      <c r="Y291" s="844">
        <f t="shared" si="200"/>
        <v>0</v>
      </c>
      <c r="Z291" s="844">
        <f t="shared" si="200"/>
        <v>0</v>
      </c>
      <c r="AA291" s="844">
        <f t="shared" si="200"/>
        <v>0</v>
      </c>
      <c r="AB291" s="844">
        <f t="shared" si="200"/>
        <v>0</v>
      </c>
      <c r="AC291" s="844">
        <f t="shared" si="200"/>
        <v>0</v>
      </c>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row>
    <row r="292" spans="8:58" s="4" customFormat="1" ht="15.75" outlineLevel="1" x14ac:dyDescent="0.25">
      <c r="H292" s="1"/>
      <c r="I292" s="99"/>
      <c r="J292" s="31" t="s">
        <v>227</v>
      </c>
      <c r="K292" s="31"/>
      <c r="L292" s="289"/>
      <c r="M292" s="1"/>
      <c r="N292" s="844">
        <f t="shared" ref="N292:AC292" si="201">+N70+N75</f>
        <v>0</v>
      </c>
      <c r="O292" s="844">
        <f t="shared" si="201"/>
        <v>0</v>
      </c>
      <c r="P292" s="844">
        <f t="shared" si="201"/>
        <v>0</v>
      </c>
      <c r="Q292" s="844">
        <f t="shared" si="201"/>
        <v>0</v>
      </c>
      <c r="R292" s="844">
        <f t="shared" si="201"/>
        <v>0</v>
      </c>
      <c r="S292" s="844">
        <f t="shared" si="201"/>
        <v>0</v>
      </c>
      <c r="T292" s="844">
        <f t="shared" si="201"/>
        <v>0</v>
      </c>
      <c r="U292" s="844">
        <f t="shared" si="201"/>
        <v>0</v>
      </c>
      <c r="V292" s="844">
        <f t="shared" si="201"/>
        <v>0</v>
      </c>
      <c r="W292" s="844">
        <f t="shared" si="201"/>
        <v>0</v>
      </c>
      <c r="X292" s="844">
        <f t="shared" si="201"/>
        <v>0</v>
      </c>
      <c r="Y292" s="844">
        <f t="shared" si="201"/>
        <v>0</v>
      </c>
      <c r="Z292" s="844">
        <f t="shared" si="201"/>
        <v>0</v>
      </c>
      <c r="AA292" s="844">
        <f t="shared" si="201"/>
        <v>0</v>
      </c>
      <c r="AB292" s="844">
        <f t="shared" si="201"/>
        <v>0</v>
      </c>
      <c r="AC292" s="844">
        <f t="shared" si="201"/>
        <v>0</v>
      </c>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row>
    <row r="293" spans="8:58" s="4" customFormat="1" ht="15.75" outlineLevel="1" x14ac:dyDescent="0.25">
      <c r="H293" s="1"/>
      <c r="I293" s="99"/>
      <c r="J293" s="102" t="s">
        <v>228</v>
      </c>
      <c r="K293" s="102"/>
      <c r="L293" s="365"/>
      <c r="M293" s="1"/>
      <c r="N293" s="860">
        <f t="shared" ref="N293:AC293" si="202">SUM(N291:N292)</f>
        <v>0</v>
      </c>
      <c r="O293" s="860">
        <f t="shared" si="202"/>
        <v>0</v>
      </c>
      <c r="P293" s="860">
        <f t="shared" si="202"/>
        <v>0</v>
      </c>
      <c r="Q293" s="860">
        <f t="shared" si="202"/>
        <v>0</v>
      </c>
      <c r="R293" s="860">
        <f t="shared" si="202"/>
        <v>0</v>
      </c>
      <c r="S293" s="860">
        <f t="shared" si="202"/>
        <v>0</v>
      </c>
      <c r="T293" s="860">
        <f t="shared" si="202"/>
        <v>0</v>
      </c>
      <c r="U293" s="860">
        <f t="shared" si="202"/>
        <v>0</v>
      </c>
      <c r="V293" s="860">
        <f t="shared" si="202"/>
        <v>0</v>
      </c>
      <c r="W293" s="860">
        <f t="shared" si="202"/>
        <v>0</v>
      </c>
      <c r="X293" s="860">
        <f t="shared" si="202"/>
        <v>0</v>
      </c>
      <c r="Y293" s="860">
        <f t="shared" si="202"/>
        <v>0</v>
      </c>
      <c r="Z293" s="860">
        <f t="shared" si="202"/>
        <v>0</v>
      </c>
      <c r="AA293" s="860">
        <f t="shared" si="202"/>
        <v>0</v>
      </c>
      <c r="AB293" s="860">
        <f t="shared" si="202"/>
        <v>0</v>
      </c>
      <c r="AC293" s="860">
        <f t="shared" si="202"/>
        <v>0</v>
      </c>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row>
    <row r="294" spans="8:58" s="4" customFormat="1" ht="15.75" outlineLevel="1" x14ac:dyDescent="0.25">
      <c r="H294" s="1"/>
      <c r="I294" s="99"/>
      <c r="J294" s="31" t="s">
        <v>229</v>
      </c>
      <c r="K294" s="31"/>
      <c r="L294" s="287"/>
      <c r="M294" s="1"/>
      <c r="N294" s="1062">
        <f>IF(N94=1,-N292,IF(N118=0,0,-SLN(N292,0,MAX(N94,1))*(13-$L$12)/12))</f>
        <v>0</v>
      </c>
      <c r="O294" s="1061">
        <f>IF(AND(SUM($N118:N118)=0,O118=0),0,IF(AND(N295&gt;0,N295&lt;=ABS(N294)),-N295,IF(N295&lt;=0,-SLN(O292,0,MAX(O94,1))*(13-$L$12)/12,-SLN(O291,0,MAX(O94,1))-SLN(O292,0,MAX(O94,1)))))</f>
        <v>0</v>
      </c>
      <c r="P294" s="1061">
        <f>IF(AND(SUM($N118:O118)=0,P118=0),0,IF(AND(O295&gt;0,O295&lt;=ABS(O294)),-O295,IF(O295&lt;=0,-SLN(P292,0,MAX(P94,1))*(13-$L$12)/12,-SLN(P291,0,MAX(P94,1))-SLN(P292,0,MAX(P94,1)))))</f>
        <v>0</v>
      </c>
      <c r="Q294" s="844">
        <f>IF(AND(SUM($N118:P118)=0,Q118=0),0,IF(AND(P295&gt;0,P295&lt;=ABS(P294)),-P295,IF(P295&lt;=0,-SLN(Q292,0,MAX(Q94,1))*(13-$L$12)/12,-SLN(Q291,0,MAX(Q94,1))-SLN(Q292,0,MAX(Q94,1)))))</f>
        <v>0</v>
      </c>
      <c r="R294" s="844">
        <f>IF(AND(SUM($N118:Q118)=0,R118=0),0,IF(AND(Q295&gt;0,Q295&lt;=ABS(Q294)),-Q295,IF(Q295&lt;=0,-SLN(R292,0,MAX(R94,1))*(13-$L$12)/12,-SLN(R291,0,MAX(R94,1))-SLN(R292,0,MAX(R94,1)))))</f>
        <v>0</v>
      </c>
      <c r="S294" s="844">
        <f>IF(AND(SUM($N118:R118)=0,S118=0),0,IF(AND(R295&gt;0,R295&lt;=ABS(R294)),-R295,IF(R295&lt;=0,-SLN(S292,0,MAX(S94,1))*(13-$L$12)/12,-SLN(S291,0,MAX(S94,1))-SLN(S292,0,MAX(S94,1)))))</f>
        <v>0</v>
      </c>
      <c r="T294" s="844">
        <f>IF(AND(SUM($N118:S118)=0,T118=0),0,IF(AND(S295&gt;0,S295&lt;=ABS(S294)),-S295,IF(S295&lt;=0,-SLN(T292,0,MAX(T94,1))*(13-$L$12)/12,-SLN(T291,0,MAX(T94,1))-SLN(T292,0,MAX(T94,1)))))</f>
        <v>0</v>
      </c>
      <c r="U294" s="844">
        <f>IF(AND(SUM($N118:T118)=0,U118=0),0,IF(AND(T295&gt;0,T295&lt;=ABS(T294)),-T295,IF(T295&lt;=0,-SLN(U292,0,MAX(U94,1))*(13-$L$12)/12,-SLN(U291,0,MAX(U94,1))-SLN(U292,0,MAX(U94,1)))))</f>
        <v>0</v>
      </c>
      <c r="V294" s="844">
        <f>IF(AND(SUM($N118:U118)=0,V118=0),0,IF(AND(U295&gt;0,U295&lt;=ABS(U294)),-U295,IF(U295&lt;=0,-SLN(V292,0,MAX(V94,1))*(13-$L$12)/12,-SLN(V291,0,MAX(V94,1))-SLN(V292,0,MAX(V94,1)))))</f>
        <v>0</v>
      </c>
      <c r="W294" s="844">
        <f>IF(AND(SUM($N118:V118)=0,W118=0),0,IF(AND(V295&gt;0,V295&lt;=ABS(V294)),-V295,IF(V295&lt;=0,-SLN(W292,0,MAX(W94,1))*(13-$L$12)/12,-SLN(W291,0,MAX(W94,1))-SLN(W292,0,MAX(W94,1)))))</f>
        <v>0</v>
      </c>
      <c r="X294" s="844">
        <f>IF(AND(SUM($N118:W118)=0,X118=0),0,IF(AND(W295&gt;0,W295&lt;=ABS(W294)),-W295,IF(W295&lt;=0,-SLN(X292,0,MAX(X94,1))*(13-$L$12)/12,-SLN(X291,0,MAX(X94,1))-SLN(X292,0,MAX(X94,1)))))</f>
        <v>0</v>
      </c>
      <c r="Y294" s="844">
        <f>IF(AND(SUM($N118:X118)=0,Y118=0),0,IF(AND(X295&gt;0,X295&lt;=ABS(X294)),-X295,IF(X295&lt;=0,-SLN(Y292,0,MAX(Y94,1))*(13-$L$12)/12,-SLN(Y291,0,MAX(Y94,1))-SLN(Y292,0,MAX(Y94,1)))))</f>
        <v>0</v>
      </c>
      <c r="Z294" s="844">
        <f>IF(AND(SUM($N118:Y118)=0,Z118=0),0,IF(AND(Y295&gt;0,Y295&lt;=ABS(Y294)),-Y295,IF(Y295&lt;=0,-SLN(Z292,0,MAX(Z94,1))*(13-$L$12)/12,-SLN(Z291,0,MAX(Z94,1))-SLN(Z292,0,MAX(Z94,1)))))</f>
        <v>0</v>
      </c>
      <c r="AA294" s="844">
        <f>IF(AND(SUM($N118:Z118)=0,AA118=0),0,IF(AND(Z295&gt;0,Z295&lt;=ABS(Z294)),-Z295,IF(Z295&lt;=0,-SLN(AA292,0,MAX(AA94,1))*(13-$L$12)/12,-SLN(AA291,0,MAX(AA94,1))-SLN(AA292,0,MAX(AA94,1)))))</f>
        <v>0</v>
      </c>
      <c r="AB294" s="844">
        <f>IF(AND(SUM($N118:AA118)=0,AB118=0),0,IF(AND(AA295&gt;0,AA295&lt;=ABS(AA294)),-AA295,IF(AA295&lt;=0,-SLN(AB292,0,MAX(AB94,1))*(13-$L$12)/12,-SLN(AB291,0,MAX(AB94,1))-SLN(AB292,0,MAX(AB94,1)))))</f>
        <v>0</v>
      </c>
      <c r="AC294" s="844">
        <f>IF(AND(SUM($N118:AB118)=0,AC118=0),0,IF(AND(AB295&gt;0,AB295&lt;=ABS(AB294)),-AB295,IF(AB295&lt;=0,-SLN(AC292,0,MAX(AC94,1))*(13-$L$12)/12,-SLN(AC291,0,MAX(AC94,1))-SLN(AC292,0,MAX(AC94,1)))))</f>
        <v>0</v>
      </c>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row>
    <row r="295" spans="8:58" s="4" customFormat="1" ht="15.75" outlineLevel="1" x14ac:dyDescent="0.25">
      <c r="H295" s="1"/>
      <c r="I295" s="99"/>
      <c r="J295" s="102" t="s">
        <v>230</v>
      </c>
      <c r="K295" s="102"/>
      <c r="L295" s="365"/>
      <c r="M295" s="1"/>
      <c r="N295" s="860">
        <f>N293+SUM($N294:N294)</f>
        <v>0</v>
      </c>
      <c r="O295" s="860">
        <f>O293+SUM($N294:O294)</f>
        <v>0</v>
      </c>
      <c r="P295" s="860">
        <f>P293+SUM($N294:P294)</f>
        <v>0</v>
      </c>
      <c r="Q295" s="860">
        <f>Q293+SUM($N294:Q294)</f>
        <v>0</v>
      </c>
      <c r="R295" s="860">
        <f>R293+SUM($N294:R294)</f>
        <v>0</v>
      </c>
      <c r="S295" s="860">
        <f>S293+SUM($N294:S294)</f>
        <v>0</v>
      </c>
      <c r="T295" s="860">
        <f>T293+SUM($N294:T294)</f>
        <v>0</v>
      </c>
      <c r="U295" s="860">
        <f>U293+SUM($N294:U294)</f>
        <v>0</v>
      </c>
      <c r="V295" s="860">
        <f>V293+SUM($N294:V294)</f>
        <v>0</v>
      </c>
      <c r="W295" s="860">
        <f>W293+SUM($N294:W294)</f>
        <v>0</v>
      </c>
      <c r="X295" s="860">
        <f>X293+SUM($N294:X294)</f>
        <v>0</v>
      </c>
      <c r="Y295" s="860">
        <f>Y293+SUM($N294:Y294)</f>
        <v>0</v>
      </c>
      <c r="Z295" s="860">
        <f>Z293+SUM($N294:Z294)</f>
        <v>0</v>
      </c>
      <c r="AA295" s="860">
        <f>AA293+SUM($N294:AA294)</f>
        <v>0</v>
      </c>
      <c r="AB295" s="860">
        <f>AB293+SUM($N294:AB294)</f>
        <v>0</v>
      </c>
      <c r="AC295" s="860">
        <f>AC293+SUM($N294:AC294)</f>
        <v>0</v>
      </c>
      <c r="AD295" s="1"/>
      <c r="AE295" s="366"/>
      <c r="AF295" s="366"/>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row>
    <row r="296" spans="8:58" s="4" customFormat="1" ht="15.75" outlineLevel="1" x14ac:dyDescent="0.25">
      <c r="H296" s="1"/>
      <c r="I296" s="99">
        <v>3</v>
      </c>
      <c r="J296" s="67" t="s">
        <v>461</v>
      </c>
      <c r="K296" s="110"/>
      <c r="L296" s="366"/>
      <c r="M296" s="366"/>
      <c r="N296" s="863"/>
      <c r="O296" s="863"/>
      <c r="P296" s="863"/>
      <c r="Q296" s="863"/>
      <c r="R296" s="863"/>
      <c r="S296" s="863"/>
      <c r="T296" s="863"/>
      <c r="U296" s="863"/>
      <c r="V296" s="863"/>
      <c r="W296" s="863"/>
      <c r="X296" s="863"/>
      <c r="Y296" s="863"/>
      <c r="Z296" s="863"/>
      <c r="AA296" s="863"/>
      <c r="AB296" s="863"/>
      <c r="AC296" s="863"/>
      <c r="AD296" s="366"/>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row>
    <row r="297" spans="8:58" s="4" customFormat="1" ht="15.75" outlineLevel="1" x14ac:dyDescent="0.25">
      <c r="H297" s="1"/>
      <c r="I297" s="99"/>
      <c r="J297" s="110" t="s">
        <v>462</v>
      </c>
      <c r="K297" s="367" t="str">
        <f>IF(ABS(K298)&lt;1,"OK,Fully Amortized","Error, Not full amortized")</f>
        <v>OK,Fully Amortized</v>
      </c>
      <c r="L297" s="323">
        <f>MAX(N297:AC297)</f>
        <v>0</v>
      </c>
      <c r="M297" s="1"/>
      <c r="N297" s="848">
        <f>+SUM($N74:N74)</f>
        <v>0</v>
      </c>
      <c r="O297" s="848">
        <f>+SUM($N74:O74)</f>
        <v>0</v>
      </c>
      <c r="P297" s="848">
        <f>+SUM($N74:P74)</f>
        <v>0</v>
      </c>
      <c r="Q297" s="848">
        <f>+SUM($N74:Q74)</f>
        <v>0</v>
      </c>
      <c r="R297" s="848">
        <f>+SUM($N74:R74)</f>
        <v>0</v>
      </c>
      <c r="S297" s="848">
        <f>+SUM($N74:S74)</f>
        <v>0</v>
      </c>
      <c r="T297" s="848">
        <f>+SUM($N74:T74)</f>
        <v>0</v>
      </c>
      <c r="U297" s="848">
        <f>+SUM($N74:U74)</f>
        <v>0</v>
      </c>
      <c r="V297" s="848">
        <f>+SUM($N74:V74)</f>
        <v>0</v>
      </c>
      <c r="W297" s="848">
        <f>+SUM($N74:W74)</f>
        <v>0</v>
      </c>
      <c r="X297" s="848">
        <f>+SUM($N74:X74)</f>
        <v>0</v>
      </c>
      <c r="Y297" s="848">
        <f>+SUM($N74:Y74)</f>
        <v>0</v>
      </c>
      <c r="Z297" s="848">
        <f>+SUM($N74:Z74)</f>
        <v>0</v>
      </c>
      <c r="AA297" s="848">
        <f>+SUM($N74:AA74)</f>
        <v>0</v>
      </c>
      <c r="AB297" s="848">
        <f>+SUM($N74:AB74)</f>
        <v>0</v>
      </c>
      <c r="AC297" s="848">
        <f>+SUM($N74:AC74)</f>
        <v>0</v>
      </c>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row>
    <row r="298" spans="8:58" s="4" customFormat="1" ht="15.75" outlineLevel="1" x14ac:dyDescent="0.25">
      <c r="H298" s="1"/>
      <c r="I298" s="99"/>
      <c r="J298" s="110" t="s">
        <v>231</v>
      </c>
      <c r="K298" s="323">
        <f>SUM(L297:L298)</f>
        <v>0</v>
      </c>
      <c r="L298" s="323">
        <f>SUM(N298:AC298)</f>
        <v>0</v>
      </c>
      <c r="M298" s="1"/>
      <c r="N298" s="848">
        <f t="shared" ref="N298:AC298" si="203">N131+N151</f>
        <v>0</v>
      </c>
      <c r="O298" s="848">
        <f t="shared" si="203"/>
        <v>0</v>
      </c>
      <c r="P298" s="848">
        <f t="shared" si="203"/>
        <v>0</v>
      </c>
      <c r="Q298" s="848">
        <f t="shared" si="203"/>
        <v>0</v>
      </c>
      <c r="R298" s="848">
        <f t="shared" si="203"/>
        <v>0</v>
      </c>
      <c r="S298" s="848">
        <f t="shared" si="203"/>
        <v>0</v>
      </c>
      <c r="T298" s="848">
        <f t="shared" si="203"/>
        <v>0</v>
      </c>
      <c r="U298" s="848">
        <f t="shared" si="203"/>
        <v>0</v>
      </c>
      <c r="V298" s="848">
        <f t="shared" si="203"/>
        <v>0</v>
      </c>
      <c r="W298" s="848">
        <f t="shared" si="203"/>
        <v>0</v>
      </c>
      <c r="X298" s="848">
        <f t="shared" si="203"/>
        <v>0</v>
      </c>
      <c r="Y298" s="848">
        <f t="shared" si="203"/>
        <v>0</v>
      </c>
      <c r="Z298" s="848">
        <f t="shared" si="203"/>
        <v>0</v>
      </c>
      <c r="AA298" s="848">
        <f t="shared" si="203"/>
        <v>0</v>
      </c>
      <c r="AB298" s="848">
        <f t="shared" si="203"/>
        <v>0</v>
      </c>
      <c r="AC298" s="848">
        <f t="shared" si="203"/>
        <v>0</v>
      </c>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row>
    <row r="299" spans="8:58" s="4" customFormat="1" ht="15.75" outlineLevel="1" x14ac:dyDescent="0.25">
      <c r="H299" s="1"/>
      <c r="I299" s="99"/>
      <c r="J299" s="210" t="s">
        <v>232</v>
      </c>
      <c r="K299" s="210"/>
      <c r="L299" s="292"/>
      <c r="M299" s="1"/>
      <c r="N299" s="860">
        <f>N297+SUM($N298:N298)</f>
        <v>0</v>
      </c>
      <c r="O299" s="860">
        <f>O297+SUM($N298:O298)</f>
        <v>0</v>
      </c>
      <c r="P299" s="860">
        <f>P297+SUM($N298:P298)</f>
        <v>0</v>
      </c>
      <c r="Q299" s="860">
        <f>Q297+SUM($N298:Q298)</f>
        <v>0</v>
      </c>
      <c r="R299" s="860">
        <f>R297+SUM($N298:R298)</f>
        <v>0</v>
      </c>
      <c r="S299" s="860">
        <f>S297+SUM($N298:S298)</f>
        <v>0</v>
      </c>
      <c r="T299" s="860">
        <f>T297+SUM($N298:T298)</f>
        <v>0</v>
      </c>
      <c r="U299" s="860">
        <f>U297+SUM($N298:U298)</f>
        <v>0</v>
      </c>
      <c r="V299" s="860">
        <f>V297+SUM($N298:V298)</f>
        <v>0</v>
      </c>
      <c r="W299" s="860">
        <f>W297+SUM($N298:W298)</f>
        <v>0</v>
      </c>
      <c r="X299" s="860">
        <f>X297+SUM($N298:X298)</f>
        <v>0</v>
      </c>
      <c r="Y299" s="860">
        <f>Y297+SUM($N298:Y298)</f>
        <v>0</v>
      </c>
      <c r="Z299" s="860">
        <f>Z297+SUM($N298:Z298)</f>
        <v>0</v>
      </c>
      <c r="AA299" s="860">
        <f>AA297+SUM($N298:AA298)</f>
        <v>0</v>
      </c>
      <c r="AB299" s="860">
        <f>AB297+SUM($N298:AB298)</f>
        <v>0</v>
      </c>
      <c r="AC299" s="860">
        <f>AC297+SUM($N298:AC298)</f>
        <v>0</v>
      </c>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row>
    <row r="300" spans="8:58" ht="15.75" outlineLevel="1" x14ac:dyDescent="0.25">
      <c r="I300" s="99">
        <v>4</v>
      </c>
      <c r="J300" s="67" t="s">
        <v>233</v>
      </c>
      <c r="K300" s="31"/>
      <c r="L300" s="289"/>
      <c r="N300" s="838"/>
      <c r="O300" s="838"/>
      <c r="P300" s="838"/>
      <c r="Q300" s="838"/>
      <c r="R300" s="838"/>
      <c r="S300" s="838"/>
      <c r="T300" s="838"/>
      <c r="U300" s="838"/>
      <c r="V300" s="838"/>
      <c r="W300" s="838"/>
      <c r="X300" s="838"/>
      <c r="Y300" s="838"/>
      <c r="Z300" s="838"/>
      <c r="AA300" s="838"/>
      <c r="AB300" s="838"/>
      <c r="AC300" s="838"/>
      <c r="AD300" s="1"/>
      <c r="AE300" s="1"/>
    </row>
    <row r="301" spans="8:58" ht="15.75" outlineLevel="1" x14ac:dyDescent="0.25">
      <c r="I301" s="99"/>
      <c r="J301" s="31" t="s">
        <v>234</v>
      </c>
      <c r="K301" s="31"/>
      <c r="L301" s="289"/>
      <c r="N301" s="864">
        <v>0</v>
      </c>
      <c r="O301" s="844">
        <f t="shared" ref="O301:AC301" si="204">N303</f>
        <v>0</v>
      </c>
      <c r="P301" s="844">
        <f t="shared" si="204"/>
        <v>0</v>
      </c>
      <c r="Q301" s="844">
        <f t="shared" si="204"/>
        <v>0</v>
      </c>
      <c r="R301" s="844">
        <f t="shared" si="204"/>
        <v>0</v>
      </c>
      <c r="S301" s="844">
        <f t="shared" si="204"/>
        <v>0</v>
      </c>
      <c r="T301" s="844">
        <f t="shared" si="204"/>
        <v>0</v>
      </c>
      <c r="U301" s="844">
        <f t="shared" si="204"/>
        <v>0</v>
      </c>
      <c r="V301" s="844">
        <f t="shared" si="204"/>
        <v>0</v>
      </c>
      <c r="W301" s="844">
        <f t="shared" si="204"/>
        <v>0</v>
      </c>
      <c r="X301" s="844">
        <f t="shared" si="204"/>
        <v>0</v>
      </c>
      <c r="Y301" s="844">
        <f t="shared" si="204"/>
        <v>0</v>
      </c>
      <c r="Z301" s="844">
        <f t="shared" si="204"/>
        <v>0</v>
      </c>
      <c r="AA301" s="844">
        <f t="shared" si="204"/>
        <v>0</v>
      </c>
      <c r="AB301" s="844">
        <f t="shared" si="204"/>
        <v>0</v>
      </c>
      <c r="AC301" s="844">
        <f t="shared" si="204"/>
        <v>0</v>
      </c>
      <c r="AD301" s="1"/>
      <c r="AE301" s="1"/>
    </row>
    <row r="302" spans="8:58" ht="15.75" outlineLevel="1" x14ac:dyDescent="0.25">
      <c r="I302" s="99"/>
      <c r="J302" s="31" t="s">
        <v>235</v>
      </c>
      <c r="K302" s="31"/>
      <c r="L302" s="289"/>
      <c r="N302" s="844">
        <f t="shared" ref="N302:AC302" si="205">+N101</f>
        <v>0</v>
      </c>
      <c r="O302" s="844">
        <f t="shared" si="205"/>
        <v>0</v>
      </c>
      <c r="P302" s="844">
        <f t="shared" si="205"/>
        <v>0</v>
      </c>
      <c r="Q302" s="844">
        <f t="shared" si="205"/>
        <v>0</v>
      </c>
      <c r="R302" s="844">
        <f t="shared" si="205"/>
        <v>0</v>
      </c>
      <c r="S302" s="844">
        <f t="shared" si="205"/>
        <v>0</v>
      </c>
      <c r="T302" s="844">
        <f t="shared" si="205"/>
        <v>0</v>
      </c>
      <c r="U302" s="844">
        <f t="shared" si="205"/>
        <v>0</v>
      </c>
      <c r="V302" s="844">
        <f t="shared" si="205"/>
        <v>0</v>
      </c>
      <c r="W302" s="844">
        <f t="shared" si="205"/>
        <v>0</v>
      </c>
      <c r="X302" s="844">
        <f t="shared" si="205"/>
        <v>0</v>
      </c>
      <c r="Y302" s="844">
        <f t="shared" si="205"/>
        <v>0</v>
      </c>
      <c r="Z302" s="844">
        <f t="shared" si="205"/>
        <v>0</v>
      </c>
      <c r="AA302" s="844">
        <f t="shared" si="205"/>
        <v>0</v>
      </c>
      <c r="AB302" s="844">
        <f t="shared" si="205"/>
        <v>0</v>
      </c>
      <c r="AC302" s="844">
        <f t="shared" si="205"/>
        <v>0</v>
      </c>
      <c r="AD302" s="1"/>
      <c r="AE302" s="1"/>
    </row>
    <row r="303" spans="8:58" ht="15.75" outlineLevel="1" x14ac:dyDescent="0.25">
      <c r="I303" s="99"/>
      <c r="J303" s="102" t="s">
        <v>236</v>
      </c>
      <c r="K303" s="102"/>
      <c r="L303" s="365"/>
      <c r="N303" s="860">
        <f t="shared" ref="N303:V303" si="206">SUM(N301:N302)</f>
        <v>0</v>
      </c>
      <c r="O303" s="860">
        <f t="shared" si="206"/>
        <v>0</v>
      </c>
      <c r="P303" s="860">
        <f t="shared" si="206"/>
        <v>0</v>
      </c>
      <c r="Q303" s="860">
        <f t="shared" si="206"/>
        <v>0</v>
      </c>
      <c r="R303" s="860">
        <f t="shared" si="206"/>
        <v>0</v>
      </c>
      <c r="S303" s="860">
        <f t="shared" si="206"/>
        <v>0</v>
      </c>
      <c r="T303" s="860">
        <f t="shared" si="206"/>
        <v>0</v>
      </c>
      <c r="U303" s="860">
        <f t="shared" si="206"/>
        <v>0</v>
      </c>
      <c r="V303" s="860">
        <f t="shared" si="206"/>
        <v>0</v>
      </c>
      <c r="W303" s="860">
        <f t="shared" ref="W303:AC303" si="207">SUM(W301:W302)</f>
        <v>0</v>
      </c>
      <c r="X303" s="860">
        <f t="shared" si="207"/>
        <v>0</v>
      </c>
      <c r="Y303" s="860">
        <f t="shared" si="207"/>
        <v>0</v>
      </c>
      <c r="Z303" s="860">
        <f t="shared" si="207"/>
        <v>0</v>
      </c>
      <c r="AA303" s="860">
        <f t="shared" si="207"/>
        <v>0</v>
      </c>
      <c r="AB303" s="860">
        <f t="shared" si="207"/>
        <v>0</v>
      </c>
      <c r="AC303" s="860">
        <f t="shared" si="207"/>
        <v>0</v>
      </c>
      <c r="AD303" s="1"/>
      <c r="AE303" s="1"/>
    </row>
    <row r="304" spans="8:58" ht="15.75" outlineLevel="1" x14ac:dyDescent="0.25">
      <c r="I304" s="99"/>
      <c r="J304" s="31" t="s">
        <v>237</v>
      </c>
      <c r="K304" s="31"/>
      <c r="L304" s="287"/>
      <c r="N304" s="844">
        <f t="shared" ref="N304:AC304" si="208">AVERAGE(N301,N303)*N100</f>
        <v>0</v>
      </c>
      <c r="O304" s="844">
        <f t="shared" si="208"/>
        <v>0</v>
      </c>
      <c r="P304" s="844">
        <f t="shared" si="208"/>
        <v>0</v>
      </c>
      <c r="Q304" s="844">
        <f t="shared" si="208"/>
        <v>0</v>
      </c>
      <c r="R304" s="844">
        <f t="shared" si="208"/>
        <v>0</v>
      </c>
      <c r="S304" s="844">
        <f t="shared" si="208"/>
        <v>0</v>
      </c>
      <c r="T304" s="844">
        <f t="shared" si="208"/>
        <v>0</v>
      </c>
      <c r="U304" s="844">
        <f t="shared" si="208"/>
        <v>0</v>
      </c>
      <c r="V304" s="844">
        <f t="shared" si="208"/>
        <v>0</v>
      </c>
      <c r="W304" s="844">
        <f t="shared" si="208"/>
        <v>0</v>
      </c>
      <c r="X304" s="844">
        <f t="shared" si="208"/>
        <v>0</v>
      </c>
      <c r="Y304" s="844">
        <f t="shared" si="208"/>
        <v>0</v>
      </c>
      <c r="Z304" s="844">
        <f t="shared" si="208"/>
        <v>0</v>
      </c>
      <c r="AA304" s="844">
        <f t="shared" si="208"/>
        <v>0</v>
      </c>
      <c r="AB304" s="844">
        <f t="shared" si="208"/>
        <v>0</v>
      </c>
      <c r="AC304" s="844">
        <f t="shared" si="208"/>
        <v>0</v>
      </c>
      <c r="AD304" s="1"/>
      <c r="AE304" s="1"/>
    </row>
    <row r="305" spans="8:58" ht="15.75" outlineLevel="1" x14ac:dyDescent="0.25">
      <c r="I305" s="99"/>
      <c r="J305" s="31" t="s">
        <v>238</v>
      </c>
      <c r="K305" s="31"/>
      <c r="L305" s="169"/>
      <c r="N305" s="368" t="str">
        <f t="shared" ref="N305:AC305" si="209">IF(ABS(SUM((N304+N168),(N303-N213),(N295-N208),(N294-N164),N288-SUM(N200:N206)+SUM(N211:N212)))&lt;=1,"OK","Wrong")</f>
        <v>OK</v>
      </c>
      <c r="O305" s="368" t="str">
        <f t="shared" si="209"/>
        <v>OK</v>
      </c>
      <c r="P305" s="368" t="str">
        <f t="shared" si="209"/>
        <v>OK</v>
      </c>
      <c r="Q305" s="368" t="str">
        <f t="shared" si="209"/>
        <v>OK</v>
      </c>
      <c r="R305" s="368" t="str">
        <f t="shared" si="209"/>
        <v>OK</v>
      </c>
      <c r="S305" s="368" t="str">
        <f t="shared" si="209"/>
        <v>OK</v>
      </c>
      <c r="T305" s="368" t="str">
        <f t="shared" si="209"/>
        <v>OK</v>
      </c>
      <c r="U305" s="368" t="str">
        <f t="shared" si="209"/>
        <v>OK</v>
      </c>
      <c r="V305" s="368" t="str">
        <f t="shared" si="209"/>
        <v>OK</v>
      </c>
      <c r="W305" s="368" t="str">
        <f t="shared" si="209"/>
        <v>OK</v>
      </c>
      <c r="X305" s="368" t="str">
        <f t="shared" si="209"/>
        <v>OK</v>
      </c>
      <c r="Y305" s="368" t="str">
        <f t="shared" si="209"/>
        <v>OK</v>
      </c>
      <c r="Z305" s="368" t="str">
        <f t="shared" si="209"/>
        <v>OK</v>
      </c>
      <c r="AA305" s="368" t="str">
        <f t="shared" si="209"/>
        <v>OK</v>
      </c>
      <c r="AB305" s="368" t="str">
        <f t="shared" si="209"/>
        <v>OK</v>
      </c>
      <c r="AC305" s="368" t="str">
        <f t="shared" si="209"/>
        <v>OK</v>
      </c>
      <c r="AD305" s="1"/>
    </row>
    <row r="306" spans="8:58" ht="15.75" outlineLevel="1" x14ac:dyDescent="0.25">
      <c r="I306" s="99"/>
      <c r="J306" s="31"/>
      <c r="K306" s="31"/>
      <c r="L306" s="169"/>
      <c r="N306" s="31"/>
      <c r="O306" s="31"/>
      <c r="P306" s="31"/>
      <c r="Q306" s="31"/>
      <c r="R306" s="31"/>
      <c r="S306" s="31"/>
      <c r="T306" s="31"/>
      <c r="U306" s="31"/>
      <c r="V306" s="31"/>
      <c r="W306" s="31"/>
      <c r="X306" s="31"/>
      <c r="Y306" s="31"/>
      <c r="Z306" s="31"/>
      <c r="AA306" s="31"/>
      <c r="AB306" s="31"/>
      <c r="AC306" s="31"/>
      <c r="AD306" s="1"/>
      <c r="AE306" s="1"/>
      <c r="AF306" s="4"/>
      <c r="AG306" s="4"/>
      <c r="AH306" s="4"/>
      <c r="AI306" s="4"/>
      <c r="AJ306" s="4"/>
      <c r="AK306" s="4"/>
      <c r="AL306" s="4"/>
      <c r="AM306" s="4"/>
      <c r="AN306" s="4"/>
      <c r="AO306" s="4"/>
      <c r="AP306" s="4"/>
      <c r="AQ306" s="4"/>
      <c r="AR306" s="4"/>
      <c r="AS306" s="4"/>
      <c r="AT306" s="4"/>
    </row>
    <row r="307" spans="8:58" s="4" customFormat="1" ht="18" x14ac:dyDescent="0.2">
      <c r="H307" s="1"/>
      <c r="I307" s="132" t="s">
        <v>239</v>
      </c>
      <c r="J307" s="33" t="s">
        <v>240</v>
      </c>
      <c r="K307" s="33"/>
      <c r="L307" s="364"/>
      <c r="M307" s="364"/>
      <c r="N307" s="133">
        <f>N$11</f>
        <v>2024</v>
      </c>
      <c r="O307" s="133">
        <f t="shared" ref="O307:AC307" si="210">O$11</f>
        <v>2025</v>
      </c>
      <c r="P307" s="133">
        <f t="shared" si="210"/>
        <v>2026</v>
      </c>
      <c r="Q307" s="133">
        <f t="shared" si="210"/>
        <v>2027</v>
      </c>
      <c r="R307" s="133">
        <f t="shared" si="210"/>
        <v>2028</v>
      </c>
      <c r="S307" s="133">
        <f t="shared" si="210"/>
        <v>2029</v>
      </c>
      <c r="T307" s="133">
        <f t="shared" si="210"/>
        <v>2030</v>
      </c>
      <c r="U307" s="133">
        <f t="shared" si="210"/>
        <v>2031</v>
      </c>
      <c r="V307" s="133">
        <f t="shared" si="210"/>
        <v>2032</v>
      </c>
      <c r="W307" s="133">
        <f t="shared" si="210"/>
        <v>2033</v>
      </c>
      <c r="X307" s="133">
        <f t="shared" si="210"/>
        <v>2034</v>
      </c>
      <c r="Y307" s="133">
        <f t="shared" si="210"/>
        <v>2035</v>
      </c>
      <c r="Z307" s="133">
        <f t="shared" si="210"/>
        <v>2036</v>
      </c>
      <c r="AA307" s="133">
        <f t="shared" si="210"/>
        <v>2037</v>
      </c>
      <c r="AB307" s="133">
        <f t="shared" si="210"/>
        <v>2038</v>
      </c>
      <c r="AC307" s="133">
        <f t="shared" si="210"/>
        <v>2039</v>
      </c>
      <c r="AD307" s="1"/>
      <c r="AF307" s="1"/>
      <c r="AG307" s="1"/>
      <c r="AH307" s="1"/>
      <c r="AI307" s="1"/>
      <c r="AJ307" s="1"/>
      <c r="AK307" s="1"/>
      <c r="AL307" s="1"/>
      <c r="AM307" s="1"/>
      <c r="AN307" s="1"/>
      <c r="AO307" s="1"/>
      <c r="AP307" s="1"/>
      <c r="AQ307" s="1"/>
      <c r="AR307" s="1"/>
      <c r="AS307" s="1"/>
      <c r="AT307" s="1"/>
      <c r="AV307" s="1"/>
      <c r="AW307" s="1"/>
      <c r="AX307" s="1"/>
      <c r="AY307" s="1"/>
      <c r="AZ307" s="1"/>
      <c r="BA307" s="1"/>
      <c r="BB307" s="1"/>
      <c r="BC307" s="1"/>
      <c r="BD307" s="1"/>
      <c r="BE307" s="1"/>
      <c r="BF307" s="1"/>
    </row>
    <row r="308" spans="8:58" ht="15.4" customHeight="1" x14ac:dyDescent="0.3">
      <c r="I308" s="99"/>
      <c r="J308" s="369" t="s">
        <v>241</v>
      </c>
      <c r="K308" s="370"/>
      <c r="L308" s="371"/>
      <c r="N308" s="371"/>
      <c r="O308" s="371"/>
      <c r="P308" s="371"/>
      <c r="Q308" s="371"/>
      <c r="R308" s="371"/>
      <c r="S308" s="371"/>
      <c r="T308" s="371"/>
      <c r="U308" s="371"/>
      <c r="V308" s="371"/>
      <c r="W308" s="371"/>
      <c r="X308" s="371"/>
      <c r="Y308" s="371"/>
      <c r="Z308" s="371"/>
      <c r="AA308" s="371"/>
      <c r="AB308" s="371"/>
      <c r="AC308" s="371"/>
      <c r="AD308" s="1"/>
    </row>
    <row r="309" spans="8:58" ht="15.4" customHeight="1" x14ac:dyDescent="0.3">
      <c r="I309" s="99"/>
      <c r="J309" s="372" t="s">
        <v>242</v>
      </c>
      <c r="K309" s="46"/>
      <c r="L309" s="373"/>
      <c r="N309" s="951">
        <f t="shared" ref="N309:AC309" si="211">SUM(N213)</f>
        <v>0</v>
      </c>
      <c r="O309" s="951">
        <f t="shared" si="211"/>
        <v>0</v>
      </c>
      <c r="P309" s="951">
        <f t="shared" si="211"/>
        <v>0</v>
      </c>
      <c r="Q309" s="951">
        <f t="shared" si="211"/>
        <v>0</v>
      </c>
      <c r="R309" s="951">
        <f t="shared" si="211"/>
        <v>0</v>
      </c>
      <c r="S309" s="951">
        <f t="shared" si="211"/>
        <v>0</v>
      </c>
      <c r="T309" s="951">
        <f t="shared" si="211"/>
        <v>0</v>
      </c>
      <c r="U309" s="951">
        <f t="shared" si="211"/>
        <v>0</v>
      </c>
      <c r="V309" s="951">
        <f t="shared" si="211"/>
        <v>0</v>
      </c>
      <c r="W309" s="951">
        <f t="shared" si="211"/>
        <v>0</v>
      </c>
      <c r="X309" s="951">
        <f t="shared" si="211"/>
        <v>0</v>
      </c>
      <c r="Y309" s="951">
        <f t="shared" si="211"/>
        <v>0</v>
      </c>
      <c r="Z309" s="951">
        <f t="shared" si="211"/>
        <v>0</v>
      </c>
      <c r="AA309" s="951">
        <f t="shared" si="211"/>
        <v>0</v>
      </c>
      <c r="AB309" s="951">
        <f t="shared" si="211"/>
        <v>0</v>
      </c>
      <c r="AC309" s="951">
        <f t="shared" si="211"/>
        <v>0</v>
      </c>
      <c r="AD309" s="1"/>
    </row>
    <row r="310" spans="8:58" ht="15.4" customHeight="1" x14ac:dyDescent="0.3">
      <c r="I310" s="99"/>
      <c r="J310" s="372" t="s">
        <v>243</v>
      </c>
      <c r="K310" s="46"/>
      <c r="L310" s="373"/>
      <c r="N310" s="951">
        <f t="shared" ref="N310:AC310" si="212">N209-N214</f>
        <v>0</v>
      </c>
      <c r="O310" s="951">
        <f t="shared" si="212"/>
        <v>0</v>
      </c>
      <c r="P310" s="951">
        <f t="shared" si="212"/>
        <v>0</v>
      </c>
      <c r="Q310" s="951">
        <f t="shared" si="212"/>
        <v>0</v>
      </c>
      <c r="R310" s="951">
        <f t="shared" si="212"/>
        <v>0</v>
      </c>
      <c r="S310" s="951">
        <f t="shared" si="212"/>
        <v>0</v>
      </c>
      <c r="T310" s="951">
        <f t="shared" si="212"/>
        <v>0</v>
      </c>
      <c r="U310" s="951">
        <f t="shared" si="212"/>
        <v>0</v>
      </c>
      <c r="V310" s="951">
        <f t="shared" si="212"/>
        <v>0</v>
      </c>
      <c r="W310" s="951">
        <f t="shared" si="212"/>
        <v>0</v>
      </c>
      <c r="X310" s="951">
        <f t="shared" si="212"/>
        <v>0</v>
      </c>
      <c r="Y310" s="951">
        <f t="shared" si="212"/>
        <v>0</v>
      </c>
      <c r="Z310" s="951">
        <f t="shared" si="212"/>
        <v>0</v>
      </c>
      <c r="AA310" s="951">
        <f t="shared" si="212"/>
        <v>0</v>
      </c>
      <c r="AB310" s="951">
        <f t="shared" si="212"/>
        <v>0</v>
      </c>
      <c r="AC310" s="951">
        <f t="shared" si="212"/>
        <v>0</v>
      </c>
      <c r="AD310" s="1"/>
      <c r="AE310" s="376"/>
      <c r="AF310" s="66"/>
      <c r="AG310" s="66"/>
      <c r="AH310" s="66"/>
      <c r="AI310" s="66"/>
      <c r="AJ310" s="66"/>
      <c r="AK310" s="66"/>
      <c r="AL310" s="66"/>
      <c r="AM310" s="66"/>
      <c r="AN310" s="66"/>
      <c r="AO310" s="66"/>
      <c r="AP310" s="66"/>
      <c r="AQ310" s="66"/>
      <c r="AR310" s="66"/>
      <c r="AS310" s="66"/>
      <c r="AT310" s="66"/>
    </row>
    <row r="311" spans="8:58" s="66" customFormat="1" ht="15.4" customHeight="1" x14ac:dyDescent="0.3">
      <c r="I311" s="99"/>
      <c r="J311" s="372" t="s">
        <v>244</v>
      </c>
      <c r="K311" s="46"/>
      <c r="L311" s="373"/>
      <c r="N311" s="952"/>
      <c r="O311" s="952"/>
      <c r="P311" s="952"/>
      <c r="Q311" s="952"/>
      <c r="R311" s="952"/>
      <c r="S311" s="952"/>
      <c r="T311" s="952"/>
      <c r="U311" s="952"/>
      <c r="V311" s="952"/>
      <c r="W311" s="952"/>
      <c r="X311" s="952"/>
      <c r="Y311" s="952"/>
      <c r="Z311" s="952"/>
      <c r="AA311" s="952"/>
      <c r="AB311" s="952"/>
      <c r="AC311" s="952"/>
      <c r="AE311" s="4"/>
      <c r="AF311" s="1"/>
      <c r="AG311" s="1"/>
      <c r="AH311" s="1"/>
      <c r="AI311" s="1"/>
      <c r="AJ311" s="1"/>
      <c r="AK311" s="1"/>
      <c r="AL311" s="1"/>
      <c r="AM311" s="1"/>
      <c r="AN311" s="1"/>
      <c r="AO311" s="1"/>
      <c r="AP311" s="1"/>
      <c r="AQ311" s="1"/>
      <c r="AR311" s="1"/>
      <c r="AS311" s="1"/>
      <c r="AT311" s="1"/>
    </row>
    <row r="312" spans="8:58" ht="15.4" customHeight="1" x14ac:dyDescent="0.3">
      <c r="I312" s="99"/>
      <c r="J312" s="372" t="s">
        <v>245</v>
      </c>
      <c r="K312" s="46"/>
      <c r="L312" s="377"/>
      <c r="N312" s="953"/>
      <c r="O312" s="953"/>
      <c r="P312" s="953"/>
      <c r="Q312" s="953"/>
      <c r="R312" s="953"/>
      <c r="S312" s="953"/>
      <c r="T312" s="953"/>
      <c r="U312" s="953"/>
      <c r="V312" s="953"/>
      <c r="W312" s="953"/>
      <c r="X312" s="953"/>
      <c r="Y312" s="953"/>
      <c r="Z312" s="953"/>
      <c r="AA312" s="953"/>
      <c r="AB312" s="953"/>
      <c r="AC312" s="953"/>
      <c r="AD312" s="17"/>
    </row>
    <row r="313" spans="8:58" ht="15.4" customHeight="1" x14ac:dyDescent="0.3">
      <c r="I313" s="99"/>
      <c r="J313" s="372" t="s">
        <v>246</v>
      </c>
      <c r="K313" s="46"/>
      <c r="L313" s="377"/>
      <c r="N313" s="951">
        <f t="shared" ref="N313:AC313" si="213">N199</f>
        <v>0</v>
      </c>
      <c r="O313" s="951">
        <f t="shared" si="213"/>
        <v>0</v>
      </c>
      <c r="P313" s="951">
        <f t="shared" si="213"/>
        <v>0</v>
      </c>
      <c r="Q313" s="951">
        <f t="shared" si="213"/>
        <v>0</v>
      </c>
      <c r="R313" s="951">
        <f t="shared" si="213"/>
        <v>0</v>
      </c>
      <c r="S313" s="951">
        <f t="shared" si="213"/>
        <v>0</v>
      </c>
      <c r="T313" s="951">
        <f t="shared" si="213"/>
        <v>0</v>
      </c>
      <c r="U313" s="951">
        <f t="shared" si="213"/>
        <v>0</v>
      </c>
      <c r="V313" s="951">
        <f t="shared" si="213"/>
        <v>0</v>
      </c>
      <c r="W313" s="951">
        <f t="shared" si="213"/>
        <v>0</v>
      </c>
      <c r="X313" s="951">
        <f t="shared" si="213"/>
        <v>0</v>
      </c>
      <c r="Y313" s="951">
        <f t="shared" si="213"/>
        <v>0</v>
      </c>
      <c r="Z313" s="951">
        <f t="shared" si="213"/>
        <v>0</v>
      </c>
      <c r="AA313" s="951">
        <f t="shared" si="213"/>
        <v>0</v>
      </c>
      <c r="AB313" s="951">
        <f t="shared" si="213"/>
        <v>0</v>
      </c>
      <c r="AC313" s="951">
        <f t="shared" si="213"/>
        <v>0</v>
      </c>
      <c r="AD313" s="1"/>
      <c r="AE313" s="376"/>
      <c r="AF313" s="66"/>
      <c r="AG313" s="66"/>
      <c r="AH313" s="66"/>
      <c r="AI313" s="66"/>
      <c r="AJ313" s="66"/>
      <c r="AK313" s="66"/>
      <c r="AL313" s="66"/>
      <c r="AM313" s="66"/>
      <c r="AN313" s="66"/>
      <c r="AO313" s="66"/>
      <c r="AP313" s="66"/>
      <c r="AQ313" s="66"/>
      <c r="AR313" s="66"/>
      <c r="AS313" s="66"/>
      <c r="AT313" s="66"/>
    </row>
    <row r="314" spans="8:58" s="66" customFormat="1" ht="15.4" customHeight="1" x14ac:dyDescent="0.3">
      <c r="I314" s="99"/>
      <c r="J314" s="379" t="s">
        <v>247</v>
      </c>
      <c r="K314" s="47" t="s">
        <v>248</v>
      </c>
      <c r="L314" s="374">
        <f>IFERROR(AVERAGEIF(N314:AC314,"&gt;0"),)</f>
        <v>0</v>
      </c>
      <c r="N314" s="951">
        <f>N309+N310+N311-N312-N313</f>
        <v>0</v>
      </c>
      <c r="O314" s="951">
        <f t="shared" ref="O314:AC314" si="214">O309+O310+O311-O312-O313</f>
        <v>0</v>
      </c>
      <c r="P314" s="951">
        <f t="shared" si="214"/>
        <v>0</v>
      </c>
      <c r="Q314" s="951">
        <f t="shared" si="214"/>
        <v>0</v>
      </c>
      <c r="R314" s="951">
        <f t="shared" si="214"/>
        <v>0</v>
      </c>
      <c r="S314" s="951">
        <f t="shared" si="214"/>
        <v>0</v>
      </c>
      <c r="T314" s="951">
        <f t="shared" si="214"/>
        <v>0</v>
      </c>
      <c r="U314" s="951">
        <f t="shared" si="214"/>
        <v>0</v>
      </c>
      <c r="V314" s="951">
        <f t="shared" si="214"/>
        <v>0</v>
      </c>
      <c r="W314" s="951">
        <f t="shared" si="214"/>
        <v>0</v>
      </c>
      <c r="X314" s="951">
        <f t="shared" si="214"/>
        <v>0</v>
      </c>
      <c r="Y314" s="951">
        <f t="shared" si="214"/>
        <v>0</v>
      </c>
      <c r="Z314" s="951">
        <f t="shared" si="214"/>
        <v>0</v>
      </c>
      <c r="AA314" s="951">
        <f t="shared" si="214"/>
        <v>0</v>
      </c>
      <c r="AB314" s="951">
        <f t="shared" si="214"/>
        <v>0</v>
      </c>
      <c r="AC314" s="951">
        <f t="shared" si="214"/>
        <v>0</v>
      </c>
      <c r="AE314" s="4"/>
      <c r="AF314" s="1"/>
      <c r="AG314" s="1"/>
      <c r="AH314" s="1"/>
      <c r="AI314" s="1"/>
      <c r="AJ314" s="1"/>
      <c r="AK314" s="1"/>
      <c r="AL314" s="1"/>
      <c r="AM314" s="1"/>
      <c r="AN314" s="1"/>
      <c r="AO314" s="1"/>
      <c r="AP314" s="1"/>
      <c r="AQ314" s="1"/>
      <c r="AR314" s="1"/>
      <c r="AS314" s="1"/>
      <c r="AT314" s="1"/>
    </row>
    <row r="315" spans="8:58" ht="15.4" customHeight="1" x14ac:dyDescent="0.3">
      <c r="I315" s="99"/>
      <c r="J315" s="379"/>
      <c r="K315" s="47" t="s">
        <v>249</v>
      </c>
      <c r="L315" s="380">
        <f>COUNTIF(N16:AC16,"&gt;0")</f>
        <v>0</v>
      </c>
      <c r="N315" s="954"/>
      <c r="O315" s="954"/>
      <c r="P315" s="954"/>
      <c r="Q315" s="954"/>
      <c r="R315" s="954"/>
      <c r="S315" s="954"/>
      <c r="T315" s="954"/>
      <c r="U315" s="954"/>
      <c r="V315" s="954"/>
      <c r="W315" s="954"/>
      <c r="X315" s="954"/>
      <c r="Y315" s="954"/>
      <c r="Z315" s="954"/>
      <c r="AA315" s="954"/>
      <c r="AB315" s="954"/>
      <c r="AC315" s="954"/>
      <c r="AD315" s="1"/>
    </row>
    <row r="316" spans="8:58" ht="15.4" customHeight="1" x14ac:dyDescent="0.3">
      <c r="I316" s="99"/>
      <c r="J316" s="379" t="s">
        <v>250</v>
      </c>
      <c r="K316" s="46"/>
      <c r="L316" s="377"/>
      <c r="N316" s="951">
        <f t="shared" ref="N316:AC316" si="215">IFERROR((N143+N164)*(1+N170/N169),0)</f>
        <v>0</v>
      </c>
      <c r="O316" s="951">
        <f t="shared" si="215"/>
        <v>0</v>
      </c>
      <c r="P316" s="951">
        <f t="shared" si="215"/>
        <v>0</v>
      </c>
      <c r="Q316" s="951">
        <f t="shared" si="215"/>
        <v>0</v>
      </c>
      <c r="R316" s="951">
        <f t="shared" si="215"/>
        <v>0</v>
      </c>
      <c r="S316" s="951">
        <f t="shared" si="215"/>
        <v>0</v>
      </c>
      <c r="T316" s="951">
        <f t="shared" si="215"/>
        <v>0</v>
      </c>
      <c r="U316" s="951">
        <f t="shared" si="215"/>
        <v>0</v>
      </c>
      <c r="V316" s="951">
        <f t="shared" si="215"/>
        <v>0</v>
      </c>
      <c r="W316" s="951">
        <f t="shared" si="215"/>
        <v>0</v>
      </c>
      <c r="X316" s="951">
        <f t="shared" si="215"/>
        <v>0</v>
      </c>
      <c r="Y316" s="951">
        <f t="shared" si="215"/>
        <v>0</v>
      </c>
      <c r="Z316" s="951">
        <f t="shared" si="215"/>
        <v>0</v>
      </c>
      <c r="AA316" s="951">
        <f t="shared" si="215"/>
        <v>0</v>
      </c>
      <c r="AB316" s="951">
        <f t="shared" si="215"/>
        <v>0</v>
      </c>
      <c r="AC316" s="951">
        <f t="shared" si="215"/>
        <v>0</v>
      </c>
      <c r="AD316" s="1"/>
    </row>
    <row r="317" spans="8:58" ht="15.4" customHeight="1" x14ac:dyDescent="0.3">
      <c r="I317" s="99"/>
      <c r="J317" s="382"/>
      <c r="K317" s="383"/>
      <c r="L317" s="384"/>
      <c r="N317" s="31"/>
      <c r="O317" s="31"/>
      <c r="P317" s="31"/>
      <c r="Q317" s="31"/>
      <c r="R317" s="31"/>
      <c r="S317" s="31"/>
      <c r="T317" s="31"/>
      <c r="U317" s="31"/>
      <c r="V317" s="31"/>
      <c r="W317" s="31"/>
      <c r="X317" s="31"/>
      <c r="Y317" s="31"/>
      <c r="Z317" s="31"/>
      <c r="AA317" s="31"/>
      <c r="AB317" s="31"/>
      <c r="AC317" s="31"/>
      <c r="AD317" s="1"/>
      <c r="AE317" s="1"/>
    </row>
    <row r="318" spans="8:58" ht="18" outlineLevel="1" x14ac:dyDescent="0.2">
      <c r="I318" s="104" t="s">
        <v>251</v>
      </c>
      <c r="J318" s="105" t="s">
        <v>252</v>
      </c>
      <c r="K318" s="105"/>
      <c r="L318" s="105"/>
      <c r="M318" s="106"/>
      <c r="N318" s="107"/>
      <c r="O318" s="107"/>
      <c r="P318" s="107"/>
      <c r="Q318" s="107"/>
      <c r="R318" s="107"/>
      <c r="S318" s="107"/>
      <c r="T318" s="107"/>
      <c r="U318" s="107"/>
      <c r="V318" s="107"/>
      <c r="W318" s="107"/>
      <c r="X318" s="107"/>
      <c r="Y318" s="107"/>
      <c r="Z318" s="107"/>
      <c r="AA318" s="107"/>
      <c r="AB318" s="107"/>
      <c r="AC318" s="107"/>
      <c r="AD318" s="1"/>
    </row>
    <row r="319" spans="8:58" ht="15.4" customHeight="1" outlineLevel="1" x14ac:dyDescent="0.3">
      <c r="I319" s="99"/>
      <c r="J319" s="385"/>
      <c r="K319" s="31"/>
      <c r="L319" s="169"/>
      <c r="N319" s="31"/>
      <c r="O319" s="31"/>
      <c r="P319" s="31"/>
      <c r="Q319" s="31"/>
      <c r="R319" s="31"/>
      <c r="S319" s="31"/>
      <c r="T319" s="31"/>
      <c r="U319" s="31"/>
      <c r="V319" s="31"/>
      <c r="W319" s="31"/>
      <c r="X319" s="31"/>
      <c r="Y319" s="31"/>
      <c r="Z319" s="31"/>
      <c r="AA319" s="31"/>
      <c r="AB319" s="31"/>
      <c r="AC319" s="31"/>
      <c r="AD319" s="1"/>
    </row>
    <row r="320" spans="8:58" ht="18.75" outlineLevel="1" x14ac:dyDescent="0.3">
      <c r="I320" s="99"/>
      <c r="J320" s="386" t="s">
        <v>253</v>
      </c>
      <c r="K320" s="387"/>
      <c r="L320" s="388" t="s">
        <v>11</v>
      </c>
      <c r="N320" s="386">
        <v>0</v>
      </c>
      <c r="O320" s="386">
        <f t="shared" ref="O320:AC320" si="216">N320+1</f>
        <v>1</v>
      </c>
      <c r="P320" s="386">
        <f t="shared" si="216"/>
        <v>2</v>
      </c>
      <c r="Q320" s="386">
        <f t="shared" si="216"/>
        <v>3</v>
      </c>
      <c r="R320" s="386">
        <f t="shared" si="216"/>
        <v>4</v>
      </c>
      <c r="S320" s="386">
        <f t="shared" si="216"/>
        <v>5</v>
      </c>
      <c r="T320" s="386">
        <f t="shared" si="216"/>
        <v>6</v>
      </c>
      <c r="U320" s="386">
        <f t="shared" si="216"/>
        <v>7</v>
      </c>
      <c r="V320" s="386">
        <f t="shared" si="216"/>
        <v>8</v>
      </c>
      <c r="W320" s="386">
        <f t="shared" si="216"/>
        <v>9</v>
      </c>
      <c r="X320" s="386">
        <f t="shared" si="216"/>
        <v>10</v>
      </c>
      <c r="Y320" s="386">
        <f t="shared" si="216"/>
        <v>11</v>
      </c>
      <c r="Z320" s="386">
        <f t="shared" si="216"/>
        <v>12</v>
      </c>
      <c r="AA320" s="386">
        <f t="shared" si="216"/>
        <v>13</v>
      </c>
      <c r="AB320" s="386">
        <f t="shared" si="216"/>
        <v>14</v>
      </c>
      <c r="AC320" s="386">
        <f t="shared" si="216"/>
        <v>15</v>
      </c>
      <c r="AD320" s="1"/>
    </row>
    <row r="321" spans="9:54" ht="15.4" customHeight="1" outlineLevel="1" x14ac:dyDescent="0.3">
      <c r="I321" s="99"/>
      <c r="J321" s="385" t="s">
        <v>254</v>
      </c>
      <c r="K321" s="31"/>
      <c r="L321" s="289"/>
      <c r="N321" s="389">
        <f t="shared" ref="N321:AC321" si="217">1/(1+$L$98)^N320</f>
        <v>1</v>
      </c>
      <c r="O321" s="389">
        <f t="shared" si="217"/>
        <v>0.86956521739130443</v>
      </c>
      <c r="P321" s="389">
        <f t="shared" si="217"/>
        <v>0.7561436672967865</v>
      </c>
      <c r="Q321" s="389">
        <f t="shared" si="217"/>
        <v>0.65751623243198831</v>
      </c>
      <c r="R321" s="389">
        <f t="shared" si="217"/>
        <v>0.57175324559303342</v>
      </c>
      <c r="S321" s="389">
        <f t="shared" si="217"/>
        <v>0.49717673529828987</v>
      </c>
      <c r="T321" s="389">
        <f t="shared" si="217"/>
        <v>0.43232759591155645</v>
      </c>
      <c r="U321" s="389">
        <f t="shared" si="217"/>
        <v>0.37593703992309269</v>
      </c>
      <c r="V321" s="389">
        <f t="shared" si="217"/>
        <v>0.32690177384616753</v>
      </c>
      <c r="W321" s="389">
        <f t="shared" si="217"/>
        <v>0.28426241204014574</v>
      </c>
      <c r="X321" s="389">
        <f t="shared" si="217"/>
        <v>0.24718470612186585</v>
      </c>
      <c r="Y321" s="389">
        <f t="shared" si="217"/>
        <v>0.21494322271466598</v>
      </c>
      <c r="Z321" s="389">
        <f t="shared" si="217"/>
        <v>0.18690715018666609</v>
      </c>
      <c r="AA321" s="389">
        <f t="shared" si="217"/>
        <v>0.16252795668405748</v>
      </c>
      <c r="AB321" s="389">
        <f t="shared" si="217"/>
        <v>0.14132865798613695</v>
      </c>
      <c r="AC321" s="389">
        <f t="shared" si="217"/>
        <v>0.1228944852053365</v>
      </c>
      <c r="AD321" s="1"/>
    </row>
    <row r="322" spans="9:54" ht="15.4" customHeight="1" outlineLevel="1" x14ac:dyDescent="0.3">
      <c r="I322" s="99"/>
      <c r="J322" s="385" t="s">
        <v>255</v>
      </c>
      <c r="K322" s="31"/>
      <c r="L322" s="955">
        <f>SUM(N322:AC322)</f>
        <v>0</v>
      </c>
      <c r="N322" s="844">
        <f t="shared" ref="N322:AC322" si="218">N228</f>
        <v>0</v>
      </c>
      <c r="O322" s="844">
        <f t="shared" si="218"/>
        <v>0</v>
      </c>
      <c r="P322" s="844">
        <f t="shared" si="218"/>
        <v>0</v>
      </c>
      <c r="Q322" s="844">
        <f t="shared" si="218"/>
        <v>0</v>
      </c>
      <c r="R322" s="844">
        <f t="shared" si="218"/>
        <v>0</v>
      </c>
      <c r="S322" s="844">
        <f t="shared" si="218"/>
        <v>0</v>
      </c>
      <c r="T322" s="844">
        <f t="shared" si="218"/>
        <v>0</v>
      </c>
      <c r="U322" s="844">
        <f t="shared" si="218"/>
        <v>0</v>
      </c>
      <c r="V322" s="844">
        <f t="shared" si="218"/>
        <v>0</v>
      </c>
      <c r="W322" s="844">
        <f t="shared" si="218"/>
        <v>0</v>
      </c>
      <c r="X322" s="844">
        <f t="shared" si="218"/>
        <v>0</v>
      </c>
      <c r="Y322" s="844">
        <f t="shared" si="218"/>
        <v>0</v>
      </c>
      <c r="Z322" s="844">
        <f t="shared" si="218"/>
        <v>0</v>
      </c>
      <c r="AA322" s="844">
        <f t="shared" si="218"/>
        <v>0</v>
      </c>
      <c r="AB322" s="844">
        <f t="shared" si="218"/>
        <v>0</v>
      </c>
      <c r="AC322" s="844">
        <f t="shared" si="218"/>
        <v>0</v>
      </c>
      <c r="AD322" s="1"/>
      <c r="AO322" s="391"/>
      <c r="AP322" s="391"/>
      <c r="AQ322" s="391"/>
      <c r="AR322" s="391"/>
      <c r="AS322" s="391"/>
      <c r="AT322" s="391"/>
    </row>
    <row r="323" spans="9:54" ht="15.4" customHeight="1" outlineLevel="1" x14ac:dyDescent="0.3">
      <c r="I323" s="99"/>
      <c r="J323" s="385" t="s">
        <v>256</v>
      </c>
      <c r="K323" s="31"/>
      <c r="L323" s="955">
        <f>SUM(N323:AC323)</f>
        <v>0</v>
      </c>
      <c r="N323" s="844">
        <f t="shared" ref="N323:AC323" si="219">-N230+IF($L$99="No",0,-N231)</f>
        <v>0</v>
      </c>
      <c r="O323" s="844">
        <f t="shared" si="219"/>
        <v>0</v>
      </c>
      <c r="P323" s="844">
        <f t="shared" si="219"/>
        <v>0</v>
      </c>
      <c r="Q323" s="844">
        <f t="shared" si="219"/>
        <v>0</v>
      </c>
      <c r="R323" s="844">
        <f t="shared" si="219"/>
        <v>0</v>
      </c>
      <c r="S323" s="844">
        <f t="shared" si="219"/>
        <v>0</v>
      </c>
      <c r="T323" s="844">
        <f t="shared" si="219"/>
        <v>0</v>
      </c>
      <c r="U323" s="844">
        <f t="shared" si="219"/>
        <v>0</v>
      </c>
      <c r="V323" s="844">
        <f t="shared" si="219"/>
        <v>0</v>
      </c>
      <c r="W323" s="844">
        <f t="shared" si="219"/>
        <v>0</v>
      </c>
      <c r="X323" s="844">
        <f t="shared" si="219"/>
        <v>0</v>
      </c>
      <c r="Y323" s="844">
        <f t="shared" si="219"/>
        <v>0</v>
      </c>
      <c r="Z323" s="844">
        <f t="shared" si="219"/>
        <v>0</v>
      </c>
      <c r="AA323" s="844">
        <f t="shared" si="219"/>
        <v>0</v>
      </c>
      <c r="AB323" s="844">
        <f t="shared" si="219"/>
        <v>0</v>
      </c>
      <c r="AC323" s="844">
        <f t="shared" si="219"/>
        <v>0</v>
      </c>
      <c r="AD323" s="1"/>
      <c r="AO323" s="391"/>
      <c r="AP323" s="391"/>
      <c r="AQ323" s="391"/>
      <c r="AR323" s="391"/>
      <c r="AS323" s="391"/>
      <c r="AT323" s="391"/>
      <c r="AU323" s="391"/>
      <c r="AV323" s="391"/>
      <c r="AW323" s="391"/>
      <c r="AX323" s="391"/>
      <c r="AY323" s="391"/>
      <c r="AZ323" s="391"/>
      <c r="BA323" s="391"/>
      <c r="BB323" s="391"/>
    </row>
    <row r="324" spans="9:54" ht="15.4" customHeight="1" outlineLevel="1" x14ac:dyDescent="0.3">
      <c r="I324" s="99"/>
      <c r="J324" s="385" t="s">
        <v>257</v>
      </c>
      <c r="K324" s="31"/>
      <c r="L324" s="955">
        <f>SUM(N324:AC324)</f>
        <v>0</v>
      </c>
      <c r="N324" s="844">
        <f>N322+N323</f>
        <v>0</v>
      </c>
      <c r="O324" s="844">
        <f t="shared" ref="O324:AC324" si="220">O322+O323</f>
        <v>0</v>
      </c>
      <c r="P324" s="844">
        <f t="shared" si="220"/>
        <v>0</v>
      </c>
      <c r="Q324" s="844">
        <f t="shared" si="220"/>
        <v>0</v>
      </c>
      <c r="R324" s="844">
        <f t="shared" si="220"/>
        <v>0</v>
      </c>
      <c r="S324" s="844">
        <f t="shared" si="220"/>
        <v>0</v>
      </c>
      <c r="T324" s="844">
        <f t="shared" si="220"/>
        <v>0</v>
      </c>
      <c r="U324" s="844">
        <f t="shared" si="220"/>
        <v>0</v>
      </c>
      <c r="V324" s="844">
        <f t="shared" si="220"/>
        <v>0</v>
      </c>
      <c r="W324" s="844">
        <f t="shared" si="220"/>
        <v>0</v>
      </c>
      <c r="X324" s="844">
        <f t="shared" si="220"/>
        <v>0</v>
      </c>
      <c r="Y324" s="844">
        <f t="shared" si="220"/>
        <v>0</v>
      </c>
      <c r="Z324" s="844">
        <f t="shared" si="220"/>
        <v>0</v>
      </c>
      <c r="AA324" s="844">
        <f t="shared" si="220"/>
        <v>0</v>
      </c>
      <c r="AB324" s="844">
        <f t="shared" si="220"/>
        <v>0</v>
      </c>
      <c r="AC324" s="844">
        <f t="shared" si="220"/>
        <v>0</v>
      </c>
      <c r="AD324" s="1"/>
      <c r="AO324" s="391"/>
      <c r="AP324" s="391"/>
      <c r="AQ324" s="391"/>
      <c r="AR324" s="391"/>
      <c r="AS324" s="391"/>
      <c r="AT324" s="391"/>
      <c r="AU324" s="391"/>
      <c r="AV324" s="391"/>
      <c r="AW324" s="391"/>
      <c r="AX324" s="391"/>
      <c r="AY324" s="391"/>
      <c r="AZ324" s="391"/>
      <c r="BA324" s="391"/>
      <c r="BB324" s="391"/>
    </row>
    <row r="325" spans="9:54" ht="15.4" customHeight="1" outlineLevel="1" x14ac:dyDescent="0.3">
      <c r="I325" s="99"/>
      <c r="J325" s="385" t="s">
        <v>258</v>
      </c>
      <c r="K325" s="31"/>
      <c r="L325" s="956"/>
      <c r="N325" s="844">
        <f>SUM($N324:N324)</f>
        <v>0</v>
      </c>
      <c r="O325" s="844">
        <f>SUM($N324:O324)</f>
        <v>0</v>
      </c>
      <c r="P325" s="844">
        <f>SUM($N324:P324)</f>
        <v>0</v>
      </c>
      <c r="Q325" s="844">
        <f>SUM($N324:Q324)</f>
        <v>0</v>
      </c>
      <c r="R325" s="844">
        <f>SUM($N324:R324)</f>
        <v>0</v>
      </c>
      <c r="S325" s="844">
        <f>SUM($N324:S324)</f>
        <v>0</v>
      </c>
      <c r="T325" s="844">
        <f>SUM($N324:T324)</f>
        <v>0</v>
      </c>
      <c r="U325" s="844">
        <f>SUM($N324:U324)</f>
        <v>0</v>
      </c>
      <c r="V325" s="844">
        <f>SUM($N324:V324)</f>
        <v>0</v>
      </c>
      <c r="W325" s="844">
        <f>SUM($N324:W324)</f>
        <v>0</v>
      </c>
      <c r="X325" s="844">
        <f>SUM($N324:X324)</f>
        <v>0</v>
      </c>
      <c r="Y325" s="844">
        <f>SUM($N324:Y324)</f>
        <v>0</v>
      </c>
      <c r="Z325" s="844">
        <f>SUM($N324:Z324)</f>
        <v>0</v>
      </c>
      <c r="AA325" s="844">
        <f>SUM($N324:AA324)</f>
        <v>0</v>
      </c>
      <c r="AB325" s="844">
        <f>SUM($N324:AB324)</f>
        <v>0</v>
      </c>
      <c r="AC325" s="844">
        <f>SUM($N324:AC324)</f>
        <v>0</v>
      </c>
      <c r="AD325" s="1"/>
      <c r="AO325" s="391"/>
      <c r="AP325" s="391"/>
      <c r="AQ325" s="391"/>
      <c r="AR325" s="391"/>
      <c r="AS325" s="391"/>
      <c r="AT325" s="391"/>
      <c r="AU325" s="391"/>
      <c r="AV325" s="391"/>
      <c r="AW325" s="391"/>
      <c r="AX325" s="391"/>
      <c r="AY325" s="391"/>
      <c r="AZ325" s="391"/>
      <c r="BA325" s="391"/>
      <c r="BB325" s="391"/>
    </row>
    <row r="326" spans="9:54" ht="15.4" customHeight="1" outlineLevel="1" x14ac:dyDescent="0.3">
      <c r="I326" s="99"/>
      <c r="J326" s="385" t="s">
        <v>259</v>
      </c>
      <c r="K326" s="31"/>
      <c r="L326" s="957">
        <f>SUM(N326:AC326)</f>
        <v>0</v>
      </c>
      <c r="N326" s="394">
        <f>IFERROR(IF(N325&lt;-L16*0.05%,$P$348,-N323/N322),)</f>
        <v>0</v>
      </c>
      <c r="O326" s="395">
        <f>IFERROR(IF(O325&lt;-$L$16*0.05%,1,IF(N325&gt;0,0,(O324-O325)/O324)),)</f>
        <v>0</v>
      </c>
      <c r="P326" s="395">
        <f>IFERROR(IF(P325&lt;-$L$16*0.05%,1,IF(O325&gt;0,0,(P324-P325)/P324)),)</f>
        <v>0</v>
      </c>
      <c r="Q326" s="395">
        <f t="shared" ref="Q326:AC326" si="221">IFERROR(IF(Q325&lt;-$L$16*0.05%,1,IF(P325&gt;0,0,(Q324-Q325)/Q324)),)</f>
        <v>0</v>
      </c>
      <c r="R326" s="395">
        <f t="shared" si="221"/>
        <v>0</v>
      </c>
      <c r="S326" s="395">
        <f t="shared" si="221"/>
        <v>0</v>
      </c>
      <c r="T326" s="395">
        <f t="shared" si="221"/>
        <v>0</v>
      </c>
      <c r="U326" s="395">
        <f t="shared" si="221"/>
        <v>0</v>
      </c>
      <c r="V326" s="395">
        <f t="shared" si="221"/>
        <v>0</v>
      </c>
      <c r="W326" s="395">
        <f t="shared" si="221"/>
        <v>0</v>
      </c>
      <c r="X326" s="395">
        <f t="shared" si="221"/>
        <v>0</v>
      </c>
      <c r="Y326" s="395">
        <f t="shared" si="221"/>
        <v>0</v>
      </c>
      <c r="Z326" s="395">
        <f t="shared" si="221"/>
        <v>0</v>
      </c>
      <c r="AA326" s="395">
        <f t="shared" si="221"/>
        <v>0</v>
      </c>
      <c r="AB326" s="395">
        <f t="shared" si="221"/>
        <v>0</v>
      </c>
      <c r="AC326" s="395">
        <f t="shared" si="221"/>
        <v>0</v>
      </c>
      <c r="AD326" s="1"/>
      <c r="AO326" s="391"/>
      <c r="AP326" s="391"/>
      <c r="AQ326" s="391"/>
      <c r="AR326" s="391"/>
      <c r="AS326" s="391"/>
      <c r="AT326" s="391"/>
      <c r="AU326" s="391"/>
      <c r="AV326" s="391"/>
      <c r="AW326" s="391"/>
      <c r="AX326" s="391"/>
      <c r="AY326" s="391"/>
      <c r="AZ326" s="391"/>
      <c r="BA326" s="391"/>
      <c r="BB326" s="391"/>
    </row>
    <row r="327" spans="9:54" ht="15.4" customHeight="1" outlineLevel="1" x14ac:dyDescent="0.3">
      <c r="I327" s="99"/>
      <c r="J327" s="385" t="s">
        <v>260</v>
      </c>
      <c r="K327" s="31"/>
      <c r="L327" s="955">
        <f>SUM(N327:AC327)</f>
        <v>0</v>
      </c>
      <c r="N327" s="844">
        <f t="shared" ref="N327:AC327" si="222">N324*N321</f>
        <v>0</v>
      </c>
      <c r="O327" s="844">
        <f t="shared" si="222"/>
        <v>0</v>
      </c>
      <c r="P327" s="844">
        <f t="shared" si="222"/>
        <v>0</v>
      </c>
      <c r="Q327" s="844">
        <f t="shared" si="222"/>
        <v>0</v>
      </c>
      <c r="R327" s="844">
        <f t="shared" si="222"/>
        <v>0</v>
      </c>
      <c r="S327" s="844">
        <f t="shared" si="222"/>
        <v>0</v>
      </c>
      <c r="T327" s="844">
        <f t="shared" si="222"/>
        <v>0</v>
      </c>
      <c r="U327" s="844">
        <f t="shared" si="222"/>
        <v>0</v>
      </c>
      <c r="V327" s="844">
        <f t="shared" si="222"/>
        <v>0</v>
      </c>
      <c r="W327" s="844">
        <f t="shared" si="222"/>
        <v>0</v>
      </c>
      <c r="X327" s="844">
        <f t="shared" si="222"/>
        <v>0</v>
      </c>
      <c r="Y327" s="844">
        <f t="shared" si="222"/>
        <v>0</v>
      </c>
      <c r="Z327" s="844">
        <f t="shared" si="222"/>
        <v>0</v>
      </c>
      <c r="AA327" s="844">
        <f t="shared" si="222"/>
        <v>0</v>
      </c>
      <c r="AB327" s="844">
        <f t="shared" si="222"/>
        <v>0</v>
      </c>
      <c r="AC327" s="844">
        <f t="shared" si="222"/>
        <v>0</v>
      </c>
      <c r="AD327" s="1"/>
      <c r="AO327" s="391"/>
      <c r="AP327" s="391"/>
      <c r="AQ327" s="391"/>
      <c r="AR327" s="391"/>
      <c r="AS327" s="391"/>
      <c r="AT327" s="391"/>
      <c r="AU327" s="391"/>
      <c r="AV327" s="391"/>
      <c r="AW327" s="391"/>
      <c r="AX327" s="391"/>
      <c r="AY327" s="391"/>
      <c r="AZ327" s="391"/>
      <c r="BA327" s="391"/>
      <c r="BB327" s="391"/>
    </row>
    <row r="328" spans="9:54" ht="13.5" customHeight="1" outlineLevel="1" x14ac:dyDescent="0.3">
      <c r="I328" s="99"/>
      <c r="J328" s="385" t="s">
        <v>261</v>
      </c>
      <c r="K328" s="31"/>
      <c r="L328" s="956"/>
      <c r="N328" s="844">
        <f>SUM($N327:N327)</f>
        <v>0</v>
      </c>
      <c r="O328" s="844">
        <f>SUM($N327:O327)</f>
        <v>0</v>
      </c>
      <c r="P328" s="844">
        <f>SUM($N327:P327)</f>
        <v>0</v>
      </c>
      <c r="Q328" s="844">
        <f>SUM($N327:Q327)</f>
        <v>0</v>
      </c>
      <c r="R328" s="844">
        <f>SUM($N327:R327)</f>
        <v>0</v>
      </c>
      <c r="S328" s="844">
        <f>SUM($N327:S327)</f>
        <v>0</v>
      </c>
      <c r="T328" s="844">
        <f>SUM($N327:T327)</f>
        <v>0</v>
      </c>
      <c r="U328" s="844">
        <f>SUM($N327:U327)</f>
        <v>0</v>
      </c>
      <c r="V328" s="844">
        <f>SUM($N327:V327)</f>
        <v>0</v>
      </c>
      <c r="W328" s="844">
        <f>SUM($N327:W327)</f>
        <v>0</v>
      </c>
      <c r="X328" s="844">
        <f>SUM($N327:X327)</f>
        <v>0</v>
      </c>
      <c r="Y328" s="844">
        <f>SUM($N327:Y327)</f>
        <v>0</v>
      </c>
      <c r="Z328" s="844">
        <f>SUM($N327:Z327)</f>
        <v>0</v>
      </c>
      <c r="AA328" s="844">
        <f>SUM($N327:AA327)</f>
        <v>0</v>
      </c>
      <c r="AB328" s="844">
        <f>SUM($N327:AB327)</f>
        <v>0</v>
      </c>
      <c r="AC328" s="844">
        <f>SUM($N327:AC327)</f>
        <v>0</v>
      </c>
      <c r="AD328" s="1"/>
      <c r="AO328" s="391"/>
      <c r="AP328" s="391"/>
      <c r="AQ328" s="391"/>
      <c r="AR328" s="391"/>
      <c r="AS328" s="391"/>
      <c r="AT328" s="391"/>
      <c r="AU328" s="391"/>
      <c r="AV328" s="391"/>
      <c r="AW328" s="391"/>
      <c r="AX328" s="391"/>
      <c r="AY328" s="391"/>
      <c r="AZ328" s="391"/>
      <c r="BA328" s="391"/>
      <c r="BB328" s="391"/>
    </row>
    <row r="329" spans="9:54" ht="15.4" customHeight="1" outlineLevel="1" x14ac:dyDescent="0.3">
      <c r="I329" s="99"/>
      <c r="J329" s="385" t="s">
        <v>262</v>
      </c>
      <c r="K329" s="31"/>
      <c r="L329" s="957">
        <f>SUM(N329:AC329)</f>
        <v>0</v>
      </c>
      <c r="N329" s="394">
        <f>IFERROR(IF(N325&lt;-L16*0.05%,$P$348,-N323/N322),)</f>
        <v>0</v>
      </c>
      <c r="O329" s="395">
        <f t="shared" ref="O329:AC329" si="223">IFERROR(IF(O328=N328,0,IF(O328&lt;0,1,IF(N328&gt;0,0,(O327-O328)/O327))),)</f>
        <v>0</v>
      </c>
      <c r="P329" s="395">
        <f t="shared" si="223"/>
        <v>0</v>
      </c>
      <c r="Q329" s="395">
        <f t="shared" si="223"/>
        <v>0</v>
      </c>
      <c r="R329" s="395">
        <f t="shared" si="223"/>
        <v>0</v>
      </c>
      <c r="S329" s="395">
        <f t="shared" si="223"/>
        <v>0</v>
      </c>
      <c r="T329" s="395">
        <f t="shared" si="223"/>
        <v>0</v>
      </c>
      <c r="U329" s="395">
        <f t="shared" si="223"/>
        <v>0</v>
      </c>
      <c r="V329" s="395">
        <f t="shared" si="223"/>
        <v>0</v>
      </c>
      <c r="W329" s="395">
        <f t="shared" si="223"/>
        <v>0</v>
      </c>
      <c r="X329" s="395">
        <f t="shared" si="223"/>
        <v>0</v>
      </c>
      <c r="Y329" s="395">
        <f t="shared" si="223"/>
        <v>0</v>
      </c>
      <c r="Z329" s="395">
        <f t="shared" si="223"/>
        <v>0</v>
      </c>
      <c r="AA329" s="395">
        <f t="shared" si="223"/>
        <v>0</v>
      </c>
      <c r="AB329" s="395">
        <f t="shared" si="223"/>
        <v>0</v>
      </c>
      <c r="AC329" s="395">
        <f t="shared" si="223"/>
        <v>0</v>
      </c>
      <c r="AD329" s="1"/>
      <c r="AO329" s="391"/>
      <c r="AP329" s="391"/>
      <c r="AQ329" s="391"/>
      <c r="AR329" s="391"/>
      <c r="AS329" s="391"/>
      <c r="AT329" s="391"/>
      <c r="AU329" s="391"/>
      <c r="AV329" s="391"/>
      <c r="AW329" s="391"/>
      <c r="AX329" s="391"/>
      <c r="AY329" s="391"/>
      <c r="AZ329" s="391"/>
      <c r="BA329" s="391"/>
      <c r="BB329" s="391"/>
    </row>
    <row r="330" spans="9:54" ht="15.4" customHeight="1" outlineLevel="1" x14ac:dyDescent="0.3">
      <c r="I330" s="99"/>
      <c r="J330" s="385" t="s">
        <v>263</v>
      </c>
      <c r="K330" s="31"/>
      <c r="L330" s="958">
        <f>L324-L327</f>
        <v>0</v>
      </c>
      <c r="N330" s="959">
        <f t="shared" ref="N330:AC330" si="224">N324-N327</f>
        <v>0</v>
      </c>
      <c r="O330" s="959">
        <f t="shared" si="224"/>
        <v>0</v>
      </c>
      <c r="P330" s="959">
        <f t="shared" si="224"/>
        <v>0</v>
      </c>
      <c r="Q330" s="959">
        <f t="shared" si="224"/>
        <v>0</v>
      </c>
      <c r="R330" s="959">
        <f t="shared" si="224"/>
        <v>0</v>
      </c>
      <c r="S330" s="959">
        <f t="shared" si="224"/>
        <v>0</v>
      </c>
      <c r="T330" s="959">
        <f t="shared" si="224"/>
        <v>0</v>
      </c>
      <c r="U330" s="959">
        <f t="shared" si="224"/>
        <v>0</v>
      </c>
      <c r="V330" s="959">
        <f t="shared" si="224"/>
        <v>0</v>
      </c>
      <c r="W330" s="959">
        <f t="shared" si="224"/>
        <v>0</v>
      </c>
      <c r="X330" s="959">
        <f t="shared" si="224"/>
        <v>0</v>
      </c>
      <c r="Y330" s="959">
        <f t="shared" si="224"/>
        <v>0</v>
      </c>
      <c r="Z330" s="959">
        <f t="shared" si="224"/>
        <v>0</v>
      </c>
      <c r="AA330" s="959">
        <f t="shared" si="224"/>
        <v>0</v>
      </c>
      <c r="AB330" s="959">
        <f t="shared" si="224"/>
        <v>0</v>
      </c>
      <c r="AC330" s="959">
        <f t="shared" si="224"/>
        <v>0</v>
      </c>
      <c r="AD330" s="1"/>
      <c r="AO330" s="391"/>
      <c r="AP330" s="391"/>
      <c r="AQ330" s="391"/>
      <c r="AR330" s="391"/>
      <c r="AS330" s="391"/>
      <c r="AT330" s="391"/>
      <c r="AU330" s="391"/>
      <c r="AV330" s="391"/>
      <c r="AW330" s="391"/>
      <c r="AX330" s="391"/>
      <c r="AY330" s="391"/>
      <c r="AZ330" s="391"/>
      <c r="BA330" s="391"/>
      <c r="BB330" s="391"/>
    </row>
    <row r="331" spans="9:54" outlineLevel="1" x14ac:dyDescent="0.3">
      <c r="I331" s="99"/>
      <c r="J331" s="385"/>
      <c r="K331" s="31"/>
      <c r="L331" s="398"/>
      <c r="N331" s="399"/>
      <c r="O331" s="399"/>
      <c r="P331" s="399"/>
      <c r="Q331" s="399"/>
      <c r="R331" s="399"/>
      <c r="S331" s="399"/>
      <c r="T331" s="399"/>
      <c r="U331" s="399"/>
      <c r="V331" s="399"/>
      <c r="W331" s="399"/>
      <c r="X331" s="399"/>
      <c r="Y331" s="399"/>
      <c r="Z331" s="399"/>
      <c r="AA331" s="399"/>
      <c r="AB331" s="399"/>
      <c r="AC331" s="399"/>
      <c r="AD331" s="399"/>
      <c r="AO331" s="391"/>
      <c r="AP331" s="391"/>
      <c r="AQ331" s="391"/>
      <c r="AR331" s="391"/>
      <c r="AS331" s="391"/>
      <c r="AT331" s="391"/>
      <c r="AU331" s="391"/>
      <c r="AV331" s="391"/>
      <c r="AW331" s="391"/>
      <c r="AX331" s="391"/>
      <c r="AY331" s="391"/>
      <c r="AZ331" s="391"/>
      <c r="BA331" s="391"/>
      <c r="BB331" s="391"/>
    </row>
    <row r="332" spans="9:54" outlineLevel="1" x14ac:dyDescent="0.3">
      <c r="I332" s="99"/>
      <c r="J332" s="385"/>
      <c r="K332" s="31"/>
      <c r="L332" s="169"/>
      <c r="O332" s="400" t="s">
        <v>371</v>
      </c>
      <c r="P332" s="31"/>
      <c r="Q332" s="31"/>
      <c r="R332" s="31"/>
      <c r="S332" s="31"/>
      <c r="T332" s="31"/>
      <c r="U332" s="31"/>
      <c r="V332" s="31"/>
      <c r="W332" s="31"/>
      <c r="X332" s="31"/>
      <c r="Y332" s="31"/>
      <c r="Z332" s="31"/>
      <c r="AA332" s="31"/>
      <c r="AB332" s="31"/>
      <c r="AC332" s="31"/>
      <c r="AD332" s="1"/>
      <c r="AO332" s="391"/>
      <c r="AP332" s="391"/>
      <c r="AQ332" s="391"/>
      <c r="AR332" s="391"/>
      <c r="AS332" s="391"/>
      <c r="AT332" s="391"/>
      <c r="AU332" s="391"/>
      <c r="AV332" s="391"/>
      <c r="AW332" s="391"/>
      <c r="AX332" s="391"/>
      <c r="AY332" s="391"/>
      <c r="AZ332" s="391"/>
      <c r="BA332" s="391"/>
      <c r="BB332" s="391"/>
    </row>
    <row r="333" spans="9:54" outlineLevel="1" x14ac:dyDescent="0.3">
      <c r="I333" s="99"/>
      <c r="J333" s="401" t="s">
        <v>264</v>
      </c>
      <c r="K333" s="402"/>
      <c r="L333" s="960">
        <f>SUM(M327:AC327)</f>
        <v>0</v>
      </c>
      <c r="N333" s="31"/>
      <c r="O333" s="404" t="s">
        <v>265</v>
      </c>
      <c r="P333" s="405" t="s">
        <v>372</v>
      </c>
      <c r="Q333" s="406"/>
      <c r="R333" s="407"/>
      <c r="S333" s="407"/>
      <c r="T333" s="407"/>
      <c r="U333" s="408"/>
      <c r="V333" s="31"/>
      <c r="AD333" s="1"/>
      <c r="AO333" s="391"/>
      <c r="AP333" s="391"/>
      <c r="AQ333" s="391"/>
      <c r="AR333" s="391"/>
      <c r="AS333" s="391"/>
      <c r="AT333" s="391"/>
      <c r="AU333" s="391"/>
      <c r="AV333" s="391"/>
      <c r="AW333" s="391"/>
      <c r="AX333" s="391"/>
      <c r="AY333" s="391"/>
      <c r="AZ333" s="391"/>
      <c r="BA333" s="391"/>
      <c r="BB333" s="391"/>
    </row>
    <row r="334" spans="9:54" outlineLevel="1" x14ac:dyDescent="0.3">
      <c r="I334" s="99"/>
      <c r="J334" s="401" t="s">
        <v>267</v>
      </c>
      <c r="K334" s="402"/>
      <c r="L334" s="409">
        <f>IFERROR(IRR(N324:AC324,12%),0)</f>
        <v>0</v>
      </c>
      <c r="N334" s="31"/>
      <c r="O334" s="410">
        <v>1</v>
      </c>
      <c r="P334" s="467">
        <f>ROUND(10/12,1)</f>
        <v>0.8</v>
      </c>
      <c r="Q334" s="468" t="s">
        <v>268</v>
      </c>
      <c r="R334" s="411"/>
      <c r="S334" s="411"/>
      <c r="T334" s="411"/>
      <c r="U334" s="412"/>
      <c r="V334" s="31"/>
      <c r="AD334" s="1"/>
      <c r="AO334" s="391"/>
      <c r="AP334" s="391"/>
      <c r="AQ334" s="391"/>
      <c r="AR334" s="391"/>
      <c r="AS334" s="391"/>
      <c r="AT334" s="391"/>
      <c r="AU334" s="391"/>
      <c r="AV334" s="391"/>
      <c r="AW334" s="391"/>
      <c r="AX334" s="391"/>
      <c r="AY334" s="391"/>
      <c r="AZ334" s="391"/>
      <c r="BA334" s="391"/>
      <c r="BB334" s="391"/>
    </row>
    <row r="335" spans="9:54" outlineLevel="1" x14ac:dyDescent="0.3">
      <c r="I335" s="99"/>
      <c r="J335" s="401" t="s">
        <v>269</v>
      </c>
      <c r="K335" s="402"/>
      <c r="L335" s="961">
        <f>IF(AC325&lt;0,"No Full Recovery",SUM(N326:AC326))</f>
        <v>0</v>
      </c>
      <c r="N335" s="31"/>
      <c r="O335" s="469">
        <v>2</v>
      </c>
      <c r="P335" s="467">
        <f>ROUND(9/12,1)</f>
        <v>0.8</v>
      </c>
      <c r="Q335" s="468" t="s">
        <v>268</v>
      </c>
      <c r="R335" s="411"/>
      <c r="S335" s="411"/>
      <c r="T335" s="411"/>
      <c r="U335" s="412"/>
      <c r="V335" s="31"/>
      <c r="AD335" s="1"/>
      <c r="AO335" s="391"/>
      <c r="AP335" s="391"/>
      <c r="AQ335" s="391"/>
      <c r="AR335" s="391"/>
      <c r="AS335" s="391"/>
      <c r="AT335" s="391"/>
      <c r="AU335" s="391"/>
      <c r="AV335" s="391"/>
      <c r="AW335" s="391"/>
      <c r="AX335" s="391"/>
      <c r="AY335" s="391"/>
      <c r="AZ335" s="391"/>
      <c r="BA335" s="391"/>
      <c r="BB335" s="391"/>
    </row>
    <row r="336" spans="9:54" ht="15.75" outlineLevel="1" x14ac:dyDescent="0.25">
      <c r="I336" s="99"/>
      <c r="J336" s="31"/>
      <c r="K336" s="31"/>
      <c r="L336" s="31"/>
      <c r="M336" s="31"/>
      <c r="N336" s="31"/>
      <c r="O336" s="410">
        <v>3</v>
      </c>
      <c r="P336" s="467">
        <f>ROUND(8/12,1)</f>
        <v>0.7</v>
      </c>
      <c r="Q336" s="468" t="s">
        <v>268</v>
      </c>
      <c r="R336" s="411"/>
      <c r="S336" s="411"/>
      <c r="T336" s="411"/>
      <c r="U336" s="412"/>
      <c r="V336" s="31"/>
      <c r="AD336" s="1"/>
      <c r="AO336" s="391"/>
      <c r="AP336" s="391"/>
      <c r="AQ336" s="391"/>
      <c r="AR336" s="391"/>
      <c r="AS336" s="391"/>
      <c r="AT336" s="391"/>
      <c r="AU336" s="391"/>
      <c r="AV336" s="391"/>
      <c r="AW336" s="391"/>
      <c r="AX336" s="391"/>
      <c r="AY336" s="391"/>
      <c r="AZ336" s="391"/>
      <c r="BA336" s="391"/>
      <c r="BB336" s="391"/>
    </row>
    <row r="337" spans="9:54" ht="15.75" outlineLevel="1" x14ac:dyDescent="0.25">
      <c r="I337" s="99"/>
      <c r="J337" s="31"/>
      <c r="K337" s="31"/>
      <c r="L337" s="31"/>
      <c r="M337" s="31"/>
      <c r="N337" s="31"/>
      <c r="O337" s="410">
        <v>4</v>
      </c>
      <c r="P337" s="467">
        <f>ROUND(7/12,1)</f>
        <v>0.6</v>
      </c>
      <c r="Q337" s="468" t="s">
        <v>270</v>
      </c>
      <c r="R337" s="414"/>
      <c r="S337" s="411"/>
      <c r="T337" s="411"/>
      <c r="U337" s="412"/>
      <c r="V337" s="31"/>
      <c r="AD337" s="1"/>
      <c r="AO337" s="391"/>
      <c r="AP337" s="391"/>
      <c r="AQ337" s="391"/>
      <c r="AR337" s="391"/>
      <c r="AS337" s="391"/>
      <c r="AT337" s="391"/>
      <c r="AU337" s="391"/>
      <c r="AV337" s="391"/>
      <c r="AW337" s="391"/>
      <c r="AX337" s="391"/>
      <c r="AY337" s="391"/>
      <c r="AZ337" s="391"/>
      <c r="BA337" s="391"/>
      <c r="BB337" s="391"/>
    </row>
    <row r="338" spans="9:54" ht="15.75" outlineLevel="1" x14ac:dyDescent="0.25">
      <c r="I338" s="99"/>
      <c r="J338" s="31"/>
      <c r="K338" s="31"/>
      <c r="L338" s="31"/>
      <c r="M338" s="31"/>
      <c r="N338" s="31"/>
      <c r="O338" s="469">
        <v>5</v>
      </c>
      <c r="P338" s="467">
        <f>ROUND(7/12,1)</f>
        <v>0.6</v>
      </c>
      <c r="Q338" s="468" t="s">
        <v>270</v>
      </c>
      <c r="R338" s="414"/>
      <c r="S338" s="411"/>
      <c r="T338" s="411"/>
      <c r="U338" s="412"/>
      <c r="V338" s="31"/>
      <c r="AD338" s="1"/>
      <c r="AO338" s="391"/>
      <c r="AP338" s="391"/>
      <c r="AQ338" s="391"/>
      <c r="AR338" s="391"/>
      <c r="AS338" s="391"/>
      <c r="AT338" s="391"/>
      <c r="AU338" s="391"/>
      <c r="AV338" s="391"/>
      <c r="AW338" s="391"/>
      <c r="AX338" s="391"/>
      <c r="AY338" s="391"/>
      <c r="AZ338" s="391"/>
      <c r="BA338" s="391"/>
      <c r="BB338" s="391"/>
    </row>
    <row r="339" spans="9:54" ht="15.75" outlineLevel="1" x14ac:dyDescent="0.25">
      <c r="I339" s="99"/>
      <c r="J339" s="31"/>
      <c r="K339" s="31"/>
      <c r="L339" s="31"/>
      <c r="M339" s="31"/>
      <c r="N339" s="31"/>
      <c r="O339" s="410">
        <v>6</v>
      </c>
      <c r="P339" s="467">
        <f>ROUND(6/12,1)</f>
        <v>0.5</v>
      </c>
      <c r="Q339" s="468" t="s">
        <v>270</v>
      </c>
      <c r="R339" s="414"/>
      <c r="S339" s="411"/>
      <c r="T339" s="411"/>
      <c r="U339" s="412"/>
      <c r="V339" s="31"/>
      <c r="AD339" s="1"/>
      <c r="AO339" s="391"/>
      <c r="AP339" s="391"/>
      <c r="AQ339" s="391"/>
      <c r="AR339" s="391"/>
      <c r="AS339" s="391"/>
      <c r="AT339" s="391"/>
      <c r="AU339" s="391"/>
      <c r="AV339" s="391"/>
      <c r="AW339" s="391"/>
      <c r="AX339" s="391"/>
      <c r="AY339" s="391"/>
      <c r="AZ339" s="391"/>
      <c r="BA339" s="391"/>
      <c r="BB339" s="391"/>
    </row>
    <row r="340" spans="9:54" ht="15.75" outlineLevel="1" x14ac:dyDescent="0.25">
      <c r="I340" s="99"/>
      <c r="J340" s="31"/>
      <c r="K340" s="1"/>
      <c r="L340" s="31"/>
      <c r="M340" s="31"/>
      <c r="N340" s="31"/>
      <c r="O340" s="410">
        <v>7</v>
      </c>
      <c r="P340" s="467">
        <f>ROUND(6/12,1)</f>
        <v>0.5</v>
      </c>
      <c r="Q340" s="468" t="s">
        <v>270</v>
      </c>
      <c r="R340" s="414"/>
      <c r="S340" s="411"/>
      <c r="T340" s="411"/>
      <c r="U340" s="412"/>
      <c r="V340" s="31"/>
      <c r="AD340" s="1"/>
      <c r="AO340" s="391"/>
      <c r="AP340" s="391"/>
      <c r="AQ340" s="391"/>
      <c r="AR340" s="391"/>
      <c r="AS340" s="391"/>
      <c r="AT340" s="391"/>
      <c r="AU340" s="391"/>
      <c r="AV340" s="391"/>
      <c r="AW340" s="391"/>
      <c r="AX340" s="391"/>
      <c r="AY340" s="391"/>
      <c r="AZ340" s="391"/>
      <c r="BA340" s="391"/>
      <c r="BB340" s="391"/>
    </row>
    <row r="341" spans="9:54" ht="15.75" outlineLevel="1" x14ac:dyDescent="0.25">
      <c r="I341" s="99"/>
      <c r="K341" s="1"/>
      <c r="N341" s="31"/>
      <c r="O341" s="469">
        <v>8</v>
      </c>
      <c r="P341" s="467">
        <f>ROUND(5/12,1)</f>
        <v>0.4</v>
      </c>
      <c r="Q341" s="468" t="s">
        <v>270</v>
      </c>
      <c r="R341" s="414"/>
      <c r="S341" s="411"/>
      <c r="T341" s="411"/>
      <c r="U341" s="412"/>
      <c r="V341" s="31"/>
      <c r="AD341" s="1"/>
      <c r="AO341" s="391"/>
      <c r="AP341" s="391"/>
      <c r="AQ341" s="391"/>
      <c r="AR341" s="391"/>
      <c r="AS341" s="391"/>
      <c r="AT341" s="391"/>
      <c r="AU341" s="391"/>
      <c r="AV341" s="391"/>
      <c r="AW341" s="391"/>
      <c r="AX341" s="391"/>
      <c r="AY341" s="391"/>
      <c r="AZ341" s="391"/>
      <c r="BA341" s="391"/>
      <c r="BB341" s="391"/>
    </row>
    <row r="342" spans="9:54" ht="15.75" outlineLevel="1" x14ac:dyDescent="0.25">
      <c r="I342" s="99"/>
      <c r="K342" s="1"/>
      <c r="N342" s="31"/>
      <c r="O342" s="410">
        <v>9</v>
      </c>
      <c r="P342" s="467">
        <f>ROUND(4/12,1)</f>
        <v>0.3</v>
      </c>
      <c r="Q342" s="468" t="s">
        <v>270</v>
      </c>
      <c r="R342" s="414"/>
      <c r="S342" s="411"/>
      <c r="T342" s="411"/>
      <c r="U342" s="412"/>
      <c r="V342" s="31"/>
      <c r="AD342" s="1"/>
      <c r="AO342" s="391"/>
      <c r="AP342" s="391"/>
      <c r="AQ342" s="391"/>
      <c r="AR342" s="391"/>
      <c r="AS342" s="391"/>
      <c r="AT342" s="391"/>
      <c r="AU342" s="391"/>
      <c r="AV342" s="391"/>
      <c r="AW342" s="391"/>
      <c r="AX342" s="391"/>
      <c r="AY342" s="391"/>
      <c r="AZ342" s="391"/>
      <c r="BA342" s="391"/>
      <c r="BB342" s="391"/>
    </row>
    <row r="343" spans="9:54" ht="15.75" outlineLevel="1" x14ac:dyDescent="0.25">
      <c r="I343" s="99"/>
      <c r="K343" s="1"/>
      <c r="N343" s="31"/>
      <c r="O343" s="410">
        <v>10</v>
      </c>
      <c r="P343" s="467">
        <f>ROUND(3/12,1)</f>
        <v>0.3</v>
      </c>
      <c r="Q343" s="468" t="s">
        <v>271</v>
      </c>
      <c r="R343" s="414"/>
      <c r="S343" s="411"/>
      <c r="T343" s="411"/>
      <c r="U343" s="412"/>
      <c r="V343" s="31"/>
      <c r="AD343" s="1"/>
      <c r="AO343" s="391"/>
      <c r="AP343" s="391"/>
      <c r="AQ343" s="391"/>
      <c r="AR343" s="391"/>
      <c r="AS343" s="391"/>
      <c r="AT343" s="391"/>
      <c r="AU343" s="391"/>
      <c r="AV343" s="391"/>
      <c r="AW343" s="391"/>
      <c r="AX343" s="391"/>
      <c r="AY343" s="391"/>
      <c r="AZ343" s="391"/>
      <c r="BA343" s="391"/>
      <c r="BB343" s="391"/>
    </row>
    <row r="344" spans="9:54" ht="15.75" outlineLevel="1" x14ac:dyDescent="0.25">
      <c r="I344" s="99"/>
      <c r="K344" s="1"/>
      <c r="N344" s="31"/>
      <c r="O344" s="469">
        <v>11</v>
      </c>
      <c r="P344" s="467">
        <f>ROUND(2/12,1)</f>
        <v>0.2</v>
      </c>
      <c r="Q344" s="468" t="s">
        <v>271</v>
      </c>
      <c r="R344" s="414"/>
      <c r="S344" s="411"/>
      <c r="T344" s="411"/>
      <c r="U344" s="412"/>
      <c r="V344" s="31"/>
      <c r="AD344" s="1"/>
      <c r="AO344" s="391"/>
      <c r="AP344" s="391"/>
      <c r="AQ344" s="391"/>
      <c r="AR344" s="391"/>
      <c r="AS344" s="391"/>
      <c r="AT344" s="391"/>
      <c r="AU344" s="391"/>
      <c r="AV344" s="391"/>
      <c r="AW344" s="391"/>
      <c r="AX344" s="391"/>
      <c r="AY344" s="391"/>
      <c r="AZ344" s="391"/>
      <c r="BA344" s="391"/>
      <c r="BB344" s="391"/>
    </row>
    <row r="345" spans="9:54" ht="15.75" outlineLevel="1" x14ac:dyDescent="0.25">
      <c r="I345" s="99"/>
      <c r="K345" s="1"/>
      <c r="N345" s="31"/>
      <c r="O345" s="415">
        <v>12</v>
      </c>
      <c r="P345" s="467">
        <f>ROUND(1/12,1)</f>
        <v>0.1</v>
      </c>
      <c r="Q345" s="470" t="s">
        <v>271</v>
      </c>
      <c r="R345" s="416"/>
      <c r="S345" s="417"/>
      <c r="T345" s="417"/>
      <c r="U345" s="418"/>
      <c r="V345" s="31"/>
      <c r="AD345" s="1"/>
      <c r="AO345" s="391"/>
      <c r="AP345" s="391"/>
      <c r="AQ345" s="391"/>
      <c r="AR345" s="391"/>
      <c r="AS345" s="391"/>
      <c r="AT345" s="391"/>
      <c r="AU345" s="391"/>
      <c r="AV345" s="391"/>
      <c r="AW345" s="391"/>
      <c r="AX345" s="391"/>
      <c r="AY345" s="391"/>
      <c r="AZ345" s="391"/>
      <c r="BA345" s="391"/>
      <c r="BB345" s="391"/>
    </row>
    <row r="346" spans="9:54" ht="15.75" outlineLevel="1" x14ac:dyDescent="0.25">
      <c r="I346" s="99"/>
      <c r="K346" s="1"/>
      <c r="N346" s="31"/>
      <c r="O346" s="419"/>
      <c r="P346" s="406"/>
      <c r="Q346" s="406"/>
      <c r="R346" s="406"/>
      <c r="S346" s="407"/>
      <c r="T346" s="407"/>
      <c r="U346" s="408"/>
      <c r="V346" s="31"/>
      <c r="AD346" s="1"/>
      <c r="AO346" s="391"/>
      <c r="AP346" s="391"/>
      <c r="AQ346" s="391"/>
      <c r="AR346" s="391"/>
      <c r="AS346" s="391"/>
      <c r="AT346" s="391"/>
      <c r="AU346" s="391"/>
      <c r="AV346" s="391"/>
      <c r="AW346" s="391"/>
      <c r="AX346" s="391"/>
      <c r="AY346" s="391"/>
      <c r="AZ346" s="391"/>
      <c r="BA346" s="391"/>
      <c r="BB346" s="391"/>
    </row>
    <row r="347" spans="9:54" outlineLevel="1" x14ac:dyDescent="0.3">
      <c r="I347" s="99"/>
      <c r="K347" s="1"/>
      <c r="O347" s="420" t="s">
        <v>272</v>
      </c>
      <c r="P347" s="421">
        <f>$L$12</f>
        <v>6</v>
      </c>
      <c r="Q347" s="468" t="str">
        <f>"This is the month project will SOP in the SOP year. SOP on "&amp;L12&amp;"-"&amp;L11</f>
        <v>This is the month project will SOP in the SOP year. SOP on 6-2025</v>
      </c>
      <c r="R347" s="414"/>
      <c r="S347" s="411"/>
      <c r="T347" s="411"/>
      <c r="U347" s="412"/>
      <c r="V347" s="31"/>
      <c r="AD347" s="1"/>
      <c r="AO347" s="391"/>
      <c r="AP347" s="391"/>
      <c r="AQ347" s="391"/>
      <c r="AR347" s="391"/>
      <c r="AS347" s="391"/>
      <c r="AT347" s="391"/>
      <c r="AU347" s="391"/>
      <c r="AV347" s="391"/>
      <c r="AW347" s="391"/>
      <c r="AX347" s="391"/>
      <c r="AY347" s="391"/>
      <c r="AZ347" s="391"/>
      <c r="BA347" s="391"/>
      <c r="BB347" s="391"/>
    </row>
    <row r="348" spans="9:54" outlineLevel="1" x14ac:dyDescent="0.3">
      <c r="I348" s="99"/>
      <c r="K348" s="1"/>
      <c r="N348" s="170"/>
      <c r="O348" s="530" t="s">
        <v>373</v>
      </c>
      <c r="P348" s="471">
        <f>VLOOKUP($P$347,$O$334:$P$345,2,FALSE)</f>
        <v>0.5</v>
      </c>
      <c r="Q348" s="416" t="str">
        <f>VLOOKUP(P348,P334:Q345,2,FALSE)</f>
        <v>3-9 mths revenue in yr1, therefore assume around mid-year</v>
      </c>
      <c r="R348" s="416"/>
      <c r="S348" s="417"/>
      <c r="T348" s="417"/>
      <c r="U348" s="418"/>
      <c r="V348" s="31"/>
      <c r="AD348" s="1"/>
      <c r="AO348" s="391"/>
      <c r="AP348" s="391"/>
      <c r="AQ348" s="391"/>
      <c r="AR348" s="391"/>
      <c r="AS348" s="391"/>
      <c r="AT348" s="391"/>
      <c r="AU348" s="391"/>
      <c r="AV348" s="391"/>
      <c r="AW348" s="391"/>
      <c r="AX348" s="391"/>
      <c r="AY348" s="391"/>
      <c r="AZ348" s="391"/>
      <c r="BA348" s="391"/>
      <c r="BB348" s="391"/>
    </row>
    <row r="349" spans="9:54" ht="15.75" outlineLevel="1" x14ac:dyDescent="0.25">
      <c r="I349" s="99"/>
      <c r="K349" s="1"/>
      <c r="N349" s="31"/>
      <c r="O349" s="31"/>
      <c r="Q349" s="31"/>
      <c r="R349" s="31"/>
      <c r="S349" s="31"/>
      <c r="T349" s="31"/>
      <c r="U349" s="31"/>
      <c r="V349" s="31"/>
      <c r="AD349" s="1"/>
      <c r="AE349" s="1"/>
      <c r="AU349" s="391"/>
      <c r="AV349" s="391"/>
      <c r="AW349" s="391"/>
      <c r="AX349" s="391"/>
      <c r="AY349" s="391"/>
      <c r="AZ349" s="391"/>
      <c r="BA349" s="391"/>
      <c r="BB349" s="391"/>
    </row>
    <row r="350" spans="9:54" ht="18" x14ac:dyDescent="0.2">
      <c r="I350" s="104">
        <v>8</v>
      </c>
      <c r="J350" s="105" t="s">
        <v>439</v>
      </c>
      <c r="K350" s="105"/>
      <c r="L350" s="105"/>
      <c r="M350" s="106"/>
      <c r="N350" s="107"/>
      <c r="O350" s="107"/>
      <c r="P350" s="107"/>
      <c r="Q350" s="107"/>
      <c r="R350" s="107"/>
      <c r="S350" s="107"/>
      <c r="T350" s="107"/>
      <c r="U350" s="107"/>
      <c r="V350" s="107"/>
      <c r="W350" s="107"/>
      <c r="X350" s="107"/>
      <c r="Y350" s="107"/>
      <c r="Z350" s="107"/>
      <c r="AA350" s="107"/>
      <c r="AB350" s="107"/>
      <c r="AC350" s="107"/>
      <c r="AD350" s="1"/>
      <c r="AO350" s="391"/>
      <c r="AP350" s="391"/>
      <c r="AQ350" s="391"/>
      <c r="AR350" s="391"/>
      <c r="AS350" s="391"/>
      <c r="AT350" s="391"/>
    </row>
    <row r="351" spans="9:54" ht="15.75" x14ac:dyDescent="0.25">
      <c r="I351" s="31"/>
      <c r="J351" s="31"/>
      <c r="K351" s="31"/>
      <c r="L351" s="31"/>
      <c r="M351" s="31"/>
      <c r="N351" s="31"/>
      <c r="O351" s="31"/>
      <c r="P351" s="31"/>
      <c r="Q351" s="31"/>
      <c r="R351" s="31"/>
      <c r="S351" s="31"/>
      <c r="T351" s="31"/>
      <c r="U351" s="31"/>
      <c r="V351" s="31"/>
      <c r="AD351" s="1"/>
      <c r="AO351" s="391"/>
      <c r="AP351" s="391"/>
      <c r="AQ351" s="391"/>
      <c r="AR351" s="391"/>
      <c r="AS351" s="391"/>
      <c r="AT351" s="391"/>
      <c r="AU351" s="391"/>
      <c r="AV351" s="391"/>
      <c r="AW351" s="391"/>
      <c r="AX351" s="391"/>
      <c r="AY351" s="391"/>
      <c r="AZ351" s="391"/>
      <c r="BA351" s="391"/>
      <c r="BB351" s="391"/>
    </row>
    <row r="352" spans="9:54" x14ac:dyDescent="0.3">
      <c r="I352" s="1"/>
      <c r="O352" s="697" t="str">
        <f>J11</f>
        <v>Currency:</v>
      </c>
      <c r="P352" s="698" t="s">
        <v>11</v>
      </c>
      <c r="Q352" s="699"/>
      <c r="R352" s="700" t="s">
        <v>273</v>
      </c>
      <c r="S352" s="701" t="str">
        <f>COUNTIF(N16:AC16,"&gt;100")&amp;" yrs"</f>
        <v>0 yrs</v>
      </c>
      <c r="U352" s="697" t="str">
        <f>N363</f>
        <v>USD</v>
      </c>
      <c r="V352" s="698" t="s">
        <v>11</v>
      </c>
      <c r="W352" s="699"/>
      <c r="X352" s="700" t="s">
        <v>273</v>
      </c>
      <c r="Y352" s="701" t="str">
        <f>COUNTIF(N16:AC16,"&gt;100")&amp;" yrs"</f>
        <v>0 yrs</v>
      </c>
    </row>
    <row r="353" spans="8:31" x14ac:dyDescent="0.3">
      <c r="I353" s="1"/>
      <c r="O353" s="702" t="s">
        <v>445</v>
      </c>
      <c r="P353" s="703">
        <f>L16</f>
        <v>0</v>
      </c>
      <c r="Q353" s="110"/>
      <c r="R353" s="704" t="s">
        <v>381</v>
      </c>
      <c r="S353" s="705" t="str">
        <f>ROUND($L$94,1)&amp;" yrs"</f>
        <v>8 yrs</v>
      </c>
      <c r="U353" s="702" t="s">
        <v>445</v>
      </c>
      <c r="V353" s="706">
        <f>L372</f>
        <v>0</v>
      </c>
      <c r="W353" s="110"/>
      <c r="X353" s="704" t="s">
        <v>381</v>
      </c>
      <c r="Y353" s="705" t="str">
        <f>ROUND(L94,1)&amp;" yrs"</f>
        <v>8 yrs</v>
      </c>
    </row>
    <row r="354" spans="8:31" x14ac:dyDescent="0.3">
      <c r="I354" s="1"/>
      <c r="O354" s="702" t="s">
        <v>274</v>
      </c>
      <c r="P354" s="703">
        <f>MAX(N16:AC16)</f>
        <v>0</v>
      </c>
      <c r="Q354" s="110"/>
      <c r="R354" s="704" t="s">
        <v>275</v>
      </c>
      <c r="S354" s="705" t="str">
        <f>L12&amp;"-"&amp;L11</f>
        <v>6-2025</v>
      </c>
      <c r="U354" s="702" t="s">
        <v>274</v>
      </c>
      <c r="V354" s="706">
        <f>MAX(N372:AC372)</f>
        <v>0</v>
      </c>
      <c r="W354" s="110"/>
      <c r="X354" s="704" t="s">
        <v>275</v>
      </c>
      <c r="Y354" s="705" t="str">
        <f>L12&amp;"-"&amp;L11</f>
        <v>6-2025</v>
      </c>
    </row>
    <row r="355" spans="8:31" x14ac:dyDescent="0.3">
      <c r="I355" s="1"/>
      <c r="O355" s="702" t="s">
        <v>446</v>
      </c>
      <c r="P355" s="703">
        <f>L20</f>
        <v>0</v>
      </c>
      <c r="Q355" s="110"/>
      <c r="R355" s="704" t="s">
        <v>447</v>
      </c>
      <c r="S355" s="707">
        <f>L17</f>
        <v>0</v>
      </c>
      <c r="U355" s="702" t="s">
        <v>446</v>
      </c>
      <c r="V355" s="706">
        <f>L376</f>
        <v>0</v>
      </c>
      <c r="W355" s="110"/>
      <c r="X355" s="704" t="s">
        <v>447</v>
      </c>
      <c r="Y355" s="707">
        <f>L17</f>
        <v>0</v>
      </c>
    </row>
    <row r="356" spans="8:31" x14ac:dyDescent="0.3">
      <c r="I356" s="1"/>
      <c r="O356" s="702" t="s">
        <v>382</v>
      </c>
      <c r="P356" s="703">
        <f>L24</f>
        <v>0</v>
      </c>
      <c r="Q356" s="110"/>
      <c r="R356" s="704" t="s">
        <v>448</v>
      </c>
      <c r="S356" s="708">
        <f>L19</f>
        <v>0</v>
      </c>
      <c r="U356" s="702" t="s">
        <v>382</v>
      </c>
      <c r="V356" s="706">
        <f>L380</f>
        <v>0</v>
      </c>
      <c r="W356" s="110"/>
      <c r="X356" s="704" t="s">
        <v>448</v>
      </c>
      <c r="Y356" s="708">
        <f>L19</f>
        <v>0</v>
      </c>
    </row>
    <row r="357" spans="8:31" x14ac:dyDescent="0.3">
      <c r="I357" s="1"/>
      <c r="O357" s="709" t="s">
        <v>383</v>
      </c>
      <c r="P357" s="703">
        <f>L25</f>
        <v>0</v>
      </c>
      <c r="Q357" s="110"/>
      <c r="R357" s="704" t="s">
        <v>449</v>
      </c>
      <c r="S357" s="710">
        <f>L21</f>
        <v>0</v>
      </c>
      <c r="U357" s="709" t="s">
        <v>383</v>
      </c>
      <c r="V357" s="706">
        <f>L381</f>
        <v>0</v>
      </c>
      <c r="W357" s="110"/>
      <c r="X357" s="704" t="s">
        <v>449</v>
      </c>
      <c r="Y357" s="710">
        <f>L21</f>
        <v>0</v>
      </c>
    </row>
    <row r="358" spans="8:31" x14ac:dyDescent="0.3">
      <c r="I358" s="1"/>
      <c r="O358" s="709" t="s">
        <v>276</v>
      </c>
      <c r="P358" s="703">
        <f>L27</f>
        <v>0</v>
      </c>
      <c r="Q358" s="110"/>
      <c r="R358" s="704" t="s">
        <v>450</v>
      </c>
      <c r="S358" s="707">
        <f>K166</f>
        <v>0</v>
      </c>
      <c r="U358" s="709" t="s">
        <v>276</v>
      </c>
      <c r="V358" s="706">
        <f>L383</f>
        <v>0</v>
      </c>
      <c r="W358" s="110"/>
      <c r="X358" s="704" t="s">
        <v>450</v>
      </c>
      <c r="Y358" s="707">
        <f>K166</f>
        <v>0</v>
      </c>
    </row>
    <row r="359" spans="8:31" x14ac:dyDescent="0.3">
      <c r="I359" s="1"/>
      <c r="O359" s="711" t="s">
        <v>278</v>
      </c>
      <c r="P359" s="712">
        <f>L38</f>
        <v>0</v>
      </c>
      <c r="Q359" s="713"/>
      <c r="R359" s="714" t="s">
        <v>277</v>
      </c>
      <c r="S359" s="715">
        <f>L326</f>
        <v>0</v>
      </c>
      <c r="U359" s="711" t="s">
        <v>278</v>
      </c>
      <c r="V359" s="716">
        <f>L394</f>
        <v>0</v>
      </c>
      <c r="W359" s="713"/>
      <c r="X359" s="714" t="s">
        <v>277</v>
      </c>
      <c r="Y359" s="715">
        <f>L326</f>
        <v>0</v>
      </c>
    </row>
    <row r="360" spans="8:31" ht="17.25" thickBot="1" x14ac:dyDescent="0.35">
      <c r="H360" s="423"/>
      <c r="I360" s="424"/>
      <c r="J360" s="423"/>
      <c r="K360" s="425"/>
      <c r="L360" s="423"/>
      <c r="M360" s="423"/>
      <c r="N360" s="423"/>
      <c r="O360" s="423"/>
      <c r="P360" s="423"/>
      <c r="Q360" s="423"/>
      <c r="R360" s="423"/>
      <c r="S360" s="423"/>
      <c r="T360" s="423"/>
      <c r="U360" s="423"/>
      <c r="V360" s="423"/>
      <c r="W360" s="423"/>
      <c r="X360" s="423"/>
      <c r="Y360" s="423"/>
      <c r="Z360" s="423"/>
      <c r="AA360" s="423"/>
      <c r="AB360" s="423"/>
      <c r="AC360" s="423"/>
      <c r="AE360" s="1"/>
    </row>
    <row r="361" spans="8:31" ht="15" thickTop="1" x14ac:dyDescent="0.2">
      <c r="I361" s="1"/>
      <c r="K361" s="581"/>
      <c r="L361" s="581"/>
      <c r="M361" s="581"/>
      <c r="N361" s="581"/>
      <c r="AD361" s="1"/>
      <c r="AE361" s="1"/>
    </row>
    <row r="362" spans="8:31" ht="18" x14ac:dyDescent="0.2">
      <c r="I362" s="582">
        <v>9</v>
      </c>
      <c r="J362" s="583" t="s">
        <v>417</v>
      </c>
      <c r="K362" s="583"/>
      <c r="L362" s="584"/>
      <c r="M362" s="584"/>
      <c r="N362" s="585"/>
      <c r="O362" s="585"/>
      <c r="P362" s="585"/>
      <c r="Q362" s="585"/>
      <c r="R362" s="585"/>
      <c r="S362" s="585"/>
      <c r="T362" s="585"/>
      <c r="U362" s="585"/>
      <c r="V362" s="585"/>
      <c r="W362" s="585"/>
      <c r="X362" s="585"/>
      <c r="Y362" s="585"/>
      <c r="Z362" s="585"/>
      <c r="AA362" s="585"/>
      <c r="AB362" s="585"/>
      <c r="AC362" s="585"/>
      <c r="AD362" s="1"/>
      <c r="AE362" s="1"/>
    </row>
    <row r="363" spans="8:31" ht="15.4" customHeight="1" x14ac:dyDescent="0.25">
      <c r="I363" s="1191" t="s">
        <v>418</v>
      </c>
      <c r="J363" s="1191"/>
      <c r="K363" s="1184" t="s">
        <v>419</v>
      </c>
      <c r="L363" s="1184"/>
      <c r="N363" s="719" t="s">
        <v>420</v>
      </c>
      <c r="AD363" s="1"/>
      <c r="AE363" s="1"/>
    </row>
    <row r="364" spans="8:31" ht="15.75" x14ac:dyDescent="0.25">
      <c r="I364" s="1191"/>
      <c r="J364" s="1191"/>
      <c r="K364" s="1184" t="s">
        <v>421</v>
      </c>
      <c r="L364" s="1184"/>
      <c r="N364" s="719" t="str">
        <f>L8</f>
        <v>Currency:</v>
      </c>
      <c r="AD364" s="1"/>
      <c r="AE364" s="1"/>
    </row>
    <row r="365" spans="8:31" ht="15.4" customHeight="1" x14ac:dyDescent="0.2">
      <c r="I365" s="586"/>
      <c r="J365" s="587"/>
      <c r="K365" s="1184" t="str">
        <f>"Exch.Rate "&amp;N363&amp;"1.0 = "&amp;N364&amp;":?"</f>
        <v>Exch.Rate USD1.0 = Currency::?</v>
      </c>
      <c r="L365" s="1184"/>
      <c r="N365" s="588">
        <v>1</v>
      </c>
      <c r="O365" s="589" t="s">
        <v>422</v>
      </c>
      <c r="AD365" s="1"/>
      <c r="AE365" s="1"/>
    </row>
    <row r="366" spans="8:31" ht="6" customHeight="1" x14ac:dyDescent="0.2">
      <c r="I366" s="1"/>
      <c r="K366" s="1"/>
      <c r="AD366" s="1"/>
      <c r="AE366" s="1"/>
    </row>
    <row r="367" spans="8:31" ht="16.5" customHeight="1" x14ac:dyDescent="0.25">
      <c r="I367" s="590"/>
      <c r="J367" s="1185" t="s">
        <v>420</v>
      </c>
      <c r="K367" s="22" t="s">
        <v>5</v>
      </c>
      <c r="L367" s="591">
        <f>L11</f>
        <v>2025</v>
      </c>
      <c r="N367" s="592">
        <f t="shared" ref="N367:AC368" si="225">N11</f>
        <v>2024</v>
      </c>
      <c r="O367" s="24">
        <f t="shared" si="225"/>
        <v>2025</v>
      </c>
      <c r="P367" s="24">
        <f t="shared" si="225"/>
        <v>2026</v>
      </c>
      <c r="Q367" s="24">
        <f t="shared" si="225"/>
        <v>2027</v>
      </c>
      <c r="R367" s="24">
        <f t="shared" si="225"/>
        <v>2028</v>
      </c>
      <c r="S367" s="24">
        <f t="shared" si="225"/>
        <v>2029</v>
      </c>
      <c r="T367" s="24">
        <f t="shared" si="225"/>
        <v>2030</v>
      </c>
      <c r="U367" s="24">
        <f t="shared" si="225"/>
        <v>2031</v>
      </c>
      <c r="V367" s="24">
        <f t="shared" si="225"/>
        <v>2032</v>
      </c>
      <c r="W367" s="24">
        <f t="shared" si="225"/>
        <v>2033</v>
      </c>
      <c r="X367" s="24">
        <f t="shared" si="225"/>
        <v>2034</v>
      </c>
      <c r="Y367" s="24">
        <f t="shared" si="225"/>
        <v>2035</v>
      </c>
      <c r="Z367" s="24">
        <f t="shared" si="225"/>
        <v>2036</v>
      </c>
      <c r="AA367" s="24">
        <f t="shared" si="225"/>
        <v>2037</v>
      </c>
      <c r="AB367" s="24">
        <f t="shared" si="225"/>
        <v>2038</v>
      </c>
      <c r="AC367" s="25">
        <f t="shared" si="225"/>
        <v>2039</v>
      </c>
      <c r="AD367" s="1"/>
      <c r="AE367" s="1"/>
    </row>
    <row r="368" spans="8:31" ht="21" customHeight="1" x14ac:dyDescent="0.3">
      <c r="I368" s="593"/>
      <c r="J368" s="1185"/>
      <c r="K368" s="27" t="s">
        <v>6</v>
      </c>
      <c r="L368" s="594">
        <f>L12</f>
        <v>6</v>
      </c>
      <c r="N368" s="595" t="str">
        <f t="shared" si="225"/>
        <v>Calendar Year</v>
      </c>
      <c r="O368" s="29" t="str">
        <f t="shared" si="225"/>
        <v>Calendar Year</v>
      </c>
      <c r="P368" s="29" t="str">
        <f t="shared" si="225"/>
        <v>Calendar Year</v>
      </c>
      <c r="Q368" s="29" t="str">
        <f t="shared" si="225"/>
        <v>Calendar Year</v>
      </c>
      <c r="R368" s="29" t="str">
        <f t="shared" si="225"/>
        <v>Calendar Year</v>
      </c>
      <c r="S368" s="29" t="str">
        <f t="shared" si="225"/>
        <v>Calendar Year</v>
      </c>
      <c r="T368" s="29" t="str">
        <f t="shared" si="225"/>
        <v>Calendar Year</v>
      </c>
      <c r="U368" s="29" t="str">
        <f t="shared" si="225"/>
        <v>Calendar Year</v>
      </c>
      <c r="V368" s="29" t="str">
        <f t="shared" si="225"/>
        <v>Calendar Year</v>
      </c>
      <c r="W368" s="29" t="str">
        <f t="shared" si="225"/>
        <v>Calendar Year</v>
      </c>
      <c r="X368" s="29" t="str">
        <f t="shared" si="225"/>
        <v>Calendar Year</v>
      </c>
      <c r="Y368" s="29" t="str">
        <f t="shared" si="225"/>
        <v>Calendar Year</v>
      </c>
      <c r="Z368" s="29" t="str">
        <f t="shared" si="225"/>
        <v>Calendar Year</v>
      </c>
      <c r="AA368" s="29" t="str">
        <f t="shared" si="225"/>
        <v>Calendar Year</v>
      </c>
      <c r="AB368" s="29" t="str">
        <f t="shared" si="225"/>
        <v>Calendar Year</v>
      </c>
      <c r="AC368" s="30" t="str">
        <f t="shared" si="225"/>
        <v>Calendar Year</v>
      </c>
      <c r="AD368" s="1"/>
      <c r="AE368" s="1"/>
    </row>
    <row r="369" spans="9:31" ht="17.25" thickBot="1" x14ac:dyDescent="0.35">
      <c r="AD369" s="1"/>
      <c r="AE369" s="1"/>
    </row>
    <row r="370" spans="9:31" ht="18" x14ac:dyDescent="0.2">
      <c r="I370" s="132">
        <v>1</v>
      </c>
      <c r="J370" s="33" t="s">
        <v>7</v>
      </c>
      <c r="K370" s="33"/>
      <c r="L370" s="34" t="s">
        <v>8</v>
      </c>
      <c r="N370" s="35"/>
      <c r="O370" s="36"/>
      <c r="P370" s="36"/>
      <c r="Q370" s="36"/>
      <c r="R370" s="36"/>
      <c r="S370" s="36"/>
      <c r="T370" s="36"/>
      <c r="U370" s="36"/>
      <c r="V370" s="36"/>
      <c r="W370" s="36"/>
      <c r="X370" s="36"/>
      <c r="Y370" s="36"/>
      <c r="Z370" s="36"/>
      <c r="AA370" s="36"/>
      <c r="AB370" s="36"/>
      <c r="AC370" s="37"/>
      <c r="AD370" s="1"/>
      <c r="AE370" s="1"/>
    </row>
    <row r="371" spans="9:31" ht="18" x14ac:dyDescent="0.4">
      <c r="I371" s="596" t="s">
        <v>9</v>
      </c>
      <c r="J371" s="597" t="s">
        <v>10</v>
      </c>
      <c r="K371" s="598"/>
      <c r="L371" s="599" t="s">
        <v>11</v>
      </c>
      <c r="N371" s="600"/>
      <c r="O371" s="601"/>
      <c r="P371" s="601"/>
      <c r="Q371" s="601"/>
      <c r="R371" s="601"/>
      <c r="S371" s="601"/>
      <c r="T371" s="601"/>
      <c r="U371" s="601"/>
      <c r="V371" s="601"/>
      <c r="W371" s="601"/>
      <c r="X371" s="601"/>
      <c r="Y371" s="601"/>
      <c r="Z371" s="601"/>
      <c r="AA371" s="601"/>
      <c r="AB371" s="601"/>
      <c r="AC371" s="602"/>
      <c r="AD371" s="1"/>
      <c r="AE371" s="1"/>
    </row>
    <row r="372" spans="9:31" ht="17.25" thickBot="1" x14ac:dyDescent="0.35">
      <c r="I372" s="596"/>
      <c r="J372" s="603" t="s">
        <v>12</v>
      </c>
      <c r="K372" s="45" t="str">
        <f>"Years of Rev: "&amp;COUNTIF(N372:AC372,"&gt;0")&amp;" yrs"</f>
        <v>Years of Rev: 0 yrs</v>
      </c>
      <c r="L372" s="604">
        <f>SUM(N372:AC372)</f>
        <v>0</v>
      </c>
      <c r="N372" s="605">
        <f t="shared" ref="N372:AC372" si="226">N16/$N$365</f>
        <v>0</v>
      </c>
      <c r="O372" s="606">
        <f t="shared" si="226"/>
        <v>0</v>
      </c>
      <c r="P372" s="606">
        <f t="shared" si="226"/>
        <v>0</v>
      </c>
      <c r="Q372" s="606">
        <f t="shared" si="226"/>
        <v>0</v>
      </c>
      <c r="R372" s="606">
        <f t="shared" si="226"/>
        <v>0</v>
      </c>
      <c r="S372" s="606">
        <f t="shared" si="226"/>
        <v>0</v>
      </c>
      <c r="T372" s="606">
        <f t="shared" si="226"/>
        <v>0</v>
      </c>
      <c r="U372" s="606">
        <f t="shared" si="226"/>
        <v>0</v>
      </c>
      <c r="V372" s="606">
        <f t="shared" si="226"/>
        <v>0</v>
      </c>
      <c r="W372" s="606">
        <f t="shared" si="226"/>
        <v>0</v>
      </c>
      <c r="X372" s="606">
        <f t="shared" si="226"/>
        <v>0</v>
      </c>
      <c r="Y372" s="606">
        <f t="shared" si="226"/>
        <v>0</v>
      </c>
      <c r="Z372" s="606">
        <f t="shared" si="226"/>
        <v>0</v>
      </c>
      <c r="AA372" s="606">
        <f t="shared" si="226"/>
        <v>0</v>
      </c>
      <c r="AB372" s="606">
        <f t="shared" si="226"/>
        <v>0</v>
      </c>
      <c r="AC372" s="607">
        <f t="shared" si="226"/>
        <v>0</v>
      </c>
      <c r="AD372" s="1"/>
      <c r="AE372" s="1"/>
    </row>
    <row r="373" spans="9:31" thickTop="1" x14ac:dyDescent="0.25">
      <c r="I373" s="608"/>
      <c r="J373" s="609" t="s">
        <v>13</v>
      </c>
      <c r="K373" s="608"/>
      <c r="L373" s="610">
        <f>L17</f>
        <v>0</v>
      </c>
      <c r="M373" s="50"/>
      <c r="N373" s="611">
        <f t="shared" ref="N373:AC373" si="227">N17</f>
        <v>0</v>
      </c>
      <c r="O373" s="612">
        <f t="shared" si="227"/>
        <v>0</v>
      </c>
      <c r="P373" s="612">
        <f t="shared" si="227"/>
        <v>0</v>
      </c>
      <c r="Q373" s="612">
        <f t="shared" si="227"/>
        <v>0</v>
      </c>
      <c r="R373" s="612">
        <f t="shared" si="227"/>
        <v>0</v>
      </c>
      <c r="S373" s="612">
        <f t="shared" si="227"/>
        <v>0</v>
      </c>
      <c r="T373" s="612">
        <f t="shared" si="227"/>
        <v>0</v>
      </c>
      <c r="U373" s="612">
        <f t="shared" si="227"/>
        <v>0</v>
      </c>
      <c r="V373" s="612">
        <f t="shared" si="227"/>
        <v>0</v>
      </c>
      <c r="W373" s="612">
        <f t="shared" si="227"/>
        <v>0</v>
      </c>
      <c r="X373" s="612">
        <f t="shared" si="227"/>
        <v>0</v>
      </c>
      <c r="Y373" s="612">
        <f t="shared" si="227"/>
        <v>0</v>
      </c>
      <c r="Z373" s="612">
        <f t="shared" si="227"/>
        <v>0</v>
      </c>
      <c r="AA373" s="612">
        <f t="shared" si="227"/>
        <v>0</v>
      </c>
      <c r="AB373" s="612">
        <f t="shared" si="227"/>
        <v>0</v>
      </c>
      <c r="AC373" s="613">
        <f t="shared" si="227"/>
        <v>0</v>
      </c>
      <c r="AD373" s="1"/>
      <c r="AE373" s="1"/>
    </row>
    <row r="374" spans="9:31" ht="15.75" x14ac:dyDescent="0.25">
      <c r="I374" s="596"/>
      <c r="J374" s="614" t="s">
        <v>14</v>
      </c>
      <c r="K374" s="596"/>
      <c r="L374" s="615">
        <f>SUM(N374:AC374)</f>
        <v>0</v>
      </c>
      <c r="N374" s="616">
        <f t="shared" ref="N374:AC374" si="228">N18/$N$365</f>
        <v>0</v>
      </c>
      <c r="O374" s="617">
        <f t="shared" si="228"/>
        <v>0</v>
      </c>
      <c r="P374" s="617">
        <f t="shared" si="228"/>
        <v>0</v>
      </c>
      <c r="Q374" s="617">
        <f t="shared" si="228"/>
        <v>0</v>
      </c>
      <c r="R374" s="617">
        <f t="shared" si="228"/>
        <v>0</v>
      </c>
      <c r="S374" s="617">
        <f t="shared" si="228"/>
        <v>0</v>
      </c>
      <c r="T374" s="617">
        <f t="shared" si="228"/>
        <v>0</v>
      </c>
      <c r="U374" s="617">
        <f t="shared" si="228"/>
        <v>0</v>
      </c>
      <c r="V374" s="617">
        <f t="shared" si="228"/>
        <v>0</v>
      </c>
      <c r="W374" s="617">
        <f t="shared" si="228"/>
        <v>0</v>
      </c>
      <c r="X374" s="617">
        <f t="shared" si="228"/>
        <v>0</v>
      </c>
      <c r="Y374" s="617">
        <f t="shared" si="228"/>
        <v>0</v>
      </c>
      <c r="Z374" s="617">
        <f t="shared" si="228"/>
        <v>0</v>
      </c>
      <c r="AA374" s="617">
        <f t="shared" si="228"/>
        <v>0</v>
      </c>
      <c r="AB374" s="617">
        <f t="shared" si="228"/>
        <v>0</v>
      </c>
      <c r="AC374" s="618">
        <f t="shared" si="228"/>
        <v>0</v>
      </c>
      <c r="AD374" s="1"/>
      <c r="AE374" s="1"/>
    </row>
    <row r="375" spans="9:31" ht="15.75" x14ac:dyDescent="0.25">
      <c r="I375" s="596"/>
      <c r="J375" s="614" t="s">
        <v>15</v>
      </c>
      <c r="K375" s="596"/>
      <c r="L375" s="619">
        <f>IFERROR(L374/L$372,0)</f>
        <v>0</v>
      </c>
      <c r="N375" s="620">
        <f>IFERROR(N374/N372,)</f>
        <v>0</v>
      </c>
      <c r="O375" s="621">
        <f t="shared" ref="O375:AC375" si="229">IFERROR(O374/O372,)</f>
        <v>0</v>
      </c>
      <c r="P375" s="621">
        <f t="shared" si="229"/>
        <v>0</v>
      </c>
      <c r="Q375" s="621">
        <f t="shared" si="229"/>
        <v>0</v>
      </c>
      <c r="R375" s="621">
        <f t="shared" si="229"/>
        <v>0</v>
      </c>
      <c r="S375" s="621">
        <f t="shared" si="229"/>
        <v>0</v>
      </c>
      <c r="T375" s="621">
        <f t="shared" si="229"/>
        <v>0</v>
      </c>
      <c r="U375" s="621">
        <f t="shared" si="229"/>
        <v>0</v>
      </c>
      <c r="V375" s="621">
        <f t="shared" si="229"/>
        <v>0</v>
      </c>
      <c r="W375" s="621">
        <f t="shared" si="229"/>
        <v>0</v>
      </c>
      <c r="X375" s="621">
        <f t="shared" si="229"/>
        <v>0</v>
      </c>
      <c r="Y375" s="621">
        <f t="shared" si="229"/>
        <v>0</v>
      </c>
      <c r="Z375" s="621">
        <f t="shared" si="229"/>
        <v>0</v>
      </c>
      <c r="AA375" s="621">
        <f t="shared" si="229"/>
        <v>0</v>
      </c>
      <c r="AB375" s="621">
        <f t="shared" si="229"/>
        <v>0</v>
      </c>
      <c r="AC375" s="622">
        <f t="shared" si="229"/>
        <v>0</v>
      </c>
      <c r="AD375" s="1"/>
      <c r="AE375" s="1"/>
    </row>
    <row r="376" spans="9:31" ht="15.75" x14ac:dyDescent="0.25">
      <c r="I376" s="596"/>
      <c r="J376" s="603" t="s">
        <v>16</v>
      </c>
      <c r="K376" s="596"/>
      <c r="L376" s="623">
        <f>SUM(N376:AC376)</f>
        <v>0</v>
      </c>
      <c r="N376" s="624">
        <f t="shared" ref="N376:AC376" si="230">N20/$N$365</f>
        <v>0</v>
      </c>
      <c r="O376" s="625">
        <f t="shared" si="230"/>
        <v>0</v>
      </c>
      <c r="P376" s="625">
        <f t="shared" si="230"/>
        <v>0</v>
      </c>
      <c r="Q376" s="625">
        <f t="shared" si="230"/>
        <v>0</v>
      </c>
      <c r="R376" s="625">
        <f t="shared" si="230"/>
        <v>0</v>
      </c>
      <c r="S376" s="625">
        <f t="shared" si="230"/>
        <v>0</v>
      </c>
      <c r="T376" s="625">
        <f t="shared" si="230"/>
        <v>0</v>
      </c>
      <c r="U376" s="625">
        <f t="shared" si="230"/>
        <v>0</v>
      </c>
      <c r="V376" s="625">
        <f t="shared" si="230"/>
        <v>0</v>
      </c>
      <c r="W376" s="625">
        <f t="shared" si="230"/>
        <v>0</v>
      </c>
      <c r="X376" s="625">
        <f t="shared" si="230"/>
        <v>0</v>
      </c>
      <c r="Y376" s="625">
        <f t="shared" si="230"/>
        <v>0</v>
      </c>
      <c r="Z376" s="625">
        <f t="shared" si="230"/>
        <v>0</v>
      </c>
      <c r="AA376" s="625">
        <f t="shared" si="230"/>
        <v>0</v>
      </c>
      <c r="AB376" s="625">
        <f t="shared" si="230"/>
        <v>0</v>
      </c>
      <c r="AC376" s="626">
        <f t="shared" si="230"/>
        <v>0</v>
      </c>
      <c r="AD376" s="1"/>
      <c r="AE376" s="1"/>
    </row>
    <row r="377" spans="9:31" ht="15.75" x14ac:dyDescent="0.25">
      <c r="I377" s="596"/>
      <c r="J377" s="566" t="s">
        <v>423</v>
      </c>
      <c r="K377" s="596"/>
      <c r="L377" s="627">
        <f>L21</f>
        <v>0</v>
      </c>
      <c r="N377" s="628">
        <f t="shared" ref="N377:AC377" si="231">N21</f>
        <v>0</v>
      </c>
      <c r="O377" s="629">
        <f t="shared" si="231"/>
        <v>0</v>
      </c>
      <c r="P377" s="629">
        <f t="shared" si="231"/>
        <v>0</v>
      </c>
      <c r="Q377" s="629">
        <f t="shared" si="231"/>
        <v>0</v>
      </c>
      <c r="R377" s="629">
        <f t="shared" si="231"/>
        <v>0</v>
      </c>
      <c r="S377" s="629">
        <f t="shared" si="231"/>
        <v>0</v>
      </c>
      <c r="T377" s="629">
        <f t="shared" si="231"/>
        <v>0</v>
      </c>
      <c r="U377" s="629">
        <f t="shared" si="231"/>
        <v>0</v>
      </c>
      <c r="V377" s="629">
        <f t="shared" si="231"/>
        <v>0</v>
      </c>
      <c r="W377" s="629">
        <f t="shared" si="231"/>
        <v>0</v>
      </c>
      <c r="X377" s="629">
        <f t="shared" si="231"/>
        <v>0</v>
      </c>
      <c r="Y377" s="629">
        <f t="shared" si="231"/>
        <v>0</v>
      </c>
      <c r="Z377" s="629">
        <f t="shared" si="231"/>
        <v>0</v>
      </c>
      <c r="AA377" s="629">
        <f t="shared" si="231"/>
        <v>0</v>
      </c>
      <c r="AB377" s="629">
        <f t="shared" si="231"/>
        <v>0</v>
      </c>
      <c r="AC377" s="630">
        <f t="shared" si="231"/>
        <v>0</v>
      </c>
      <c r="AD377" s="1"/>
      <c r="AE377" s="1"/>
    </row>
    <row r="378" spans="9:31" ht="15.75" x14ac:dyDescent="0.25">
      <c r="I378" s="631"/>
      <c r="J378" s="538" t="s">
        <v>424</v>
      </c>
      <c r="K378" s="631"/>
      <c r="L378" s="632">
        <f>L22</f>
        <v>0</v>
      </c>
      <c r="M378" s="633"/>
      <c r="N378" s="634">
        <f t="shared" ref="N378:AC378" si="232">N22</f>
        <v>0</v>
      </c>
      <c r="O378" s="635">
        <f t="shared" si="232"/>
        <v>0</v>
      </c>
      <c r="P378" s="635">
        <f t="shared" si="232"/>
        <v>0</v>
      </c>
      <c r="Q378" s="635">
        <f t="shared" si="232"/>
        <v>0</v>
      </c>
      <c r="R378" s="635">
        <f t="shared" si="232"/>
        <v>0</v>
      </c>
      <c r="S378" s="635">
        <f t="shared" si="232"/>
        <v>0</v>
      </c>
      <c r="T378" s="635">
        <f t="shared" si="232"/>
        <v>0</v>
      </c>
      <c r="U378" s="635">
        <f t="shared" si="232"/>
        <v>0</v>
      </c>
      <c r="V378" s="635">
        <f t="shared" si="232"/>
        <v>0</v>
      </c>
      <c r="W378" s="635">
        <f t="shared" si="232"/>
        <v>0</v>
      </c>
      <c r="X378" s="635">
        <f t="shared" si="232"/>
        <v>0</v>
      </c>
      <c r="Y378" s="635">
        <f t="shared" si="232"/>
        <v>0</v>
      </c>
      <c r="Z378" s="635">
        <f t="shared" si="232"/>
        <v>0</v>
      </c>
      <c r="AA378" s="635">
        <f t="shared" si="232"/>
        <v>0</v>
      </c>
      <c r="AB378" s="635">
        <f t="shared" si="232"/>
        <v>0</v>
      </c>
      <c r="AC378" s="636">
        <f t="shared" si="232"/>
        <v>0</v>
      </c>
      <c r="AD378" s="1"/>
      <c r="AE378" s="1"/>
    </row>
    <row r="379" spans="9:31" thickBot="1" x14ac:dyDescent="0.3">
      <c r="I379" s="596"/>
      <c r="J379" s="598" t="s">
        <v>17</v>
      </c>
      <c r="K379" s="596"/>
      <c r="L379" s="637">
        <f>SUM(N379:AC379)</f>
        <v>0</v>
      </c>
      <c r="N379" s="638">
        <f t="shared" ref="N379:AC383" si="233">N23/$N$365</f>
        <v>0</v>
      </c>
      <c r="O379" s="639">
        <f t="shared" si="233"/>
        <v>0</v>
      </c>
      <c r="P379" s="639">
        <f t="shared" si="233"/>
        <v>0</v>
      </c>
      <c r="Q379" s="639">
        <f t="shared" si="233"/>
        <v>0</v>
      </c>
      <c r="R379" s="639">
        <f t="shared" si="233"/>
        <v>0</v>
      </c>
      <c r="S379" s="639">
        <f t="shared" si="233"/>
        <v>0</v>
      </c>
      <c r="T379" s="639">
        <f t="shared" si="233"/>
        <v>0</v>
      </c>
      <c r="U379" s="639">
        <f t="shared" si="233"/>
        <v>0</v>
      </c>
      <c r="V379" s="639">
        <f t="shared" si="233"/>
        <v>0</v>
      </c>
      <c r="W379" s="639">
        <f t="shared" si="233"/>
        <v>0</v>
      </c>
      <c r="X379" s="639">
        <f t="shared" si="233"/>
        <v>0</v>
      </c>
      <c r="Y379" s="639">
        <f t="shared" si="233"/>
        <v>0</v>
      </c>
      <c r="Z379" s="639">
        <f t="shared" si="233"/>
        <v>0</v>
      </c>
      <c r="AA379" s="639">
        <f t="shared" si="233"/>
        <v>0</v>
      </c>
      <c r="AB379" s="639">
        <f t="shared" si="233"/>
        <v>0</v>
      </c>
      <c r="AC379" s="640">
        <f t="shared" si="233"/>
        <v>0</v>
      </c>
      <c r="AD379" s="1"/>
      <c r="AE379" s="1"/>
    </row>
    <row r="380" spans="9:31" x14ac:dyDescent="0.3">
      <c r="I380" s="596"/>
      <c r="J380" s="641" t="s">
        <v>374</v>
      </c>
      <c r="K380" s="45" t="str">
        <f>"Useful Life@"&amp;ROUND(L497,2)&amp;"yrs"</f>
        <v>Useful Life@0yrs</v>
      </c>
      <c r="L380" s="642">
        <f>SUM(N380:AC380)</f>
        <v>0</v>
      </c>
      <c r="N380" s="643">
        <f t="shared" si="233"/>
        <v>0</v>
      </c>
      <c r="O380" s="644">
        <f t="shared" si="233"/>
        <v>0</v>
      </c>
      <c r="P380" s="644">
        <f t="shared" si="233"/>
        <v>0</v>
      </c>
      <c r="Q380" s="644">
        <f t="shared" si="233"/>
        <v>0</v>
      </c>
      <c r="R380" s="644">
        <f t="shared" si="233"/>
        <v>0</v>
      </c>
      <c r="S380" s="644">
        <f t="shared" si="233"/>
        <v>0</v>
      </c>
      <c r="T380" s="644">
        <f t="shared" si="233"/>
        <v>0</v>
      </c>
      <c r="U380" s="644">
        <f t="shared" si="233"/>
        <v>0</v>
      </c>
      <c r="V380" s="644">
        <f t="shared" si="233"/>
        <v>0</v>
      </c>
      <c r="W380" s="644">
        <f t="shared" si="233"/>
        <v>0</v>
      </c>
      <c r="X380" s="644">
        <f t="shared" si="233"/>
        <v>0</v>
      </c>
      <c r="Y380" s="644">
        <f t="shared" si="233"/>
        <v>0</v>
      </c>
      <c r="Z380" s="644">
        <f t="shared" si="233"/>
        <v>0</v>
      </c>
      <c r="AA380" s="644">
        <f t="shared" si="233"/>
        <v>0</v>
      </c>
      <c r="AB380" s="644">
        <f t="shared" si="233"/>
        <v>0</v>
      </c>
      <c r="AC380" s="645">
        <f t="shared" si="233"/>
        <v>0</v>
      </c>
      <c r="AD380" s="1"/>
      <c r="AE380" s="1"/>
    </row>
    <row r="381" spans="9:31" thickBot="1" x14ac:dyDescent="0.3">
      <c r="I381" s="596"/>
      <c r="J381" s="641" t="s">
        <v>375</v>
      </c>
      <c r="K381" s="596"/>
      <c r="L381" s="646">
        <f>SUM(N381:AC381)</f>
        <v>0</v>
      </c>
      <c r="N381" s="647">
        <f t="shared" si="233"/>
        <v>0</v>
      </c>
      <c r="O381" s="648">
        <f t="shared" si="233"/>
        <v>0</v>
      </c>
      <c r="P381" s="648">
        <f t="shared" si="233"/>
        <v>0</v>
      </c>
      <c r="Q381" s="648">
        <f t="shared" si="233"/>
        <v>0</v>
      </c>
      <c r="R381" s="648">
        <f t="shared" si="233"/>
        <v>0</v>
      </c>
      <c r="S381" s="648">
        <f t="shared" si="233"/>
        <v>0</v>
      </c>
      <c r="T381" s="648">
        <f t="shared" si="233"/>
        <v>0</v>
      </c>
      <c r="U381" s="648">
        <f t="shared" si="233"/>
        <v>0</v>
      </c>
      <c r="V381" s="648">
        <f t="shared" si="233"/>
        <v>0</v>
      </c>
      <c r="W381" s="648">
        <f t="shared" si="233"/>
        <v>0</v>
      </c>
      <c r="X381" s="648">
        <f t="shared" si="233"/>
        <v>0</v>
      </c>
      <c r="Y381" s="648">
        <f t="shared" si="233"/>
        <v>0</v>
      </c>
      <c r="Z381" s="648">
        <f t="shared" si="233"/>
        <v>0</v>
      </c>
      <c r="AA381" s="648">
        <f t="shared" si="233"/>
        <v>0</v>
      </c>
      <c r="AB381" s="648">
        <f t="shared" si="233"/>
        <v>0</v>
      </c>
      <c r="AC381" s="649">
        <f t="shared" si="233"/>
        <v>0</v>
      </c>
      <c r="AD381" s="1"/>
      <c r="AE381" s="1"/>
    </row>
    <row r="382" spans="9:31" ht="15.75" x14ac:dyDescent="0.25">
      <c r="I382" s="596"/>
      <c r="J382" s="650" t="str">
        <f>IF(L478&gt;0,"Annual Funding Gap (including IC asset transfer)","Annual Funding Gap")</f>
        <v>Annual Funding Gap</v>
      </c>
      <c r="K382" s="596"/>
      <c r="L382" s="651">
        <f>SUM(N382:AC382)</f>
        <v>0</v>
      </c>
      <c r="N382" s="643">
        <f t="shared" si="233"/>
        <v>0</v>
      </c>
      <c r="O382" s="644">
        <f t="shared" si="233"/>
        <v>0</v>
      </c>
      <c r="P382" s="644">
        <f t="shared" si="233"/>
        <v>0</v>
      </c>
      <c r="Q382" s="644">
        <f t="shared" si="233"/>
        <v>0</v>
      </c>
      <c r="R382" s="644">
        <f t="shared" si="233"/>
        <v>0</v>
      </c>
      <c r="S382" s="644">
        <f t="shared" si="233"/>
        <v>0</v>
      </c>
      <c r="T382" s="644">
        <f t="shared" si="233"/>
        <v>0</v>
      </c>
      <c r="U382" s="644">
        <f t="shared" si="233"/>
        <v>0</v>
      </c>
      <c r="V382" s="644">
        <f t="shared" si="233"/>
        <v>0</v>
      </c>
      <c r="W382" s="644">
        <f t="shared" si="233"/>
        <v>0</v>
      </c>
      <c r="X382" s="644">
        <f t="shared" si="233"/>
        <v>0</v>
      </c>
      <c r="Y382" s="644">
        <f t="shared" si="233"/>
        <v>0</v>
      </c>
      <c r="Z382" s="644">
        <f t="shared" si="233"/>
        <v>0</v>
      </c>
      <c r="AA382" s="644">
        <f t="shared" si="233"/>
        <v>0</v>
      </c>
      <c r="AB382" s="644">
        <f t="shared" si="233"/>
        <v>0</v>
      </c>
      <c r="AC382" s="645">
        <f t="shared" si="233"/>
        <v>0</v>
      </c>
      <c r="AD382" s="1"/>
      <c r="AE382" s="1"/>
    </row>
    <row r="383" spans="9:31" thickBot="1" x14ac:dyDescent="0.3">
      <c r="I383" s="596"/>
      <c r="J383" s="650" t="str">
        <f>IF(L478&gt;0,"Peak Funding Gap (including IC asset transfer)","Peak Funding Gap")</f>
        <v>Peak Funding Gap</v>
      </c>
      <c r="K383" s="596"/>
      <c r="L383" s="652">
        <f>MIN(N383:AC383)</f>
        <v>0</v>
      </c>
      <c r="N383" s="647">
        <f t="shared" si="233"/>
        <v>0</v>
      </c>
      <c r="O383" s="648">
        <f t="shared" si="233"/>
        <v>0</v>
      </c>
      <c r="P383" s="648">
        <f t="shared" si="233"/>
        <v>0</v>
      </c>
      <c r="Q383" s="648">
        <f t="shared" si="233"/>
        <v>0</v>
      </c>
      <c r="R383" s="648">
        <f t="shared" si="233"/>
        <v>0</v>
      </c>
      <c r="S383" s="648">
        <f t="shared" si="233"/>
        <v>0</v>
      </c>
      <c r="T383" s="648">
        <f t="shared" si="233"/>
        <v>0</v>
      </c>
      <c r="U383" s="648">
        <f t="shared" si="233"/>
        <v>0</v>
      </c>
      <c r="V383" s="648">
        <f t="shared" si="233"/>
        <v>0</v>
      </c>
      <c r="W383" s="648">
        <f t="shared" si="233"/>
        <v>0</v>
      </c>
      <c r="X383" s="648">
        <f t="shared" si="233"/>
        <v>0</v>
      </c>
      <c r="Y383" s="648">
        <f t="shared" si="233"/>
        <v>0</v>
      </c>
      <c r="Z383" s="648">
        <f t="shared" si="233"/>
        <v>0</v>
      </c>
      <c r="AA383" s="648">
        <f t="shared" si="233"/>
        <v>0</v>
      </c>
      <c r="AB383" s="648">
        <f t="shared" si="233"/>
        <v>0</v>
      </c>
      <c r="AC383" s="649">
        <f t="shared" si="233"/>
        <v>0</v>
      </c>
      <c r="AD383" s="1"/>
      <c r="AE383" s="1"/>
    </row>
    <row r="384" spans="9:31" ht="14.25" outlineLevel="1" x14ac:dyDescent="0.2">
      <c r="I384" s="1"/>
      <c r="K384" s="1"/>
      <c r="AD384" s="1"/>
      <c r="AE384" s="1"/>
    </row>
    <row r="385" spans="9:31" ht="18" outlineLevel="1" x14ac:dyDescent="0.4">
      <c r="I385" s="1"/>
      <c r="J385" s="653" t="s">
        <v>18</v>
      </c>
      <c r="K385" s="1"/>
      <c r="AD385" s="1"/>
      <c r="AE385" s="1"/>
    </row>
    <row r="386" spans="9:31" outlineLevel="1" x14ac:dyDescent="0.3">
      <c r="I386" s="596"/>
      <c r="J386" s="654" t="s">
        <v>19</v>
      </c>
      <c r="K386" s="655" t="s">
        <v>20</v>
      </c>
      <c r="L386" s="656">
        <f>SUM(N386:AC386)</f>
        <v>0</v>
      </c>
      <c r="M386" s="76"/>
      <c r="N386" s="657">
        <f t="shared" ref="N386:AC387" si="234">N30/$N$365</f>
        <v>0</v>
      </c>
      <c r="O386" s="658">
        <f t="shared" si="234"/>
        <v>0</v>
      </c>
      <c r="P386" s="658">
        <f t="shared" si="234"/>
        <v>0</v>
      </c>
      <c r="Q386" s="658">
        <f t="shared" si="234"/>
        <v>0</v>
      </c>
      <c r="R386" s="658">
        <f t="shared" si="234"/>
        <v>0</v>
      </c>
      <c r="S386" s="658">
        <f t="shared" si="234"/>
        <v>0</v>
      </c>
      <c r="T386" s="658">
        <f t="shared" si="234"/>
        <v>0</v>
      </c>
      <c r="U386" s="658">
        <f t="shared" si="234"/>
        <v>0</v>
      </c>
      <c r="V386" s="658">
        <f t="shared" si="234"/>
        <v>0</v>
      </c>
      <c r="W386" s="658">
        <f t="shared" si="234"/>
        <v>0</v>
      </c>
      <c r="X386" s="658">
        <f t="shared" si="234"/>
        <v>0</v>
      </c>
      <c r="Y386" s="658">
        <f t="shared" si="234"/>
        <v>0</v>
      </c>
      <c r="Z386" s="658">
        <f t="shared" si="234"/>
        <v>0</v>
      </c>
      <c r="AA386" s="658">
        <f t="shared" si="234"/>
        <v>0</v>
      </c>
      <c r="AB386" s="658">
        <f t="shared" si="234"/>
        <v>0</v>
      </c>
      <c r="AC386" s="659">
        <f t="shared" si="234"/>
        <v>0</v>
      </c>
      <c r="AD386" s="1"/>
      <c r="AE386" s="1"/>
    </row>
    <row r="387" spans="9:31" outlineLevel="1" x14ac:dyDescent="0.3">
      <c r="I387" s="596"/>
      <c r="J387" s="660" t="s">
        <v>21</v>
      </c>
      <c r="K387" s="655" t="str">
        <f>IF(P510="Yes","Imputed in ROI","Not imputed in ROI")</f>
        <v>Not imputed in ROI</v>
      </c>
      <c r="L387" s="661">
        <f>SUM(N387:AC387)</f>
        <v>0</v>
      </c>
      <c r="M387" s="76"/>
      <c r="N387" s="662">
        <f t="shared" si="234"/>
        <v>0</v>
      </c>
      <c r="O387" s="663">
        <f t="shared" si="234"/>
        <v>0</v>
      </c>
      <c r="P387" s="663">
        <f t="shared" si="234"/>
        <v>0</v>
      </c>
      <c r="Q387" s="663">
        <f t="shared" si="234"/>
        <v>0</v>
      </c>
      <c r="R387" s="663">
        <f t="shared" si="234"/>
        <v>0</v>
      </c>
      <c r="S387" s="663">
        <f t="shared" si="234"/>
        <v>0</v>
      </c>
      <c r="T387" s="663">
        <f t="shared" si="234"/>
        <v>0</v>
      </c>
      <c r="U387" s="663">
        <f t="shared" si="234"/>
        <v>0</v>
      </c>
      <c r="V387" s="663">
        <f t="shared" si="234"/>
        <v>0</v>
      </c>
      <c r="W387" s="663">
        <f t="shared" si="234"/>
        <v>0</v>
      </c>
      <c r="X387" s="663">
        <f t="shared" si="234"/>
        <v>0</v>
      </c>
      <c r="Y387" s="663">
        <f t="shared" si="234"/>
        <v>0</v>
      </c>
      <c r="Z387" s="663">
        <f t="shared" si="234"/>
        <v>0</v>
      </c>
      <c r="AA387" s="663">
        <f t="shared" si="234"/>
        <v>0</v>
      </c>
      <c r="AB387" s="663">
        <f t="shared" si="234"/>
        <v>0</v>
      </c>
      <c r="AC387" s="664">
        <f t="shared" si="234"/>
        <v>0</v>
      </c>
      <c r="AD387" s="1"/>
      <c r="AE387" s="1"/>
    </row>
    <row r="388" spans="9:31" outlineLevel="1" thickBot="1" x14ac:dyDescent="0.3">
      <c r="I388" s="596"/>
      <c r="J388" s="641"/>
      <c r="K388" s="641"/>
      <c r="L388" s="641"/>
      <c r="N388" s="641"/>
      <c r="O388" s="641"/>
      <c r="P388" s="641"/>
      <c r="Q388" s="641"/>
      <c r="R388" s="641"/>
      <c r="S388" s="641"/>
      <c r="T388" s="641"/>
      <c r="U388" s="641"/>
      <c r="V388" s="641"/>
      <c r="W388" s="641"/>
      <c r="X388" s="641"/>
      <c r="Y388" s="641"/>
      <c r="Z388" s="641"/>
      <c r="AA388" s="641"/>
      <c r="AB388" s="641"/>
      <c r="AC388" s="641"/>
      <c r="AD388" s="1"/>
      <c r="AE388" s="1"/>
    </row>
    <row r="389" spans="9:31" ht="18" x14ac:dyDescent="0.4">
      <c r="I389" s="596" t="s">
        <v>22</v>
      </c>
      <c r="J389" s="597" t="s">
        <v>23</v>
      </c>
      <c r="K389" s="598"/>
      <c r="L389" s="665"/>
      <c r="N389" s="666"/>
      <c r="O389" s="667"/>
      <c r="P389" s="667"/>
      <c r="Q389" s="667"/>
      <c r="R389" s="667"/>
      <c r="S389" s="667"/>
      <c r="T389" s="667"/>
      <c r="U389" s="667"/>
      <c r="V389" s="667"/>
      <c r="W389" s="667"/>
      <c r="X389" s="667"/>
      <c r="Y389" s="667"/>
      <c r="Z389" s="667"/>
      <c r="AA389" s="667"/>
      <c r="AB389" s="667"/>
      <c r="AC389" s="668"/>
      <c r="AD389" s="1"/>
      <c r="AE389" s="1"/>
    </row>
    <row r="390" spans="9:31" ht="15.75" x14ac:dyDescent="0.25">
      <c r="I390" s="596"/>
      <c r="J390" s="598" t="s">
        <v>24</v>
      </c>
      <c r="K390" s="1186" t="str">
        <f>IFERROR(CONCATENATE("CPCF Multiple: ",ROUND(L390/L468,1),"x"),"MOIC Multiple")</f>
        <v>MOIC Multiple</v>
      </c>
      <c r="L390" s="669">
        <f>AC390</f>
        <v>0</v>
      </c>
      <c r="N390" s="616">
        <f t="shared" ref="N390:AC390" si="235">N34/$N$365</f>
        <v>0</v>
      </c>
      <c r="O390" s="617">
        <f t="shared" si="235"/>
        <v>0</v>
      </c>
      <c r="P390" s="617">
        <f t="shared" si="235"/>
        <v>0</v>
      </c>
      <c r="Q390" s="617">
        <f t="shared" si="235"/>
        <v>0</v>
      </c>
      <c r="R390" s="617">
        <f t="shared" si="235"/>
        <v>0</v>
      </c>
      <c r="S390" s="617">
        <f t="shared" si="235"/>
        <v>0</v>
      </c>
      <c r="T390" s="617">
        <f t="shared" si="235"/>
        <v>0</v>
      </c>
      <c r="U390" s="617">
        <f t="shared" si="235"/>
        <v>0</v>
      </c>
      <c r="V390" s="617">
        <f t="shared" si="235"/>
        <v>0</v>
      </c>
      <c r="W390" s="617">
        <f t="shared" si="235"/>
        <v>0</v>
      </c>
      <c r="X390" s="617">
        <f t="shared" si="235"/>
        <v>0</v>
      </c>
      <c r="Y390" s="617">
        <f t="shared" si="235"/>
        <v>0</v>
      </c>
      <c r="Z390" s="617">
        <f t="shared" si="235"/>
        <v>0</v>
      </c>
      <c r="AA390" s="617">
        <f t="shared" si="235"/>
        <v>0</v>
      </c>
      <c r="AB390" s="617">
        <f t="shared" si="235"/>
        <v>0</v>
      </c>
      <c r="AC390" s="618">
        <f t="shared" si="235"/>
        <v>0</v>
      </c>
      <c r="AD390" s="1"/>
      <c r="AE390" s="1"/>
    </row>
    <row r="391" spans="9:31" ht="16.5" customHeight="1" x14ac:dyDescent="0.25">
      <c r="I391" s="596"/>
      <c r="J391" s="598" t="s">
        <v>25</v>
      </c>
      <c r="K391" s="1186"/>
      <c r="L391" s="669" t="str">
        <f>L35</f>
        <v>0 yrs</v>
      </c>
      <c r="N391" s="670" t="str">
        <f t="shared" ref="N391:AC391" si="236">N35</f>
        <v>0 yrs</v>
      </c>
      <c r="O391" s="671" t="str">
        <f t="shared" si="236"/>
        <v>0 yrs</v>
      </c>
      <c r="P391" s="671" t="str">
        <f t="shared" si="236"/>
        <v>0 yrs</v>
      </c>
      <c r="Q391" s="671" t="str">
        <f t="shared" si="236"/>
        <v>0 yrs</v>
      </c>
      <c r="R391" s="671" t="str">
        <f t="shared" si="236"/>
        <v>0 yrs</v>
      </c>
      <c r="S391" s="671" t="str">
        <f t="shared" si="236"/>
        <v>0 yrs</v>
      </c>
      <c r="T391" s="671" t="str">
        <f t="shared" si="236"/>
        <v>0 yrs</v>
      </c>
      <c r="U391" s="671" t="str">
        <f t="shared" si="236"/>
        <v>0 yrs</v>
      </c>
      <c r="V391" s="671" t="str">
        <f t="shared" si="236"/>
        <v>0 yrs</v>
      </c>
      <c r="W391" s="671" t="str">
        <f t="shared" si="236"/>
        <v>0 yrs</v>
      </c>
      <c r="X391" s="671" t="str">
        <f t="shared" si="236"/>
        <v>0 yrs</v>
      </c>
      <c r="Y391" s="671" t="str">
        <f t="shared" si="236"/>
        <v>0 yrs</v>
      </c>
      <c r="Z391" s="671" t="str">
        <f t="shared" si="236"/>
        <v>0 yrs</v>
      </c>
      <c r="AA391" s="671" t="str">
        <f t="shared" si="236"/>
        <v>0 yrs</v>
      </c>
      <c r="AB391" s="671" t="str">
        <f t="shared" si="236"/>
        <v>0 yrs</v>
      </c>
      <c r="AC391" s="672" t="str">
        <f t="shared" si="236"/>
        <v>0 yrs</v>
      </c>
      <c r="AD391" s="1"/>
      <c r="AE391" s="1"/>
    </row>
    <row r="392" spans="9:31" ht="23.25" customHeight="1" x14ac:dyDescent="0.25">
      <c r="I392" s="596"/>
      <c r="J392" s="598" t="s">
        <v>26</v>
      </c>
      <c r="K392" s="673" t="str">
        <f>CONCATENATE("WACC@",$L$98*100,"%")</f>
        <v>WACC@15%</v>
      </c>
      <c r="L392" s="669">
        <f>AC392</f>
        <v>0</v>
      </c>
      <c r="N392" s="616">
        <f t="shared" ref="N392:AC392" si="237">N36/$N$365</f>
        <v>0</v>
      </c>
      <c r="O392" s="617">
        <f t="shared" si="237"/>
        <v>0</v>
      </c>
      <c r="P392" s="617">
        <f t="shared" si="237"/>
        <v>0</v>
      </c>
      <c r="Q392" s="617">
        <f t="shared" si="237"/>
        <v>0</v>
      </c>
      <c r="R392" s="617">
        <f t="shared" si="237"/>
        <v>0</v>
      </c>
      <c r="S392" s="617">
        <f t="shared" si="237"/>
        <v>0</v>
      </c>
      <c r="T392" s="617">
        <f t="shared" si="237"/>
        <v>0</v>
      </c>
      <c r="U392" s="617">
        <f t="shared" si="237"/>
        <v>0</v>
      </c>
      <c r="V392" s="617">
        <f t="shared" si="237"/>
        <v>0</v>
      </c>
      <c r="W392" s="617">
        <f t="shared" si="237"/>
        <v>0</v>
      </c>
      <c r="X392" s="617">
        <f t="shared" si="237"/>
        <v>0</v>
      </c>
      <c r="Y392" s="617">
        <f t="shared" si="237"/>
        <v>0</v>
      </c>
      <c r="Z392" s="617">
        <f t="shared" si="237"/>
        <v>0</v>
      </c>
      <c r="AA392" s="617">
        <f t="shared" si="237"/>
        <v>0</v>
      </c>
      <c r="AB392" s="617">
        <f t="shared" si="237"/>
        <v>0</v>
      </c>
      <c r="AC392" s="618">
        <f t="shared" si="237"/>
        <v>0</v>
      </c>
      <c r="AD392" s="1"/>
      <c r="AE392" s="1"/>
    </row>
    <row r="393" spans="9:31" ht="23.25" customHeight="1" x14ac:dyDescent="0.25">
      <c r="I393" s="596"/>
      <c r="J393" s="598"/>
      <c r="K393" s="673" t="str">
        <f>CONCATENATE("IRR: ",ROUND($L$334*100,1),"%")</f>
        <v>IRR: 0%</v>
      </c>
      <c r="L393" s="674"/>
      <c r="N393" s="89"/>
      <c r="O393" s="90"/>
      <c r="P393" s="90"/>
      <c r="Q393" s="90"/>
      <c r="R393" s="90"/>
      <c r="S393" s="90"/>
      <c r="T393" s="90"/>
      <c r="U393" s="90"/>
      <c r="V393" s="90"/>
      <c r="W393" s="90"/>
      <c r="X393" s="90"/>
      <c r="Y393" s="90"/>
      <c r="Z393" s="90"/>
      <c r="AA393" s="90"/>
      <c r="AB393" s="90"/>
      <c r="AC393" s="91"/>
      <c r="AD393" s="1"/>
      <c r="AE393" s="1"/>
    </row>
    <row r="394" spans="9:31" ht="23.25" customHeight="1" x14ac:dyDescent="0.4">
      <c r="I394" s="596" t="s">
        <v>27</v>
      </c>
      <c r="J394" s="597" t="s">
        <v>28</v>
      </c>
      <c r="L394" s="675">
        <f>IFERROR(AVERAGEIF(O394:AC394,"&gt;100",O394:AC394),)</f>
        <v>0</v>
      </c>
      <c r="N394" s="676">
        <f>SUM(N396:N404)-N397</f>
        <v>0</v>
      </c>
      <c r="O394" s="677">
        <f t="shared" ref="O394:AC394" si="238">SUM(O396:O404)-O397</f>
        <v>0</v>
      </c>
      <c r="P394" s="677">
        <f t="shared" si="238"/>
        <v>0</v>
      </c>
      <c r="Q394" s="677">
        <f t="shared" si="238"/>
        <v>0</v>
      </c>
      <c r="R394" s="677">
        <f t="shared" si="238"/>
        <v>0</v>
      </c>
      <c r="S394" s="677">
        <f t="shared" si="238"/>
        <v>0</v>
      </c>
      <c r="T394" s="677">
        <f t="shared" si="238"/>
        <v>0</v>
      </c>
      <c r="U394" s="677">
        <f t="shared" si="238"/>
        <v>0</v>
      </c>
      <c r="V394" s="677">
        <f t="shared" si="238"/>
        <v>0</v>
      </c>
      <c r="W394" s="677">
        <f t="shared" si="238"/>
        <v>0</v>
      </c>
      <c r="X394" s="677">
        <f t="shared" si="238"/>
        <v>0</v>
      </c>
      <c r="Y394" s="677">
        <f t="shared" si="238"/>
        <v>0</v>
      </c>
      <c r="Z394" s="677">
        <f t="shared" si="238"/>
        <v>0</v>
      </c>
      <c r="AA394" s="677">
        <f t="shared" si="238"/>
        <v>0</v>
      </c>
      <c r="AB394" s="677">
        <f t="shared" si="238"/>
        <v>0</v>
      </c>
      <c r="AC394" s="678">
        <f t="shared" si="238"/>
        <v>0</v>
      </c>
      <c r="AD394" s="1"/>
      <c r="AE394" s="1"/>
    </row>
    <row r="395" spans="9:31" ht="15.75" x14ac:dyDescent="0.25">
      <c r="I395" s="596"/>
      <c r="J395" s="598" t="s">
        <v>29</v>
      </c>
      <c r="K395" s="596"/>
      <c r="L395" s="679" t="str">
        <f>IFERROR(SUM(N394:AC394)/SUM(N372:AC372),"")</f>
        <v/>
      </c>
      <c r="N395" s="680" t="str">
        <f t="shared" ref="N395:AC395" si="239">IFERROR(N394/N372*N481/365,"")</f>
        <v/>
      </c>
      <c r="O395" s="681" t="str">
        <f t="shared" si="239"/>
        <v/>
      </c>
      <c r="P395" s="681" t="str">
        <f t="shared" si="239"/>
        <v/>
      </c>
      <c r="Q395" s="681" t="str">
        <f t="shared" si="239"/>
        <v/>
      </c>
      <c r="R395" s="681" t="str">
        <f t="shared" si="239"/>
        <v/>
      </c>
      <c r="S395" s="681" t="str">
        <f t="shared" si="239"/>
        <v/>
      </c>
      <c r="T395" s="681" t="str">
        <f t="shared" si="239"/>
        <v/>
      </c>
      <c r="U395" s="681" t="str">
        <f t="shared" si="239"/>
        <v/>
      </c>
      <c r="V395" s="681" t="str">
        <f t="shared" si="239"/>
        <v/>
      </c>
      <c r="W395" s="681" t="str">
        <f t="shared" si="239"/>
        <v/>
      </c>
      <c r="X395" s="681" t="str">
        <f t="shared" si="239"/>
        <v/>
      </c>
      <c r="Y395" s="681" t="str">
        <f t="shared" si="239"/>
        <v/>
      </c>
      <c r="Z395" s="681" t="str">
        <f t="shared" si="239"/>
        <v/>
      </c>
      <c r="AA395" s="681" t="str">
        <f t="shared" si="239"/>
        <v/>
      </c>
      <c r="AB395" s="681" t="str">
        <f t="shared" si="239"/>
        <v/>
      </c>
      <c r="AC395" s="682" t="str">
        <f t="shared" si="239"/>
        <v/>
      </c>
      <c r="AD395" s="1"/>
      <c r="AE395" s="1"/>
    </row>
    <row r="396" spans="9:31" x14ac:dyDescent="0.3">
      <c r="I396" s="96"/>
      <c r="J396" s="683" t="s">
        <v>30</v>
      </c>
      <c r="L396" s="615">
        <f t="shared" ref="L396:L401" si="240">IFERROR(AVERAGEIF(N396:AC396,"&gt;0",N396:AC396),)</f>
        <v>0</v>
      </c>
      <c r="N396" s="616">
        <f t="shared" ref="N396:AC405" si="241">N40/$N$365</f>
        <v>0</v>
      </c>
      <c r="O396" s="617">
        <f t="shared" si="241"/>
        <v>0</v>
      </c>
      <c r="P396" s="617">
        <f t="shared" si="241"/>
        <v>0</v>
      </c>
      <c r="Q396" s="617">
        <f t="shared" si="241"/>
        <v>0</v>
      </c>
      <c r="R396" s="617">
        <f t="shared" si="241"/>
        <v>0</v>
      </c>
      <c r="S396" s="617">
        <f t="shared" si="241"/>
        <v>0</v>
      </c>
      <c r="T396" s="617">
        <f t="shared" si="241"/>
        <v>0</v>
      </c>
      <c r="U396" s="617">
        <f t="shared" si="241"/>
        <v>0</v>
      </c>
      <c r="V396" s="617">
        <f t="shared" si="241"/>
        <v>0</v>
      </c>
      <c r="W396" s="617">
        <f t="shared" si="241"/>
        <v>0</v>
      </c>
      <c r="X396" s="617">
        <f t="shared" si="241"/>
        <v>0</v>
      </c>
      <c r="Y396" s="617">
        <f t="shared" si="241"/>
        <v>0</v>
      </c>
      <c r="Z396" s="617">
        <f t="shared" si="241"/>
        <v>0</v>
      </c>
      <c r="AA396" s="617">
        <f t="shared" si="241"/>
        <v>0</v>
      </c>
      <c r="AB396" s="617">
        <f t="shared" si="241"/>
        <v>0</v>
      </c>
      <c r="AC396" s="618">
        <f t="shared" si="241"/>
        <v>0</v>
      </c>
      <c r="AD396" s="1"/>
      <c r="AE396" s="1"/>
    </row>
    <row r="397" spans="9:31" x14ac:dyDescent="0.3">
      <c r="I397" s="96"/>
      <c r="J397" s="683" t="s">
        <v>299</v>
      </c>
      <c r="L397" s="615">
        <f t="shared" si="240"/>
        <v>0</v>
      </c>
      <c r="N397" s="616">
        <f t="shared" si="241"/>
        <v>0</v>
      </c>
      <c r="O397" s="617">
        <f t="shared" si="241"/>
        <v>0</v>
      </c>
      <c r="P397" s="617">
        <f t="shared" si="241"/>
        <v>0</v>
      </c>
      <c r="Q397" s="617">
        <f t="shared" si="241"/>
        <v>0</v>
      </c>
      <c r="R397" s="617">
        <f t="shared" si="241"/>
        <v>0</v>
      </c>
      <c r="S397" s="617">
        <f t="shared" si="241"/>
        <v>0</v>
      </c>
      <c r="T397" s="617">
        <f t="shared" si="241"/>
        <v>0</v>
      </c>
      <c r="U397" s="617">
        <f t="shared" si="241"/>
        <v>0</v>
      </c>
      <c r="V397" s="617">
        <f t="shared" si="241"/>
        <v>0</v>
      </c>
      <c r="W397" s="617">
        <f t="shared" si="241"/>
        <v>0</v>
      </c>
      <c r="X397" s="617">
        <f t="shared" si="241"/>
        <v>0</v>
      </c>
      <c r="Y397" s="617">
        <f t="shared" si="241"/>
        <v>0</v>
      </c>
      <c r="Z397" s="617">
        <f t="shared" si="241"/>
        <v>0</v>
      </c>
      <c r="AA397" s="617">
        <f t="shared" si="241"/>
        <v>0</v>
      </c>
      <c r="AB397" s="617">
        <f t="shared" si="241"/>
        <v>0</v>
      </c>
      <c r="AC397" s="618">
        <f t="shared" si="241"/>
        <v>0</v>
      </c>
      <c r="AD397" s="1"/>
      <c r="AE397" s="1"/>
    </row>
    <row r="398" spans="9:31" ht="24.75" customHeight="1" x14ac:dyDescent="0.3">
      <c r="I398" s="96"/>
      <c r="J398" s="684" t="s">
        <v>295</v>
      </c>
      <c r="L398" s="685">
        <f t="shared" si="240"/>
        <v>0</v>
      </c>
      <c r="M398" s="586"/>
      <c r="N398" s="686">
        <f t="shared" si="241"/>
        <v>0</v>
      </c>
      <c r="O398" s="687">
        <f t="shared" si="241"/>
        <v>0</v>
      </c>
      <c r="P398" s="687">
        <f t="shared" si="241"/>
        <v>0</v>
      </c>
      <c r="Q398" s="687">
        <f t="shared" si="241"/>
        <v>0</v>
      </c>
      <c r="R398" s="687">
        <f t="shared" si="241"/>
        <v>0</v>
      </c>
      <c r="S398" s="687">
        <f t="shared" si="241"/>
        <v>0</v>
      </c>
      <c r="T398" s="687">
        <f t="shared" si="241"/>
        <v>0</v>
      </c>
      <c r="U398" s="687">
        <f t="shared" si="241"/>
        <v>0</v>
      </c>
      <c r="V398" s="687">
        <f t="shared" si="241"/>
        <v>0</v>
      </c>
      <c r="W398" s="687">
        <f t="shared" si="241"/>
        <v>0</v>
      </c>
      <c r="X398" s="687">
        <f t="shared" si="241"/>
        <v>0</v>
      </c>
      <c r="Y398" s="687">
        <f t="shared" si="241"/>
        <v>0</v>
      </c>
      <c r="Z398" s="687">
        <f t="shared" si="241"/>
        <v>0</v>
      </c>
      <c r="AA398" s="687">
        <f t="shared" si="241"/>
        <v>0</v>
      </c>
      <c r="AB398" s="687">
        <f t="shared" si="241"/>
        <v>0</v>
      </c>
      <c r="AC398" s="688">
        <f t="shared" si="241"/>
        <v>0</v>
      </c>
      <c r="AD398" s="1"/>
      <c r="AE398" s="1"/>
    </row>
    <row r="399" spans="9:31" x14ac:dyDescent="0.3">
      <c r="I399" s="96"/>
      <c r="J399" s="684" t="s">
        <v>296</v>
      </c>
      <c r="L399" s="685">
        <f t="shared" si="240"/>
        <v>0</v>
      </c>
      <c r="M399" s="586"/>
      <c r="N399" s="686">
        <f t="shared" si="241"/>
        <v>0</v>
      </c>
      <c r="O399" s="687">
        <f t="shared" si="241"/>
        <v>0</v>
      </c>
      <c r="P399" s="687">
        <f t="shared" si="241"/>
        <v>0</v>
      </c>
      <c r="Q399" s="687">
        <f t="shared" si="241"/>
        <v>0</v>
      </c>
      <c r="R399" s="687">
        <f t="shared" si="241"/>
        <v>0</v>
      </c>
      <c r="S399" s="687">
        <f t="shared" si="241"/>
        <v>0</v>
      </c>
      <c r="T399" s="687">
        <f t="shared" si="241"/>
        <v>0</v>
      </c>
      <c r="U399" s="687">
        <f t="shared" si="241"/>
        <v>0</v>
      </c>
      <c r="V399" s="687">
        <f t="shared" si="241"/>
        <v>0</v>
      </c>
      <c r="W399" s="687">
        <f t="shared" si="241"/>
        <v>0</v>
      </c>
      <c r="X399" s="687">
        <f t="shared" si="241"/>
        <v>0</v>
      </c>
      <c r="Y399" s="687">
        <f t="shared" si="241"/>
        <v>0</v>
      </c>
      <c r="Z399" s="687">
        <f t="shared" si="241"/>
        <v>0</v>
      </c>
      <c r="AA399" s="687">
        <f t="shared" si="241"/>
        <v>0</v>
      </c>
      <c r="AB399" s="687">
        <f t="shared" si="241"/>
        <v>0</v>
      </c>
      <c r="AC399" s="688">
        <f t="shared" si="241"/>
        <v>0</v>
      </c>
      <c r="AD399" s="1"/>
      <c r="AE399" s="1"/>
    </row>
    <row r="400" spans="9:31" x14ac:dyDescent="0.3">
      <c r="I400" s="96"/>
      <c r="J400" s="684" t="s">
        <v>458</v>
      </c>
      <c r="L400" s="685">
        <f t="shared" si="240"/>
        <v>0</v>
      </c>
      <c r="M400" s="586"/>
      <c r="N400" s="686">
        <f t="shared" si="241"/>
        <v>0</v>
      </c>
      <c r="O400" s="687">
        <f t="shared" si="241"/>
        <v>0</v>
      </c>
      <c r="P400" s="687">
        <f t="shared" si="241"/>
        <v>0</v>
      </c>
      <c r="Q400" s="687">
        <f t="shared" si="241"/>
        <v>0</v>
      </c>
      <c r="R400" s="687">
        <f t="shared" si="241"/>
        <v>0</v>
      </c>
      <c r="S400" s="687">
        <f t="shared" si="241"/>
        <v>0</v>
      </c>
      <c r="T400" s="687">
        <f t="shared" si="241"/>
        <v>0</v>
      </c>
      <c r="U400" s="687">
        <f t="shared" si="241"/>
        <v>0</v>
      </c>
      <c r="V400" s="687">
        <f t="shared" si="241"/>
        <v>0</v>
      </c>
      <c r="W400" s="687">
        <f t="shared" si="241"/>
        <v>0</v>
      </c>
      <c r="X400" s="687">
        <f t="shared" si="241"/>
        <v>0</v>
      </c>
      <c r="Y400" s="687">
        <f t="shared" si="241"/>
        <v>0</v>
      </c>
      <c r="Z400" s="687">
        <f t="shared" si="241"/>
        <v>0</v>
      </c>
      <c r="AA400" s="687">
        <f t="shared" si="241"/>
        <v>0</v>
      </c>
      <c r="AB400" s="687">
        <f t="shared" si="241"/>
        <v>0</v>
      </c>
      <c r="AC400" s="688">
        <f t="shared" si="241"/>
        <v>0</v>
      </c>
      <c r="AD400" s="1"/>
      <c r="AE400" s="1"/>
    </row>
    <row r="401" spans="9:31" x14ac:dyDescent="0.3">
      <c r="I401" s="96"/>
      <c r="J401" s="684" t="s">
        <v>298</v>
      </c>
      <c r="L401" s="685">
        <f t="shared" si="240"/>
        <v>0</v>
      </c>
      <c r="M401" s="586"/>
      <c r="N401" s="686">
        <f t="shared" si="241"/>
        <v>0</v>
      </c>
      <c r="O401" s="687">
        <f t="shared" si="241"/>
        <v>0</v>
      </c>
      <c r="P401" s="687">
        <f t="shared" si="241"/>
        <v>0</v>
      </c>
      <c r="Q401" s="687">
        <f t="shared" si="241"/>
        <v>0</v>
      </c>
      <c r="R401" s="687">
        <f t="shared" si="241"/>
        <v>0</v>
      </c>
      <c r="S401" s="687">
        <f t="shared" si="241"/>
        <v>0</v>
      </c>
      <c r="T401" s="687">
        <f t="shared" si="241"/>
        <v>0</v>
      </c>
      <c r="U401" s="687">
        <f t="shared" si="241"/>
        <v>0</v>
      </c>
      <c r="V401" s="687">
        <f t="shared" si="241"/>
        <v>0</v>
      </c>
      <c r="W401" s="687">
        <f t="shared" si="241"/>
        <v>0</v>
      </c>
      <c r="X401" s="687">
        <f t="shared" si="241"/>
        <v>0</v>
      </c>
      <c r="Y401" s="687">
        <f t="shared" si="241"/>
        <v>0</v>
      </c>
      <c r="Z401" s="687">
        <f t="shared" si="241"/>
        <v>0</v>
      </c>
      <c r="AA401" s="687">
        <f t="shared" si="241"/>
        <v>0</v>
      </c>
      <c r="AB401" s="687">
        <f t="shared" si="241"/>
        <v>0</v>
      </c>
      <c r="AC401" s="688">
        <f t="shared" si="241"/>
        <v>0</v>
      </c>
      <c r="AD401" s="1"/>
      <c r="AE401" s="1"/>
    </row>
    <row r="402" spans="9:31" x14ac:dyDescent="0.3">
      <c r="I402" s="96"/>
      <c r="J402" s="683" t="s">
        <v>31</v>
      </c>
      <c r="L402" s="615">
        <f>IFERROR(AVERAGEIF(N402:AC402,"&lt;0",N402:AC402),)</f>
        <v>0</v>
      </c>
      <c r="N402" s="616">
        <f t="shared" si="241"/>
        <v>0</v>
      </c>
      <c r="O402" s="617">
        <f t="shared" si="241"/>
        <v>0</v>
      </c>
      <c r="P402" s="617">
        <f t="shared" si="241"/>
        <v>0</v>
      </c>
      <c r="Q402" s="617">
        <f t="shared" si="241"/>
        <v>0</v>
      </c>
      <c r="R402" s="617">
        <f t="shared" si="241"/>
        <v>0</v>
      </c>
      <c r="S402" s="617">
        <f t="shared" si="241"/>
        <v>0</v>
      </c>
      <c r="T402" s="617">
        <f t="shared" si="241"/>
        <v>0</v>
      </c>
      <c r="U402" s="617">
        <f t="shared" si="241"/>
        <v>0</v>
      </c>
      <c r="V402" s="617">
        <f t="shared" si="241"/>
        <v>0</v>
      </c>
      <c r="W402" s="617">
        <f t="shared" si="241"/>
        <v>0</v>
      </c>
      <c r="X402" s="617">
        <f t="shared" si="241"/>
        <v>0</v>
      </c>
      <c r="Y402" s="617">
        <f t="shared" si="241"/>
        <v>0</v>
      </c>
      <c r="Z402" s="617">
        <f t="shared" si="241"/>
        <v>0</v>
      </c>
      <c r="AA402" s="617">
        <f t="shared" si="241"/>
        <v>0</v>
      </c>
      <c r="AB402" s="617">
        <f t="shared" si="241"/>
        <v>0</v>
      </c>
      <c r="AC402" s="618">
        <f t="shared" si="241"/>
        <v>0</v>
      </c>
      <c r="AD402" s="1"/>
      <c r="AE402" s="1"/>
    </row>
    <row r="403" spans="9:31" ht="26.25" customHeight="1" x14ac:dyDescent="0.3">
      <c r="I403" s="96"/>
      <c r="J403" s="683" t="s">
        <v>32</v>
      </c>
      <c r="L403" s="615">
        <f>IFERROR(AVERAGEIF(N403:AC403,"&gt;0",N403:AC403),)</f>
        <v>0</v>
      </c>
      <c r="N403" s="616">
        <f t="shared" si="241"/>
        <v>0</v>
      </c>
      <c r="O403" s="617">
        <f t="shared" si="241"/>
        <v>0</v>
      </c>
      <c r="P403" s="617">
        <f t="shared" si="241"/>
        <v>0</v>
      </c>
      <c r="Q403" s="617">
        <f t="shared" si="241"/>
        <v>0</v>
      </c>
      <c r="R403" s="617">
        <f t="shared" si="241"/>
        <v>0</v>
      </c>
      <c r="S403" s="617">
        <f t="shared" si="241"/>
        <v>0</v>
      </c>
      <c r="T403" s="617">
        <f t="shared" si="241"/>
        <v>0</v>
      </c>
      <c r="U403" s="617">
        <f t="shared" si="241"/>
        <v>0</v>
      </c>
      <c r="V403" s="617">
        <f t="shared" si="241"/>
        <v>0</v>
      </c>
      <c r="W403" s="617">
        <f t="shared" si="241"/>
        <v>0</v>
      </c>
      <c r="X403" s="617">
        <f t="shared" si="241"/>
        <v>0</v>
      </c>
      <c r="Y403" s="617">
        <f t="shared" si="241"/>
        <v>0</v>
      </c>
      <c r="Z403" s="617">
        <f t="shared" si="241"/>
        <v>0</v>
      </c>
      <c r="AA403" s="617">
        <f t="shared" si="241"/>
        <v>0</v>
      </c>
      <c r="AB403" s="617">
        <f t="shared" si="241"/>
        <v>0</v>
      </c>
      <c r="AC403" s="618">
        <f t="shared" si="241"/>
        <v>0</v>
      </c>
      <c r="AD403" s="1"/>
      <c r="AE403" s="1"/>
    </row>
    <row r="404" spans="9:31" ht="24" customHeight="1" x14ac:dyDescent="0.3">
      <c r="I404" s="96"/>
      <c r="J404" s="683" t="s">
        <v>33</v>
      </c>
      <c r="L404" s="689">
        <f>IFERROR(AVERAGEIF(N404:AC404,"&gt;&lt;0",N404:AC404),)</f>
        <v>0</v>
      </c>
      <c r="N404" s="690">
        <f t="shared" si="241"/>
        <v>0</v>
      </c>
      <c r="O404" s="691">
        <f t="shared" si="241"/>
        <v>0</v>
      </c>
      <c r="P404" s="691">
        <f t="shared" si="241"/>
        <v>0</v>
      </c>
      <c r="Q404" s="691">
        <f t="shared" si="241"/>
        <v>0</v>
      </c>
      <c r="R404" s="691">
        <f t="shared" si="241"/>
        <v>0</v>
      </c>
      <c r="S404" s="691">
        <f t="shared" si="241"/>
        <v>0</v>
      </c>
      <c r="T404" s="691">
        <f t="shared" si="241"/>
        <v>0</v>
      </c>
      <c r="U404" s="691">
        <f t="shared" si="241"/>
        <v>0</v>
      </c>
      <c r="V404" s="691">
        <f t="shared" si="241"/>
        <v>0</v>
      </c>
      <c r="W404" s="691">
        <f t="shared" si="241"/>
        <v>0</v>
      </c>
      <c r="X404" s="691">
        <f t="shared" si="241"/>
        <v>0</v>
      </c>
      <c r="Y404" s="691">
        <f t="shared" si="241"/>
        <v>0</v>
      </c>
      <c r="Z404" s="691">
        <f t="shared" si="241"/>
        <v>0</v>
      </c>
      <c r="AA404" s="691">
        <f t="shared" si="241"/>
        <v>0</v>
      </c>
      <c r="AB404" s="691">
        <f t="shared" si="241"/>
        <v>0</v>
      </c>
      <c r="AC404" s="692">
        <f t="shared" si="241"/>
        <v>0</v>
      </c>
      <c r="AD404" s="1"/>
      <c r="AE404" s="1"/>
    </row>
    <row r="405" spans="9:31" thickBot="1" x14ac:dyDescent="0.3">
      <c r="I405" s="596"/>
      <c r="J405" s="598" t="s">
        <v>34</v>
      </c>
      <c r="K405" s="98">
        <f>K700</f>
        <v>0</v>
      </c>
      <c r="L405" s="693">
        <f>IFERROR(AVERAGEIF(N405:AC405,"&gt;0",N405:AC405),)</f>
        <v>0</v>
      </c>
      <c r="N405" s="694">
        <f t="shared" si="241"/>
        <v>0</v>
      </c>
      <c r="O405" s="695">
        <f t="shared" si="241"/>
        <v>0</v>
      </c>
      <c r="P405" s="695">
        <f t="shared" si="241"/>
        <v>0</v>
      </c>
      <c r="Q405" s="695">
        <f t="shared" si="241"/>
        <v>0</v>
      </c>
      <c r="R405" s="695">
        <f t="shared" si="241"/>
        <v>0</v>
      </c>
      <c r="S405" s="695">
        <f t="shared" si="241"/>
        <v>0</v>
      </c>
      <c r="T405" s="695">
        <f t="shared" si="241"/>
        <v>0</v>
      </c>
      <c r="U405" s="695">
        <f t="shared" si="241"/>
        <v>0</v>
      </c>
      <c r="V405" s="695">
        <f t="shared" si="241"/>
        <v>0</v>
      </c>
      <c r="W405" s="695">
        <f t="shared" si="241"/>
        <v>0</v>
      </c>
      <c r="X405" s="695">
        <f t="shared" si="241"/>
        <v>0</v>
      </c>
      <c r="Y405" s="695">
        <f t="shared" si="241"/>
        <v>0</v>
      </c>
      <c r="Z405" s="695">
        <f t="shared" si="241"/>
        <v>0</v>
      </c>
      <c r="AA405" s="695">
        <f t="shared" si="241"/>
        <v>0</v>
      </c>
      <c r="AB405" s="695">
        <f t="shared" si="241"/>
        <v>0</v>
      </c>
      <c r="AC405" s="696">
        <f t="shared" si="241"/>
        <v>0</v>
      </c>
      <c r="AD405" s="1"/>
      <c r="AE405" s="1"/>
    </row>
    <row r="406" spans="9:31" ht="14.25" x14ac:dyDescent="0.2">
      <c r="I406" s="1"/>
      <c r="K406" s="1"/>
      <c r="AD406" s="1"/>
      <c r="AE406" s="1"/>
    </row>
    <row r="407" spans="9:31" ht="18" x14ac:dyDescent="0.2">
      <c r="I407" s="582">
        <v>10</v>
      </c>
      <c r="J407" s="583" t="s">
        <v>438</v>
      </c>
      <c r="K407" s="583"/>
      <c r="L407" s="584"/>
      <c r="M407" s="584"/>
      <c r="N407" s="585"/>
      <c r="O407" s="585"/>
      <c r="P407" s="585"/>
      <c r="Q407" s="585"/>
      <c r="R407" s="585"/>
      <c r="S407" s="585"/>
      <c r="T407" s="585"/>
      <c r="U407" s="585"/>
      <c r="V407" s="585"/>
      <c r="W407" s="585"/>
      <c r="X407" s="585"/>
      <c r="Y407" s="585"/>
      <c r="Z407" s="585"/>
      <c r="AA407" s="585"/>
      <c r="AB407" s="585"/>
      <c r="AC407" s="585"/>
      <c r="AD407" s="1"/>
      <c r="AE407" s="1"/>
    </row>
    <row r="408" spans="9:31" ht="14.25" x14ac:dyDescent="0.2">
      <c r="I408" s="1"/>
      <c r="K408" s="1"/>
      <c r="AD408" s="1"/>
      <c r="AE408" s="1"/>
    </row>
    <row r="409" spans="9:31" ht="14.25" x14ac:dyDescent="0.2">
      <c r="I409" s="1"/>
      <c r="K409" s="1"/>
      <c r="AD409" s="1"/>
      <c r="AE409" s="1"/>
    </row>
    <row r="410" spans="9:31" ht="14.25" x14ac:dyDescent="0.2">
      <c r="I410" s="1"/>
      <c r="K410" s="1"/>
      <c r="AD410" s="1"/>
      <c r="AE410" s="1"/>
    </row>
    <row r="411" spans="9:31" ht="14.25" x14ac:dyDescent="0.2">
      <c r="I411" s="1"/>
      <c r="K411" s="1"/>
      <c r="AD411" s="1"/>
      <c r="AE411" s="1"/>
    </row>
    <row r="412" spans="9:31" ht="14.25" x14ac:dyDescent="0.2">
      <c r="I412" s="1"/>
      <c r="K412" s="1"/>
      <c r="AD412" s="1"/>
      <c r="AE412" s="1"/>
    </row>
    <row r="413" spans="9:31" ht="14.25" x14ac:dyDescent="0.2">
      <c r="I413" s="1"/>
      <c r="K413" s="1"/>
      <c r="AD413" s="1"/>
      <c r="AE413" s="1"/>
    </row>
    <row r="414" spans="9:31" ht="14.25" x14ac:dyDescent="0.2">
      <c r="I414" s="1"/>
      <c r="K414" s="1"/>
      <c r="AD414" s="1"/>
      <c r="AE414" s="1"/>
    </row>
    <row r="415" spans="9:31" ht="14.25" x14ac:dyDescent="0.2">
      <c r="I415" s="1"/>
      <c r="K415" s="1"/>
      <c r="AD415" s="1"/>
      <c r="AE415" s="1"/>
    </row>
    <row r="416" spans="9:31" ht="14.25" x14ac:dyDescent="0.2">
      <c r="I416" s="1"/>
      <c r="K416" s="1"/>
      <c r="AD416" s="1"/>
      <c r="AE416" s="1"/>
    </row>
    <row r="417" s="1" customFormat="1" ht="14.25" x14ac:dyDescent="0.2"/>
    <row r="418" s="1" customFormat="1" ht="14.25" x14ac:dyDescent="0.2"/>
    <row r="419" s="1" customFormat="1" ht="14.25" x14ac:dyDescent="0.2"/>
    <row r="420" s="1" customFormat="1" ht="14.25" x14ac:dyDescent="0.2"/>
    <row r="421" s="1" customFormat="1" ht="14.25" x14ac:dyDescent="0.2"/>
    <row r="422" s="1" customFormat="1" ht="14.25" x14ac:dyDescent="0.2"/>
    <row r="423" s="1" customFormat="1" ht="14.25" x14ac:dyDescent="0.2"/>
    <row r="424" s="1" customFormat="1" ht="14.25" x14ac:dyDescent="0.2"/>
    <row r="425" s="1" customFormat="1" ht="14.25" x14ac:dyDescent="0.2"/>
    <row r="426" s="1" customFormat="1" ht="14.25" x14ac:dyDescent="0.2"/>
    <row r="427" s="1" customFormat="1" ht="14.25" x14ac:dyDescent="0.2"/>
    <row r="428" s="1" customFormat="1" ht="14.25" x14ac:dyDescent="0.2"/>
    <row r="429" s="1" customFormat="1" ht="14.25" x14ac:dyDescent="0.2"/>
    <row r="430" s="1" customFormat="1" ht="14.25" x14ac:dyDescent="0.2"/>
    <row r="431" s="1" customFormat="1" ht="14.25" x14ac:dyDescent="0.2"/>
    <row r="432" s="1" customFormat="1" ht="14.25" x14ac:dyDescent="0.2"/>
    <row r="433" spans="9:31" ht="19.5" x14ac:dyDescent="0.35">
      <c r="J433" s="977" t="s">
        <v>433</v>
      </c>
      <c r="K433" s="978"/>
      <c r="L433" s="979"/>
      <c r="M433" s="979"/>
      <c r="N433" s="592">
        <f>N11</f>
        <v>2024</v>
      </c>
      <c r="O433" s="24">
        <f t="shared" ref="O433:AC433" si="242">O11</f>
        <v>2025</v>
      </c>
      <c r="P433" s="24">
        <f t="shared" si="242"/>
        <v>2026</v>
      </c>
      <c r="Q433" s="24">
        <f t="shared" si="242"/>
        <v>2027</v>
      </c>
      <c r="R433" s="24">
        <f t="shared" si="242"/>
        <v>2028</v>
      </c>
      <c r="S433" s="24">
        <f t="shared" si="242"/>
        <v>2029</v>
      </c>
      <c r="T433" s="24">
        <f t="shared" si="242"/>
        <v>2030</v>
      </c>
      <c r="U433" s="24">
        <f t="shared" si="242"/>
        <v>2031</v>
      </c>
      <c r="V433" s="24">
        <f t="shared" si="242"/>
        <v>2032</v>
      </c>
      <c r="W433" s="24">
        <f t="shared" si="242"/>
        <v>2033</v>
      </c>
      <c r="X433" s="24">
        <f t="shared" si="242"/>
        <v>2034</v>
      </c>
      <c r="Y433" s="24">
        <f t="shared" si="242"/>
        <v>2035</v>
      </c>
      <c r="Z433" s="24">
        <f t="shared" si="242"/>
        <v>2036</v>
      </c>
      <c r="AA433" s="24">
        <f t="shared" si="242"/>
        <v>2037</v>
      </c>
      <c r="AB433" s="24">
        <f t="shared" si="242"/>
        <v>2038</v>
      </c>
      <c r="AC433" s="25">
        <f t="shared" si="242"/>
        <v>2039</v>
      </c>
    </row>
    <row r="434" spans="9:31" x14ac:dyDescent="0.3">
      <c r="I434" s="1"/>
      <c r="J434" s="1057" t="s">
        <v>431</v>
      </c>
      <c r="K434" s="981"/>
      <c r="L434" s="982"/>
      <c r="M434" s="982"/>
      <c r="N434" s="983">
        <f>N372</f>
        <v>0</v>
      </c>
      <c r="O434" s="983">
        <f t="shared" ref="O434:AC434" si="243">O372</f>
        <v>0</v>
      </c>
      <c r="P434" s="983">
        <f t="shared" si="243"/>
        <v>0</v>
      </c>
      <c r="Q434" s="983">
        <f t="shared" si="243"/>
        <v>0</v>
      </c>
      <c r="R434" s="983">
        <f t="shared" si="243"/>
        <v>0</v>
      </c>
      <c r="S434" s="983">
        <f t="shared" si="243"/>
        <v>0</v>
      </c>
      <c r="T434" s="983">
        <f t="shared" si="243"/>
        <v>0</v>
      </c>
      <c r="U434" s="983">
        <f t="shared" si="243"/>
        <v>0</v>
      </c>
      <c r="V434" s="983">
        <f t="shared" si="243"/>
        <v>0</v>
      </c>
      <c r="W434" s="983">
        <f t="shared" si="243"/>
        <v>0</v>
      </c>
      <c r="X434" s="983">
        <f t="shared" si="243"/>
        <v>0</v>
      </c>
      <c r="Y434" s="983">
        <f t="shared" si="243"/>
        <v>0</v>
      </c>
      <c r="Z434" s="983">
        <f t="shared" si="243"/>
        <v>0</v>
      </c>
      <c r="AA434" s="983">
        <f t="shared" si="243"/>
        <v>0</v>
      </c>
      <c r="AB434" s="983">
        <f t="shared" si="243"/>
        <v>0</v>
      </c>
      <c r="AC434" s="984">
        <f t="shared" si="243"/>
        <v>0</v>
      </c>
      <c r="AD434" s="1"/>
      <c r="AE434" s="1"/>
    </row>
    <row r="435" spans="9:31" x14ac:dyDescent="0.3">
      <c r="I435" s="1"/>
      <c r="J435" s="1057" t="s">
        <v>16</v>
      </c>
      <c r="K435" s="981"/>
      <c r="L435" s="982"/>
      <c r="M435" s="982"/>
      <c r="N435" s="983">
        <f>N376</f>
        <v>0</v>
      </c>
      <c r="O435" s="983">
        <f t="shared" ref="O435:AC437" si="244">O376</f>
        <v>0</v>
      </c>
      <c r="P435" s="983">
        <f t="shared" si="244"/>
        <v>0</v>
      </c>
      <c r="Q435" s="983">
        <f t="shared" si="244"/>
        <v>0</v>
      </c>
      <c r="R435" s="983">
        <f t="shared" si="244"/>
        <v>0</v>
      </c>
      <c r="S435" s="983">
        <f t="shared" si="244"/>
        <v>0</v>
      </c>
      <c r="T435" s="983">
        <f t="shared" si="244"/>
        <v>0</v>
      </c>
      <c r="U435" s="983">
        <f t="shared" si="244"/>
        <v>0</v>
      </c>
      <c r="V435" s="983">
        <f t="shared" si="244"/>
        <v>0</v>
      </c>
      <c r="W435" s="983">
        <f t="shared" si="244"/>
        <v>0</v>
      </c>
      <c r="X435" s="983">
        <f t="shared" si="244"/>
        <v>0</v>
      </c>
      <c r="Y435" s="983">
        <f t="shared" si="244"/>
        <v>0</v>
      </c>
      <c r="Z435" s="983">
        <f t="shared" si="244"/>
        <v>0</v>
      </c>
      <c r="AA435" s="983">
        <f t="shared" si="244"/>
        <v>0</v>
      </c>
      <c r="AB435" s="983">
        <f t="shared" si="244"/>
        <v>0</v>
      </c>
      <c r="AC435" s="984">
        <f t="shared" si="244"/>
        <v>0</v>
      </c>
      <c r="AD435" s="1"/>
      <c r="AE435" s="1"/>
    </row>
    <row r="436" spans="9:31" x14ac:dyDescent="0.3">
      <c r="I436" s="1"/>
      <c r="J436" s="985" t="s">
        <v>423</v>
      </c>
      <c r="K436" s="981"/>
      <c r="L436" s="982"/>
      <c r="M436" s="982"/>
      <c r="N436" s="986">
        <f>N377</f>
        <v>0</v>
      </c>
      <c r="O436" s="986">
        <f t="shared" si="244"/>
        <v>0</v>
      </c>
      <c r="P436" s="986">
        <f t="shared" si="244"/>
        <v>0</v>
      </c>
      <c r="Q436" s="986">
        <f t="shared" si="244"/>
        <v>0</v>
      </c>
      <c r="R436" s="986">
        <f t="shared" si="244"/>
        <v>0</v>
      </c>
      <c r="S436" s="986">
        <f t="shared" si="244"/>
        <v>0</v>
      </c>
      <c r="T436" s="986">
        <f t="shared" si="244"/>
        <v>0</v>
      </c>
      <c r="U436" s="986">
        <f t="shared" si="244"/>
        <v>0</v>
      </c>
      <c r="V436" s="986">
        <f t="shared" si="244"/>
        <v>0</v>
      </c>
      <c r="W436" s="986">
        <f t="shared" si="244"/>
        <v>0</v>
      </c>
      <c r="X436" s="986">
        <f t="shared" si="244"/>
        <v>0</v>
      </c>
      <c r="Y436" s="986">
        <f t="shared" si="244"/>
        <v>0</v>
      </c>
      <c r="Z436" s="986">
        <f t="shared" si="244"/>
        <v>0</v>
      </c>
      <c r="AA436" s="986">
        <f t="shared" si="244"/>
        <v>0</v>
      </c>
      <c r="AB436" s="986">
        <f t="shared" si="244"/>
        <v>0</v>
      </c>
      <c r="AC436" s="987">
        <f t="shared" si="244"/>
        <v>0</v>
      </c>
      <c r="AD436" s="1"/>
      <c r="AE436" s="1"/>
    </row>
    <row r="437" spans="9:31" x14ac:dyDescent="0.3">
      <c r="I437" s="1"/>
      <c r="J437" s="985" t="s">
        <v>424</v>
      </c>
      <c r="K437" s="981"/>
      <c r="L437" s="982"/>
      <c r="M437" s="982"/>
      <c r="N437" s="986">
        <f>N378</f>
        <v>0</v>
      </c>
      <c r="O437" s="986">
        <f t="shared" si="244"/>
        <v>0</v>
      </c>
      <c r="P437" s="986">
        <f t="shared" si="244"/>
        <v>0</v>
      </c>
      <c r="Q437" s="986">
        <f t="shared" si="244"/>
        <v>0</v>
      </c>
      <c r="R437" s="986">
        <f t="shared" si="244"/>
        <v>0</v>
      </c>
      <c r="S437" s="986">
        <f t="shared" si="244"/>
        <v>0</v>
      </c>
      <c r="T437" s="986">
        <f t="shared" si="244"/>
        <v>0</v>
      </c>
      <c r="U437" s="986">
        <f t="shared" si="244"/>
        <v>0</v>
      </c>
      <c r="V437" s="986">
        <f t="shared" si="244"/>
        <v>0</v>
      </c>
      <c r="W437" s="986">
        <f t="shared" si="244"/>
        <v>0</v>
      </c>
      <c r="X437" s="986">
        <f t="shared" si="244"/>
        <v>0</v>
      </c>
      <c r="Y437" s="986">
        <f t="shared" si="244"/>
        <v>0</v>
      </c>
      <c r="Z437" s="986">
        <f t="shared" si="244"/>
        <v>0</v>
      </c>
      <c r="AA437" s="986">
        <f t="shared" si="244"/>
        <v>0</v>
      </c>
      <c r="AB437" s="986">
        <f t="shared" si="244"/>
        <v>0</v>
      </c>
      <c r="AC437" s="987">
        <f t="shared" si="244"/>
        <v>0</v>
      </c>
      <c r="AD437" s="1"/>
      <c r="AE437" s="1"/>
    </row>
    <row r="438" spans="9:31" ht="15.75" x14ac:dyDescent="0.25">
      <c r="I438" s="1"/>
      <c r="J438" s="1058"/>
      <c r="K438" s="996"/>
      <c r="L438" s="997"/>
      <c r="M438" s="997"/>
      <c r="N438" s="998"/>
      <c r="O438" s="998"/>
      <c r="P438" s="998"/>
      <c r="Q438" s="998"/>
      <c r="R438" s="998"/>
      <c r="S438" s="998"/>
      <c r="T438" s="998"/>
      <c r="U438" s="998"/>
      <c r="V438" s="998"/>
      <c r="W438" s="998"/>
      <c r="X438" s="998"/>
      <c r="Y438" s="998"/>
      <c r="Z438" s="998"/>
      <c r="AA438" s="998"/>
      <c r="AB438" s="998"/>
      <c r="AC438" s="999"/>
      <c r="AD438" s="1"/>
      <c r="AE438" s="1"/>
    </row>
    <row r="439" spans="9:31" ht="17.25" x14ac:dyDescent="0.35">
      <c r="J439" s="977" t="s">
        <v>434</v>
      </c>
      <c r="K439" s="978"/>
      <c r="L439" s="979"/>
      <c r="M439" s="979"/>
      <c r="N439" s="1000"/>
      <c r="O439" s="1000"/>
      <c r="P439" s="1000"/>
      <c r="Q439" s="1000"/>
      <c r="R439" s="1000"/>
      <c r="S439" s="1000"/>
      <c r="T439" s="1000"/>
      <c r="U439" s="1000"/>
      <c r="V439" s="1000"/>
      <c r="W439" s="1000"/>
      <c r="X439" s="1000"/>
      <c r="Y439" s="1000"/>
      <c r="Z439" s="1000"/>
      <c r="AA439" s="1000"/>
      <c r="AB439" s="1000"/>
      <c r="AC439" s="1001"/>
    </row>
    <row r="440" spans="9:31" x14ac:dyDescent="0.3">
      <c r="I440" s="1"/>
      <c r="J440" s="1057" t="s">
        <v>440</v>
      </c>
      <c r="K440" s="981"/>
      <c r="L440" s="982"/>
      <c r="M440" s="982"/>
      <c r="N440" s="983">
        <f>N228/$N$365</f>
        <v>0</v>
      </c>
      <c r="O440" s="983">
        <f t="shared" ref="O440:AC440" si="245">O228/$N$365</f>
        <v>0</v>
      </c>
      <c r="P440" s="983">
        <f t="shared" si="245"/>
        <v>0</v>
      </c>
      <c r="Q440" s="983">
        <f t="shared" si="245"/>
        <v>0</v>
      </c>
      <c r="R440" s="983">
        <f t="shared" si="245"/>
        <v>0</v>
      </c>
      <c r="S440" s="983">
        <f t="shared" si="245"/>
        <v>0</v>
      </c>
      <c r="T440" s="983">
        <f t="shared" si="245"/>
        <v>0</v>
      </c>
      <c r="U440" s="983">
        <f t="shared" si="245"/>
        <v>0</v>
      </c>
      <c r="V440" s="983">
        <f t="shared" si="245"/>
        <v>0</v>
      </c>
      <c r="W440" s="983">
        <f t="shared" si="245"/>
        <v>0</v>
      </c>
      <c r="X440" s="983">
        <f t="shared" si="245"/>
        <v>0</v>
      </c>
      <c r="Y440" s="983">
        <f t="shared" si="245"/>
        <v>0</v>
      </c>
      <c r="Z440" s="983">
        <f t="shared" si="245"/>
        <v>0</v>
      </c>
      <c r="AA440" s="983">
        <f t="shared" si="245"/>
        <v>0</v>
      </c>
      <c r="AB440" s="983">
        <f t="shared" si="245"/>
        <v>0</v>
      </c>
      <c r="AC440" s="984">
        <f t="shared" si="245"/>
        <v>0</v>
      </c>
      <c r="AD440" s="1"/>
      <c r="AE440" s="1"/>
    </row>
    <row r="441" spans="9:31" x14ac:dyDescent="0.3">
      <c r="I441" s="1"/>
      <c r="J441" s="1057" t="s">
        <v>441</v>
      </c>
      <c r="K441" s="981"/>
      <c r="L441" s="982"/>
      <c r="M441" s="982"/>
      <c r="N441" s="983">
        <f>-N232/$N$365</f>
        <v>0</v>
      </c>
      <c r="O441" s="983">
        <f>-O232/$N$365</f>
        <v>0</v>
      </c>
      <c r="P441" s="983">
        <f t="shared" ref="P441:AC441" si="246">-P232/$N$365</f>
        <v>0</v>
      </c>
      <c r="Q441" s="983">
        <f t="shared" si="246"/>
        <v>0</v>
      </c>
      <c r="R441" s="983">
        <f t="shared" si="246"/>
        <v>0</v>
      </c>
      <c r="S441" s="983">
        <f t="shared" si="246"/>
        <v>0</v>
      </c>
      <c r="T441" s="983">
        <f t="shared" si="246"/>
        <v>0</v>
      </c>
      <c r="U441" s="983">
        <f t="shared" si="246"/>
        <v>0</v>
      </c>
      <c r="V441" s="983">
        <f t="shared" si="246"/>
        <v>0</v>
      </c>
      <c r="W441" s="983">
        <f t="shared" si="246"/>
        <v>0</v>
      </c>
      <c r="X441" s="983">
        <f t="shared" si="246"/>
        <v>0</v>
      </c>
      <c r="Y441" s="983">
        <f t="shared" si="246"/>
        <v>0</v>
      </c>
      <c r="Z441" s="983">
        <f t="shared" si="246"/>
        <v>0</v>
      </c>
      <c r="AA441" s="983">
        <f t="shared" si="246"/>
        <v>0</v>
      </c>
      <c r="AB441" s="983">
        <f t="shared" si="246"/>
        <v>0</v>
      </c>
      <c r="AC441" s="984">
        <f t="shared" si="246"/>
        <v>0</v>
      </c>
      <c r="AD441" s="1"/>
      <c r="AE441" s="1"/>
    </row>
    <row r="442" spans="9:31" x14ac:dyDescent="0.3">
      <c r="I442" s="1"/>
      <c r="J442" s="1057" t="s">
        <v>186</v>
      </c>
      <c r="K442" s="981"/>
      <c r="L442" s="982"/>
      <c r="M442" s="982"/>
      <c r="N442" s="983">
        <f>N237/$N$365</f>
        <v>0</v>
      </c>
      <c r="O442" s="983">
        <f t="shared" ref="O442:AC442" si="247">O237/$N$365</f>
        <v>0</v>
      </c>
      <c r="P442" s="983">
        <f t="shared" si="247"/>
        <v>0</v>
      </c>
      <c r="Q442" s="983">
        <f t="shared" si="247"/>
        <v>0</v>
      </c>
      <c r="R442" s="983">
        <f t="shared" si="247"/>
        <v>0</v>
      </c>
      <c r="S442" s="983">
        <f t="shared" si="247"/>
        <v>0</v>
      </c>
      <c r="T442" s="983">
        <f t="shared" si="247"/>
        <v>0</v>
      </c>
      <c r="U442" s="983">
        <f t="shared" si="247"/>
        <v>0</v>
      </c>
      <c r="V442" s="983">
        <f t="shared" si="247"/>
        <v>0</v>
      </c>
      <c r="W442" s="983">
        <f t="shared" si="247"/>
        <v>0</v>
      </c>
      <c r="X442" s="983">
        <f t="shared" si="247"/>
        <v>0</v>
      </c>
      <c r="Y442" s="983">
        <f t="shared" si="247"/>
        <v>0</v>
      </c>
      <c r="Z442" s="983">
        <f t="shared" si="247"/>
        <v>0</v>
      </c>
      <c r="AA442" s="983">
        <f t="shared" si="247"/>
        <v>0</v>
      </c>
      <c r="AB442" s="983">
        <f t="shared" si="247"/>
        <v>0</v>
      </c>
      <c r="AC442" s="984">
        <f t="shared" si="247"/>
        <v>0</v>
      </c>
      <c r="AD442" s="1"/>
      <c r="AE442" s="1"/>
    </row>
    <row r="443" spans="9:31" x14ac:dyDescent="0.3">
      <c r="I443" s="1"/>
      <c r="J443" s="1057" t="s">
        <v>432</v>
      </c>
      <c r="K443" s="981"/>
      <c r="L443" s="982"/>
      <c r="M443" s="982"/>
      <c r="N443" s="983">
        <f>SUM($N440:N441)</f>
        <v>0</v>
      </c>
      <c r="O443" s="983">
        <f>SUM($N440:O441)</f>
        <v>0</v>
      </c>
      <c r="P443" s="983">
        <f>SUM($N440:P441)</f>
        <v>0</v>
      </c>
      <c r="Q443" s="983">
        <f>SUM($N440:Q441)</f>
        <v>0</v>
      </c>
      <c r="R443" s="983">
        <f>SUM($N440:R441)</f>
        <v>0</v>
      </c>
      <c r="S443" s="983">
        <f>SUM($N440:S441)</f>
        <v>0</v>
      </c>
      <c r="T443" s="983">
        <f>SUM($N440:T441)</f>
        <v>0</v>
      </c>
      <c r="U443" s="983">
        <f>SUM($N440:U441)</f>
        <v>0</v>
      </c>
      <c r="V443" s="983">
        <f>SUM($N440:V441)</f>
        <v>0</v>
      </c>
      <c r="W443" s="983">
        <f>SUM($N440:W441)</f>
        <v>0</v>
      </c>
      <c r="X443" s="983">
        <f>SUM($N440:X441)</f>
        <v>0</v>
      </c>
      <c r="Y443" s="983">
        <f>SUM($N440:Y441)</f>
        <v>0</v>
      </c>
      <c r="Z443" s="983">
        <f>SUM($N440:Z441)</f>
        <v>0</v>
      </c>
      <c r="AA443" s="983">
        <f>SUM($N440:AA441)</f>
        <v>0</v>
      </c>
      <c r="AB443" s="983">
        <f>SUM($N440:AB441)</f>
        <v>0</v>
      </c>
      <c r="AC443" s="984">
        <f>SUM($N440:AC441)</f>
        <v>0</v>
      </c>
      <c r="AD443" s="1"/>
      <c r="AE443" s="1"/>
    </row>
    <row r="444" spans="9:31" x14ac:dyDescent="0.3">
      <c r="I444" s="1"/>
      <c r="J444" s="1057" t="s">
        <v>436</v>
      </c>
      <c r="K444" s="981"/>
      <c r="L444" s="982"/>
      <c r="M444" s="982"/>
      <c r="N444" s="983"/>
      <c r="O444" s="983">
        <f>O328/$N$365</f>
        <v>0</v>
      </c>
      <c r="P444" s="983">
        <f t="shared" ref="P444:AC444" si="248">P328/$N$365</f>
        <v>0</v>
      </c>
      <c r="Q444" s="983">
        <f t="shared" si="248"/>
        <v>0</v>
      </c>
      <c r="R444" s="983">
        <f t="shared" si="248"/>
        <v>0</v>
      </c>
      <c r="S444" s="983">
        <f t="shared" si="248"/>
        <v>0</v>
      </c>
      <c r="T444" s="983">
        <f t="shared" si="248"/>
        <v>0</v>
      </c>
      <c r="U444" s="983">
        <f t="shared" si="248"/>
        <v>0</v>
      </c>
      <c r="V444" s="983">
        <f t="shared" si="248"/>
        <v>0</v>
      </c>
      <c r="W444" s="983">
        <f t="shared" si="248"/>
        <v>0</v>
      </c>
      <c r="X444" s="983">
        <f t="shared" si="248"/>
        <v>0</v>
      </c>
      <c r="Y444" s="983">
        <f t="shared" si="248"/>
        <v>0</v>
      </c>
      <c r="Z444" s="983">
        <f t="shared" si="248"/>
        <v>0</v>
      </c>
      <c r="AA444" s="983">
        <f t="shared" si="248"/>
        <v>0</v>
      </c>
      <c r="AB444" s="983">
        <f t="shared" si="248"/>
        <v>0</v>
      </c>
      <c r="AC444" s="984">
        <f t="shared" si="248"/>
        <v>0</v>
      </c>
      <c r="AD444" s="1"/>
      <c r="AE444" s="1"/>
    </row>
    <row r="445" spans="9:31" x14ac:dyDescent="0.3">
      <c r="I445" s="1"/>
      <c r="J445" s="1059"/>
      <c r="K445" s="997"/>
      <c r="L445" s="997"/>
      <c r="M445" s="997"/>
      <c r="N445" s="998"/>
      <c r="O445" s="998"/>
      <c r="P445" s="998"/>
      <c r="Q445" s="998"/>
      <c r="R445" s="998"/>
      <c r="S445" s="998"/>
      <c r="T445" s="998"/>
      <c r="U445" s="998"/>
      <c r="V445" s="998"/>
      <c r="W445" s="998"/>
      <c r="X445" s="998"/>
      <c r="Y445" s="998"/>
      <c r="Z445" s="998"/>
      <c r="AA445" s="998"/>
      <c r="AB445" s="998"/>
      <c r="AC445" s="999"/>
      <c r="AD445" s="1"/>
      <c r="AE445" s="1"/>
    </row>
    <row r="446" spans="9:31" ht="17.25" x14ac:dyDescent="0.35">
      <c r="J446" s="989" t="s">
        <v>435</v>
      </c>
      <c r="K446" s="990"/>
      <c r="L446" s="982"/>
      <c r="M446" s="982"/>
      <c r="N446" s="983"/>
      <c r="O446" s="983"/>
      <c r="P446" s="983"/>
      <c r="Q446" s="983"/>
      <c r="R446" s="983"/>
      <c r="S446" s="983"/>
      <c r="T446" s="983"/>
      <c r="U446" s="983"/>
      <c r="V446" s="983"/>
      <c r="W446" s="983"/>
      <c r="X446" s="983"/>
      <c r="Y446" s="983"/>
      <c r="Z446" s="983"/>
      <c r="AA446" s="983"/>
      <c r="AB446" s="983"/>
      <c r="AC446" s="984"/>
    </row>
    <row r="447" spans="9:31" x14ac:dyDescent="0.3">
      <c r="I447" s="1"/>
      <c r="J447" s="1057" t="s">
        <v>30</v>
      </c>
      <c r="K447" s="981"/>
      <c r="L447" s="982"/>
      <c r="M447" s="982"/>
      <c r="N447" s="983">
        <f>N40/$N$365</f>
        <v>0</v>
      </c>
      <c r="O447" s="983">
        <f t="shared" ref="O447:AC448" si="249">O40/$N$365</f>
        <v>0</v>
      </c>
      <c r="P447" s="983">
        <f t="shared" si="249"/>
        <v>0</v>
      </c>
      <c r="Q447" s="983">
        <f t="shared" si="249"/>
        <v>0</v>
      </c>
      <c r="R447" s="983">
        <f t="shared" si="249"/>
        <v>0</v>
      </c>
      <c r="S447" s="983">
        <f t="shared" si="249"/>
        <v>0</v>
      </c>
      <c r="T447" s="983">
        <f t="shared" si="249"/>
        <v>0</v>
      </c>
      <c r="U447" s="983">
        <f t="shared" si="249"/>
        <v>0</v>
      </c>
      <c r="V447" s="983">
        <f t="shared" si="249"/>
        <v>0</v>
      </c>
      <c r="W447" s="983">
        <f t="shared" si="249"/>
        <v>0</v>
      </c>
      <c r="X447" s="983">
        <f t="shared" si="249"/>
        <v>0</v>
      </c>
      <c r="Y447" s="983">
        <f t="shared" si="249"/>
        <v>0</v>
      </c>
      <c r="Z447" s="983">
        <f t="shared" si="249"/>
        <v>0</v>
      </c>
      <c r="AA447" s="983">
        <f t="shared" si="249"/>
        <v>0</v>
      </c>
      <c r="AB447" s="983">
        <f t="shared" si="249"/>
        <v>0</v>
      </c>
      <c r="AC447" s="984">
        <f t="shared" si="249"/>
        <v>0</v>
      </c>
      <c r="AD447" s="1"/>
      <c r="AE447" s="1"/>
    </row>
    <row r="448" spans="9:31" x14ac:dyDescent="0.3">
      <c r="I448" s="1"/>
      <c r="J448" s="1057" t="s">
        <v>442</v>
      </c>
      <c r="K448" s="982"/>
      <c r="L448" s="982"/>
      <c r="M448" s="982"/>
      <c r="N448" s="983">
        <f>N41/$N$365</f>
        <v>0</v>
      </c>
      <c r="O448" s="983">
        <f t="shared" si="249"/>
        <v>0</v>
      </c>
      <c r="P448" s="983">
        <f t="shared" si="249"/>
        <v>0</v>
      </c>
      <c r="Q448" s="983">
        <f t="shared" si="249"/>
        <v>0</v>
      </c>
      <c r="R448" s="983">
        <f t="shared" si="249"/>
        <v>0</v>
      </c>
      <c r="S448" s="983">
        <f t="shared" si="249"/>
        <v>0</v>
      </c>
      <c r="T448" s="983">
        <f t="shared" si="249"/>
        <v>0</v>
      </c>
      <c r="U448" s="983">
        <f t="shared" si="249"/>
        <v>0</v>
      </c>
      <c r="V448" s="983">
        <f t="shared" si="249"/>
        <v>0</v>
      </c>
      <c r="W448" s="983">
        <f t="shared" si="249"/>
        <v>0</v>
      </c>
      <c r="X448" s="983">
        <f t="shared" si="249"/>
        <v>0</v>
      </c>
      <c r="Y448" s="983">
        <f t="shared" si="249"/>
        <v>0</v>
      </c>
      <c r="Z448" s="983">
        <f t="shared" si="249"/>
        <v>0</v>
      </c>
      <c r="AA448" s="983">
        <f t="shared" si="249"/>
        <v>0</v>
      </c>
      <c r="AB448" s="983">
        <f t="shared" si="249"/>
        <v>0</v>
      </c>
      <c r="AC448" s="984">
        <f t="shared" si="249"/>
        <v>0</v>
      </c>
      <c r="AD448" s="1"/>
      <c r="AE448" s="1"/>
    </row>
    <row r="449" spans="8:31" x14ac:dyDescent="0.3">
      <c r="I449" s="1"/>
      <c r="J449" s="1057" t="s">
        <v>31</v>
      </c>
      <c r="K449" s="982"/>
      <c r="L449" s="982"/>
      <c r="M449" s="982"/>
      <c r="N449" s="983">
        <f>N46/$N$365</f>
        <v>0</v>
      </c>
      <c r="O449" s="983">
        <f t="shared" ref="O449:AC452" si="250">O46/$N$365</f>
        <v>0</v>
      </c>
      <c r="P449" s="983">
        <f t="shared" si="250"/>
        <v>0</v>
      </c>
      <c r="Q449" s="983">
        <f t="shared" si="250"/>
        <v>0</v>
      </c>
      <c r="R449" s="983">
        <f t="shared" si="250"/>
        <v>0</v>
      </c>
      <c r="S449" s="983">
        <f t="shared" si="250"/>
        <v>0</v>
      </c>
      <c r="T449" s="983">
        <f t="shared" si="250"/>
        <v>0</v>
      </c>
      <c r="U449" s="983">
        <f t="shared" si="250"/>
        <v>0</v>
      </c>
      <c r="V449" s="983">
        <f t="shared" si="250"/>
        <v>0</v>
      </c>
      <c r="W449" s="983">
        <f t="shared" si="250"/>
        <v>0</v>
      </c>
      <c r="X449" s="983">
        <f t="shared" si="250"/>
        <v>0</v>
      </c>
      <c r="Y449" s="983">
        <f t="shared" si="250"/>
        <v>0</v>
      </c>
      <c r="Z449" s="983">
        <f t="shared" si="250"/>
        <v>0</v>
      </c>
      <c r="AA449" s="983">
        <f t="shared" si="250"/>
        <v>0</v>
      </c>
      <c r="AB449" s="983">
        <f t="shared" si="250"/>
        <v>0</v>
      </c>
      <c r="AC449" s="984">
        <f t="shared" si="250"/>
        <v>0</v>
      </c>
      <c r="AD449" s="1"/>
      <c r="AE449" s="1"/>
    </row>
    <row r="450" spans="8:31" x14ac:dyDescent="0.3">
      <c r="I450" s="1"/>
      <c r="J450" s="1057" t="s">
        <v>32</v>
      </c>
      <c r="K450" s="982"/>
      <c r="L450" s="982"/>
      <c r="M450" s="982"/>
      <c r="N450" s="983">
        <f>N47/$N$365</f>
        <v>0</v>
      </c>
      <c r="O450" s="983">
        <f t="shared" si="250"/>
        <v>0</v>
      </c>
      <c r="P450" s="983">
        <f t="shared" si="250"/>
        <v>0</v>
      </c>
      <c r="Q450" s="983">
        <f t="shared" si="250"/>
        <v>0</v>
      </c>
      <c r="R450" s="983">
        <f t="shared" si="250"/>
        <v>0</v>
      </c>
      <c r="S450" s="983">
        <f t="shared" si="250"/>
        <v>0</v>
      </c>
      <c r="T450" s="983">
        <f t="shared" si="250"/>
        <v>0</v>
      </c>
      <c r="U450" s="983">
        <f t="shared" si="250"/>
        <v>0</v>
      </c>
      <c r="V450" s="983">
        <f t="shared" si="250"/>
        <v>0</v>
      </c>
      <c r="W450" s="983">
        <f t="shared" si="250"/>
        <v>0</v>
      </c>
      <c r="X450" s="983">
        <f t="shared" si="250"/>
        <v>0</v>
      </c>
      <c r="Y450" s="983">
        <f t="shared" si="250"/>
        <v>0</v>
      </c>
      <c r="Z450" s="983">
        <f t="shared" si="250"/>
        <v>0</v>
      </c>
      <c r="AA450" s="983">
        <f t="shared" si="250"/>
        <v>0</v>
      </c>
      <c r="AB450" s="983">
        <f t="shared" si="250"/>
        <v>0</v>
      </c>
      <c r="AC450" s="984">
        <f t="shared" si="250"/>
        <v>0</v>
      </c>
      <c r="AD450" s="1"/>
      <c r="AE450" s="1"/>
    </row>
    <row r="451" spans="8:31" x14ac:dyDescent="0.3">
      <c r="I451" s="1"/>
      <c r="J451" s="1057" t="s">
        <v>33</v>
      </c>
      <c r="K451" s="982"/>
      <c r="L451" s="982"/>
      <c r="M451" s="982"/>
      <c r="N451" s="983">
        <f>N48/$N$365</f>
        <v>0</v>
      </c>
      <c r="O451" s="983">
        <f t="shared" si="250"/>
        <v>0</v>
      </c>
      <c r="P451" s="983">
        <f t="shared" si="250"/>
        <v>0</v>
      </c>
      <c r="Q451" s="983">
        <f t="shared" si="250"/>
        <v>0</v>
      </c>
      <c r="R451" s="983">
        <f t="shared" si="250"/>
        <v>0</v>
      </c>
      <c r="S451" s="983">
        <f t="shared" si="250"/>
        <v>0</v>
      </c>
      <c r="T451" s="983">
        <f t="shared" si="250"/>
        <v>0</v>
      </c>
      <c r="U451" s="983">
        <f t="shared" si="250"/>
        <v>0</v>
      </c>
      <c r="V451" s="983">
        <f t="shared" si="250"/>
        <v>0</v>
      </c>
      <c r="W451" s="983">
        <f t="shared" si="250"/>
        <v>0</v>
      </c>
      <c r="X451" s="983">
        <f t="shared" si="250"/>
        <v>0</v>
      </c>
      <c r="Y451" s="983">
        <f t="shared" si="250"/>
        <v>0</v>
      </c>
      <c r="Z451" s="983">
        <f t="shared" si="250"/>
        <v>0</v>
      </c>
      <c r="AA451" s="983">
        <f t="shared" si="250"/>
        <v>0</v>
      </c>
      <c r="AB451" s="983">
        <f t="shared" si="250"/>
        <v>0</v>
      </c>
      <c r="AC451" s="984">
        <f t="shared" si="250"/>
        <v>0</v>
      </c>
      <c r="AD451" s="1"/>
      <c r="AE451" s="1"/>
    </row>
    <row r="452" spans="8:31" x14ac:dyDescent="0.3">
      <c r="I452" s="1"/>
      <c r="J452" s="1057" t="s">
        <v>34</v>
      </c>
      <c r="K452" s="982"/>
      <c r="L452" s="982"/>
      <c r="M452" s="982"/>
      <c r="N452" s="983">
        <f>N49/$N$365</f>
        <v>0</v>
      </c>
      <c r="O452" s="983">
        <f t="shared" si="250"/>
        <v>0</v>
      </c>
      <c r="P452" s="983">
        <f t="shared" si="250"/>
        <v>0</v>
      </c>
      <c r="Q452" s="983">
        <f t="shared" si="250"/>
        <v>0</v>
      </c>
      <c r="R452" s="983">
        <f t="shared" si="250"/>
        <v>0</v>
      </c>
      <c r="S452" s="983">
        <f t="shared" si="250"/>
        <v>0</v>
      </c>
      <c r="T452" s="983">
        <f t="shared" si="250"/>
        <v>0</v>
      </c>
      <c r="U452" s="983">
        <f t="shared" si="250"/>
        <v>0</v>
      </c>
      <c r="V452" s="983">
        <f t="shared" si="250"/>
        <v>0</v>
      </c>
      <c r="W452" s="983">
        <f t="shared" si="250"/>
        <v>0</v>
      </c>
      <c r="X452" s="983">
        <f t="shared" si="250"/>
        <v>0</v>
      </c>
      <c r="Y452" s="983">
        <f t="shared" si="250"/>
        <v>0</v>
      </c>
      <c r="Z452" s="983">
        <f t="shared" si="250"/>
        <v>0</v>
      </c>
      <c r="AA452" s="983">
        <f t="shared" si="250"/>
        <v>0</v>
      </c>
      <c r="AB452" s="983">
        <f t="shared" si="250"/>
        <v>0</v>
      </c>
      <c r="AC452" s="984">
        <f t="shared" si="250"/>
        <v>0</v>
      </c>
      <c r="AD452" s="1"/>
      <c r="AE452" s="1"/>
    </row>
    <row r="453" spans="8:31" x14ac:dyDescent="0.3">
      <c r="I453" s="1"/>
      <c r="J453" s="1057" t="s">
        <v>437</v>
      </c>
      <c r="K453" s="981"/>
      <c r="L453" s="982"/>
      <c r="M453" s="982"/>
      <c r="N453" s="983">
        <f>N38/$N$365</f>
        <v>0</v>
      </c>
      <c r="O453" s="983">
        <f t="shared" ref="O453:AC453" si="251">O38/$N$365</f>
        <v>0</v>
      </c>
      <c r="P453" s="983">
        <f t="shared" si="251"/>
        <v>0</v>
      </c>
      <c r="Q453" s="983">
        <f t="shared" si="251"/>
        <v>0</v>
      </c>
      <c r="R453" s="983">
        <f t="shared" si="251"/>
        <v>0</v>
      </c>
      <c r="S453" s="983">
        <f t="shared" si="251"/>
        <v>0</v>
      </c>
      <c r="T453" s="983">
        <f t="shared" si="251"/>
        <v>0</v>
      </c>
      <c r="U453" s="983">
        <f t="shared" si="251"/>
        <v>0</v>
      </c>
      <c r="V453" s="983">
        <f t="shared" si="251"/>
        <v>0</v>
      </c>
      <c r="W453" s="983">
        <f t="shared" si="251"/>
        <v>0</v>
      </c>
      <c r="X453" s="983">
        <f t="shared" si="251"/>
        <v>0</v>
      </c>
      <c r="Y453" s="983">
        <f t="shared" si="251"/>
        <v>0</v>
      </c>
      <c r="Z453" s="983">
        <f t="shared" si="251"/>
        <v>0</v>
      </c>
      <c r="AA453" s="983">
        <f t="shared" si="251"/>
        <v>0</v>
      </c>
      <c r="AB453" s="983">
        <f t="shared" si="251"/>
        <v>0</v>
      </c>
      <c r="AC453" s="984">
        <f t="shared" si="251"/>
        <v>0</v>
      </c>
      <c r="AD453" s="1"/>
      <c r="AE453" s="1"/>
    </row>
    <row r="454" spans="8:31" ht="15.75" x14ac:dyDescent="0.25">
      <c r="I454" s="1"/>
      <c r="J454" s="1060" t="s">
        <v>29</v>
      </c>
      <c r="K454" s="992"/>
      <c r="L454" s="992"/>
      <c r="M454" s="992"/>
      <c r="N454" s="993" t="str">
        <f>N39</f>
        <v/>
      </c>
      <c r="O454" s="993" t="str">
        <f t="shared" ref="O454:AC454" si="252">O39</f>
        <v/>
      </c>
      <c r="P454" s="993" t="str">
        <f t="shared" si="252"/>
        <v/>
      </c>
      <c r="Q454" s="993" t="str">
        <f t="shared" si="252"/>
        <v/>
      </c>
      <c r="R454" s="993" t="str">
        <f t="shared" si="252"/>
        <v/>
      </c>
      <c r="S454" s="993" t="str">
        <f t="shared" si="252"/>
        <v/>
      </c>
      <c r="T454" s="993" t="str">
        <f t="shared" si="252"/>
        <v/>
      </c>
      <c r="U454" s="993" t="str">
        <f t="shared" si="252"/>
        <v/>
      </c>
      <c r="V454" s="993" t="str">
        <f t="shared" si="252"/>
        <v/>
      </c>
      <c r="W454" s="993" t="str">
        <f t="shared" si="252"/>
        <v/>
      </c>
      <c r="X454" s="993" t="str">
        <f t="shared" si="252"/>
        <v/>
      </c>
      <c r="Y454" s="993" t="str">
        <f t="shared" si="252"/>
        <v/>
      </c>
      <c r="Z454" s="993" t="str">
        <f t="shared" si="252"/>
        <v/>
      </c>
      <c r="AA454" s="993" t="str">
        <f t="shared" si="252"/>
        <v/>
      </c>
      <c r="AB454" s="993" t="str">
        <f t="shared" si="252"/>
        <v/>
      </c>
      <c r="AC454" s="994" t="str">
        <f t="shared" si="252"/>
        <v/>
      </c>
      <c r="AD454" s="1"/>
      <c r="AE454" s="1"/>
    </row>
    <row r="455" spans="8:31" ht="17.25" thickBot="1" x14ac:dyDescent="0.35">
      <c r="H455" s="423"/>
      <c r="I455" s="424"/>
      <c r="J455" s="423"/>
      <c r="K455" s="425"/>
      <c r="L455" s="423"/>
      <c r="M455" s="423"/>
      <c r="N455" s="423"/>
      <c r="O455" s="423"/>
      <c r="P455" s="423"/>
      <c r="Q455" s="423"/>
      <c r="R455" s="423"/>
      <c r="S455" s="423"/>
      <c r="T455" s="423"/>
      <c r="U455" s="423"/>
      <c r="V455" s="423"/>
      <c r="W455" s="423"/>
      <c r="X455" s="423"/>
      <c r="Y455" s="423"/>
      <c r="Z455" s="423"/>
      <c r="AA455" s="423"/>
      <c r="AB455" s="423"/>
      <c r="AC455" s="423"/>
      <c r="AE455" s="1"/>
    </row>
    <row r="456" spans="8:31" ht="15" thickTop="1" x14ac:dyDescent="0.2">
      <c r="I456" s="1"/>
      <c r="K456" s="1"/>
      <c r="AD456" s="1"/>
      <c r="AE456" s="1"/>
    </row>
    <row r="457" spans="8:31" ht="14.25" x14ac:dyDescent="0.2">
      <c r="I457" s="1"/>
      <c r="K457" s="1"/>
      <c r="AD457" s="1"/>
      <c r="AE457" s="1"/>
    </row>
    <row r="458" spans="8:31" ht="14.25" x14ac:dyDescent="0.2">
      <c r="I458" s="1"/>
      <c r="K458" s="1"/>
      <c r="AD458" s="1"/>
      <c r="AE458" s="1"/>
    </row>
    <row r="459" spans="8:31" ht="21" customHeight="1" x14ac:dyDescent="0.2">
      <c r="I459" s="1"/>
      <c r="K459" s="1"/>
      <c r="AD459" s="1"/>
      <c r="AE459" s="1"/>
    </row>
    <row r="460" spans="8:31" ht="14.25" collapsed="1" x14ac:dyDescent="0.2">
      <c r="I460" s="1"/>
      <c r="K460" s="1"/>
      <c r="AD460" s="1"/>
      <c r="AE460" s="1"/>
    </row>
    <row r="461" spans="8:31" ht="14.25" x14ac:dyDescent="0.2">
      <c r="I461" s="1"/>
      <c r="K461" s="1"/>
      <c r="AD461" s="1"/>
      <c r="AE461" s="1"/>
    </row>
    <row r="462" spans="8:31" ht="14.25" x14ac:dyDescent="0.2">
      <c r="I462" s="1"/>
      <c r="K462" s="1"/>
      <c r="AD462" s="1"/>
      <c r="AE462" s="1"/>
    </row>
    <row r="463" spans="8:31" ht="14.25" x14ac:dyDescent="0.2">
      <c r="I463" s="1"/>
      <c r="K463" s="1"/>
      <c r="AD463" s="1"/>
      <c r="AE463" s="1"/>
    </row>
    <row r="464" spans="8:31" ht="14.25" x14ac:dyDescent="0.2">
      <c r="I464" s="1"/>
      <c r="K464" s="1"/>
      <c r="AD464" s="1"/>
      <c r="AE464" s="1"/>
    </row>
    <row r="465" s="1" customFormat="1" ht="14.25" x14ac:dyDescent="0.2"/>
    <row r="466" s="1" customFormat="1" ht="14.25" x14ac:dyDescent="0.2"/>
    <row r="467" s="1" customFormat="1" ht="14.25" x14ac:dyDescent="0.2"/>
    <row r="468" s="1" customFormat="1" ht="14.25" x14ac:dyDescent="0.2"/>
    <row r="469" s="1" customFormat="1" ht="14.25" x14ac:dyDescent="0.2"/>
    <row r="470" s="1" customFormat="1" ht="14.25" x14ac:dyDescent="0.2"/>
    <row r="471" s="1" customFormat="1" ht="14.25" x14ac:dyDescent="0.2"/>
    <row r="472" s="1" customFormat="1" ht="14.25" x14ac:dyDescent="0.2"/>
    <row r="473" s="1" customFormat="1" ht="14.25" x14ac:dyDescent="0.2"/>
    <row r="474" s="1" customFormat="1" ht="14.25" x14ac:dyDescent="0.2"/>
    <row r="475" s="1" customFormat="1" ht="14.25" x14ac:dyDescent="0.2"/>
    <row r="476" s="1" customFormat="1" ht="14.25" x14ac:dyDescent="0.2"/>
    <row r="477" s="1" customFormat="1" ht="14.25" x14ac:dyDescent="0.2"/>
    <row r="478" s="1" customFormat="1" ht="14.25" x14ac:dyDescent="0.2"/>
    <row r="479" s="1" customFormat="1" ht="14.25" x14ac:dyDescent="0.2"/>
    <row r="480" s="1" customFormat="1" ht="14.25" x14ac:dyDescent="0.2"/>
    <row r="481" s="1" customFormat="1" ht="14.25" x14ac:dyDescent="0.2"/>
    <row r="482" s="1" customFormat="1" ht="14.25" x14ac:dyDescent="0.2"/>
    <row r="483" s="1" customFormat="1" ht="14.25" x14ac:dyDescent="0.2"/>
    <row r="484" s="1" customFormat="1" ht="14.25" x14ac:dyDescent="0.2"/>
    <row r="485" s="1" customFormat="1" ht="14.25" x14ac:dyDescent="0.2"/>
    <row r="486" s="1" customFormat="1" ht="14.25" x14ac:dyDescent="0.2"/>
    <row r="487" s="1" customFormat="1" ht="14.25" x14ac:dyDescent="0.2"/>
    <row r="488" s="1" customFormat="1" ht="14.25" collapsed="1" x14ac:dyDescent="0.2"/>
    <row r="489" s="1" customFormat="1" ht="14.25" x14ac:dyDescent="0.2"/>
    <row r="490" s="1" customFormat="1" ht="14.25" x14ac:dyDescent="0.2"/>
    <row r="491" s="1" customFormat="1" ht="14.25" x14ac:dyDescent="0.2"/>
    <row r="492" s="1" customFormat="1" ht="14.25" x14ac:dyDescent="0.2"/>
    <row r="493" s="1" customFormat="1" ht="14.25" x14ac:dyDescent="0.2"/>
    <row r="494" s="1" customFormat="1" ht="14.25" x14ac:dyDescent="0.2"/>
    <row r="495" s="1" customFormat="1" ht="14.25" x14ac:dyDescent="0.2"/>
    <row r="496" s="1" customFormat="1" ht="14.25" x14ac:dyDescent="0.2"/>
    <row r="497" s="1" customFormat="1" ht="14.25" x14ac:dyDescent="0.2"/>
    <row r="498" s="1" customFormat="1" ht="14.25" x14ac:dyDescent="0.2"/>
    <row r="499" s="1" customFormat="1" ht="14.25" x14ac:dyDescent="0.2"/>
    <row r="500" s="1" customFormat="1" ht="14.25" x14ac:dyDescent="0.2"/>
    <row r="501" s="1" customFormat="1" ht="14.25" x14ac:dyDescent="0.2"/>
    <row r="502" s="1" customFormat="1" ht="14.25" x14ac:dyDescent="0.2"/>
    <row r="503" s="1" customFormat="1" ht="14.25" x14ac:dyDescent="0.2"/>
    <row r="504" s="1" customFormat="1" ht="14.25" x14ac:dyDescent="0.2"/>
    <row r="505" s="1" customFormat="1" ht="14.25" x14ac:dyDescent="0.2"/>
    <row r="506" s="1" customFormat="1" ht="14.25" x14ac:dyDescent="0.2"/>
    <row r="507" s="1" customFormat="1" ht="21" customHeight="1" x14ac:dyDescent="0.2"/>
    <row r="508" s="1" customFormat="1" ht="14.25" collapsed="1" x14ac:dyDescent="0.2"/>
    <row r="509" s="1" customFormat="1" ht="14.25" x14ac:dyDescent="0.2"/>
    <row r="510" s="1" customFormat="1" ht="14.25" x14ac:dyDescent="0.2"/>
    <row r="511" s="1" customFormat="1" ht="14.25" x14ac:dyDescent="0.2"/>
    <row r="512" s="1" customFormat="1" ht="14.25" x14ac:dyDescent="0.2"/>
    <row r="513" s="1" customFormat="1" ht="14.25" x14ac:dyDescent="0.2"/>
    <row r="514" s="1" customFormat="1" ht="14.25" x14ac:dyDescent="0.2"/>
    <row r="515" s="1" customFormat="1" ht="14.25" x14ac:dyDescent="0.2"/>
    <row r="516" s="1" customFormat="1" ht="14.25" x14ac:dyDescent="0.2"/>
    <row r="517" s="1" customFormat="1" ht="14.25" x14ac:dyDescent="0.2"/>
    <row r="518" s="1" customFormat="1" ht="14.25" x14ac:dyDescent="0.2"/>
    <row r="519" s="1" customFormat="1" ht="14.25" x14ac:dyDescent="0.2"/>
    <row r="520" s="1" customFormat="1" ht="14.25" x14ac:dyDescent="0.2"/>
    <row r="521" s="1" customFormat="1" ht="14.25" x14ac:dyDescent="0.2"/>
    <row r="522" s="1" customFormat="1" ht="14.25" x14ac:dyDescent="0.2"/>
    <row r="523" s="1" customFormat="1" ht="14.25" x14ac:dyDescent="0.2"/>
    <row r="524" s="1" customFormat="1" ht="14.25" x14ac:dyDescent="0.2"/>
    <row r="525" s="1" customFormat="1" ht="14.25" x14ac:dyDescent="0.2"/>
    <row r="526" s="1" customFormat="1" ht="14.25" x14ac:dyDescent="0.2"/>
    <row r="527" s="1" customFormat="1" ht="14.25" x14ac:dyDescent="0.2"/>
    <row r="528" s="1" customFormat="1" ht="14.25" x14ac:dyDescent="0.2"/>
    <row r="529" s="1" customFormat="1" ht="14.25" x14ac:dyDescent="0.2"/>
    <row r="530" s="1" customFormat="1" ht="14.25" x14ac:dyDescent="0.2"/>
    <row r="531" s="1" customFormat="1" ht="14.25" x14ac:dyDescent="0.2"/>
    <row r="532" s="1" customFormat="1" ht="14.25" x14ac:dyDescent="0.2"/>
    <row r="533" s="1" customFormat="1" ht="14.25" x14ac:dyDescent="0.2"/>
    <row r="534" s="1" customFormat="1" ht="14.25" x14ac:dyDescent="0.2"/>
    <row r="535" s="1" customFormat="1" ht="14.25" x14ac:dyDescent="0.2"/>
    <row r="536" s="1" customFormat="1" ht="14.25" x14ac:dyDescent="0.2"/>
    <row r="537" s="1" customFormat="1" ht="14.25" x14ac:dyDescent="0.2"/>
    <row r="538" s="1" customFormat="1" ht="14.25" x14ac:dyDescent="0.2"/>
    <row r="539" s="1" customFormat="1" ht="14.25" x14ac:dyDescent="0.2"/>
    <row r="540" s="1" customFormat="1" ht="14.25" x14ac:dyDescent="0.2"/>
    <row r="541" s="1" customFormat="1" ht="14.25" x14ac:dyDescent="0.2"/>
    <row r="542" s="1" customFormat="1" ht="14.25" x14ac:dyDescent="0.2"/>
    <row r="543" s="1" customFormat="1" ht="14.25" x14ac:dyDescent="0.2"/>
    <row r="544" s="1" customFormat="1" ht="14.25" x14ac:dyDescent="0.2"/>
    <row r="545" s="1" customFormat="1" ht="14.25" x14ac:dyDescent="0.2"/>
    <row r="546" s="1" customFormat="1" ht="14.25" x14ac:dyDescent="0.2"/>
    <row r="547" s="1" customFormat="1" ht="14.25" x14ac:dyDescent="0.2"/>
    <row r="548" s="1" customFormat="1" ht="14.25" x14ac:dyDescent="0.2"/>
    <row r="549" s="1" customFormat="1" ht="14.25" x14ac:dyDescent="0.2"/>
    <row r="550" s="1" customFormat="1" ht="21" customHeight="1" x14ac:dyDescent="0.2"/>
    <row r="551" s="1" customFormat="1" ht="14.25" x14ac:dyDescent="0.2"/>
    <row r="552" s="1" customFormat="1" ht="14.25" x14ac:dyDescent="0.2"/>
    <row r="553" s="1" customFormat="1" ht="14.25" x14ac:dyDescent="0.2"/>
    <row r="554" s="1" customFormat="1" ht="14.25" x14ac:dyDescent="0.2"/>
    <row r="555" s="1" customFormat="1" ht="14.25" x14ac:dyDescent="0.2"/>
    <row r="556" s="1" customFormat="1" ht="14.25" x14ac:dyDescent="0.2"/>
    <row r="557" s="1" customFormat="1" ht="14.25" x14ac:dyDescent="0.2"/>
    <row r="558" s="1" customFormat="1" ht="14.25" x14ac:dyDescent="0.2"/>
    <row r="559" s="1" customFormat="1" ht="14.25" x14ac:dyDescent="0.2"/>
    <row r="560" s="1" customFormat="1" ht="14.25" x14ac:dyDescent="0.2"/>
    <row r="561" s="1" customFormat="1" ht="14.25" x14ac:dyDescent="0.2"/>
    <row r="562" s="1" customFormat="1" ht="14.25" x14ac:dyDescent="0.2"/>
    <row r="563" s="1" customFormat="1" ht="14.25" x14ac:dyDescent="0.2"/>
    <row r="564" s="1" customFormat="1" ht="14.25" x14ac:dyDescent="0.2"/>
    <row r="565" s="1" customFormat="1" ht="14.25" x14ac:dyDescent="0.2"/>
    <row r="566" s="1" customFormat="1" ht="14.25" x14ac:dyDescent="0.2"/>
    <row r="567" s="1" customFormat="1" ht="14.25" x14ac:dyDescent="0.2"/>
    <row r="568" s="1" customFormat="1" ht="14.25" x14ac:dyDescent="0.2"/>
    <row r="569" s="1" customFormat="1" ht="14.25" x14ac:dyDescent="0.2"/>
    <row r="570" s="1" customFormat="1" ht="14.25" x14ac:dyDescent="0.2"/>
    <row r="571" s="1" customFormat="1" ht="14.25" x14ac:dyDescent="0.2"/>
    <row r="572" s="1" customFormat="1" ht="14.25" x14ac:dyDescent="0.2"/>
    <row r="573" s="1" customFormat="1" ht="14.25" x14ac:dyDescent="0.2"/>
    <row r="574" s="1" customFormat="1" ht="14.25" x14ac:dyDescent="0.2"/>
    <row r="575" s="1" customFormat="1" ht="14.25" x14ac:dyDescent="0.2"/>
    <row r="576" s="1" customFormat="1" ht="14.25" x14ac:dyDescent="0.2"/>
    <row r="577" s="1" customFormat="1" ht="14.25" x14ac:dyDescent="0.2"/>
    <row r="578" s="1" customFormat="1" ht="14.25" x14ac:dyDescent="0.2"/>
    <row r="579" s="1" customFormat="1" ht="14.25" x14ac:dyDescent="0.2"/>
    <row r="580" s="1" customFormat="1" ht="14.25" x14ac:dyDescent="0.2"/>
    <row r="581" s="1" customFormat="1" ht="14.25" x14ac:dyDescent="0.2"/>
    <row r="582" s="1" customFormat="1" ht="14.25" x14ac:dyDescent="0.2"/>
    <row r="583" s="1" customFormat="1" ht="14.25" x14ac:dyDescent="0.2"/>
    <row r="584" s="1" customFormat="1" ht="14.25" x14ac:dyDescent="0.2"/>
    <row r="585" s="1" customFormat="1" ht="14.25" x14ac:dyDescent="0.2"/>
    <row r="586" s="1" customFormat="1" ht="14.25" x14ac:dyDescent="0.2"/>
    <row r="587" s="1" customFormat="1" ht="14.25" x14ac:dyDescent="0.2"/>
    <row r="588" s="1" customFormat="1" ht="14.25" x14ac:dyDescent="0.2"/>
    <row r="589" s="1" customFormat="1" ht="14.25" x14ac:dyDescent="0.2"/>
    <row r="590" s="1" customFormat="1" ht="14.25" x14ac:dyDescent="0.2"/>
    <row r="591" s="1" customFormat="1" ht="21" customHeight="1" x14ac:dyDescent="0.2"/>
    <row r="592" s="1" customFormat="1" ht="25.5" customHeight="1" collapsed="1" x14ac:dyDescent="0.2"/>
    <row r="593" s="1" customFormat="1" ht="14.25" x14ac:dyDescent="0.2"/>
    <row r="594" s="1" customFormat="1" ht="14.25" x14ac:dyDescent="0.2"/>
    <row r="595" s="1" customFormat="1" ht="14.25" x14ac:dyDescent="0.2"/>
    <row r="596" s="1" customFormat="1" ht="14.25" x14ac:dyDescent="0.2"/>
    <row r="597" s="1" customFormat="1" ht="14.25" x14ac:dyDescent="0.2"/>
    <row r="598" s="1" customFormat="1" ht="14.25" x14ac:dyDescent="0.2"/>
    <row r="599" s="1" customFormat="1" ht="14.25" x14ac:dyDescent="0.2"/>
    <row r="600" s="1" customFormat="1" ht="14.25" x14ac:dyDescent="0.2"/>
    <row r="601" s="1" customFormat="1" ht="14.25" x14ac:dyDescent="0.2"/>
    <row r="602" s="1" customFormat="1" ht="14.25" x14ac:dyDescent="0.2"/>
    <row r="603" s="1" customFormat="1" ht="14.25" x14ac:dyDescent="0.2"/>
    <row r="604" s="1" customFormat="1" ht="14.25" x14ac:dyDescent="0.2"/>
    <row r="605" s="1" customFormat="1" ht="14.25" x14ac:dyDescent="0.2"/>
    <row r="606" s="1" customFormat="1" ht="14.25" x14ac:dyDescent="0.2"/>
    <row r="607" s="1" customFormat="1" ht="14.25" x14ac:dyDescent="0.2"/>
    <row r="608" s="1" customFormat="1" ht="14.25" x14ac:dyDescent="0.2"/>
    <row r="609" s="1" customFormat="1" ht="14.25" x14ac:dyDescent="0.2"/>
    <row r="610" s="1" customFormat="1" ht="14.25" x14ac:dyDescent="0.2"/>
    <row r="611" s="1" customFormat="1" ht="14.25" x14ac:dyDescent="0.2"/>
    <row r="612" s="1" customFormat="1" ht="14.25" x14ac:dyDescent="0.2"/>
    <row r="613" s="1" customFormat="1" ht="14.25" x14ac:dyDescent="0.2"/>
    <row r="614" s="1" customFormat="1" ht="18.75" customHeight="1" x14ac:dyDescent="0.2"/>
    <row r="615" s="1" customFormat="1" ht="14.25" x14ac:dyDescent="0.2"/>
    <row r="616" s="1" customFormat="1" ht="14.25" x14ac:dyDescent="0.2"/>
    <row r="617" s="1" customFormat="1" ht="14.25" x14ac:dyDescent="0.2"/>
    <row r="618" s="1" customFormat="1" ht="14.25" x14ac:dyDescent="0.2"/>
    <row r="619" s="1" customFormat="1" ht="14.25" x14ac:dyDescent="0.2"/>
    <row r="620" s="1" customFormat="1" ht="14.25" x14ac:dyDescent="0.2"/>
    <row r="621" s="1" customFormat="1" ht="14.25" x14ac:dyDescent="0.2"/>
    <row r="622" s="1" customFormat="1" ht="14.25" x14ac:dyDescent="0.2"/>
    <row r="623" s="1" customFormat="1" ht="14.25" x14ac:dyDescent="0.2"/>
    <row r="624" s="1" customFormat="1" ht="14.25" x14ac:dyDescent="0.2"/>
    <row r="625" s="1" customFormat="1" ht="21" customHeight="1" x14ac:dyDescent="0.2"/>
    <row r="626" s="1" customFormat="1" ht="14.25" collapsed="1" x14ac:dyDescent="0.2"/>
    <row r="627" s="1" customFormat="1" ht="14.25" x14ac:dyDescent="0.2"/>
    <row r="628" s="1" customFormat="1" ht="14.25" x14ac:dyDescent="0.2"/>
    <row r="629" s="1" customFormat="1" ht="14.25" x14ac:dyDescent="0.2"/>
    <row r="630" s="1" customFormat="1" ht="14.25" x14ac:dyDescent="0.2"/>
    <row r="631" s="1" customFormat="1" ht="14.25" x14ac:dyDescent="0.2"/>
    <row r="632" s="1" customFormat="1" ht="14.25" x14ac:dyDescent="0.2"/>
    <row r="633" s="1" customFormat="1" ht="14.25" x14ac:dyDescent="0.2"/>
    <row r="634" s="1" customFormat="1" ht="14.25" x14ac:dyDescent="0.2"/>
    <row r="635" s="1" customFormat="1" ht="14.25" x14ac:dyDescent="0.2"/>
    <row r="636" s="1" customFormat="1" ht="14.25" x14ac:dyDescent="0.2"/>
    <row r="637" s="1" customFormat="1" ht="14.25" x14ac:dyDescent="0.2"/>
    <row r="638" s="1" customFormat="1" ht="14.25" x14ac:dyDescent="0.2"/>
    <row r="639" s="1" customFormat="1" ht="22.5" customHeight="1" x14ac:dyDescent="0.2"/>
    <row r="640" s="1" customFormat="1" ht="14.25" x14ac:dyDescent="0.2"/>
    <row r="641" s="1" customFormat="1" ht="14.25" x14ac:dyDescent="0.2"/>
    <row r="642" s="1" customFormat="1" ht="14.25" x14ac:dyDescent="0.2"/>
    <row r="643" s="1" customFormat="1" ht="14.25" x14ac:dyDescent="0.2"/>
    <row r="644" s="1" customFormat="1" ht="14.25" x14ac:dyDescent="0.2"/>
    <row r="645" s="1" customFormat="1" ht="14.25" x14ac:dyDescent="0.2"/>
    <row r="646" s="1" customFormat="1" ht="14.25" x14ac:dyDescent="0.2"/>
    <row r="647" s="1" customFormat="1" ht="14.25" x14ac:dyDescent="0.2"/>
    <row r="648" s="1" customFormat="1" ht="14.25" x14ac:dyDescent="0.2"/>
    <row r="649" s="1" customFormat="1" ht="14.25" x14ac:dyDescent="0.2"/>
    <row r="650" s="1" customFormat="1" ht="14.25" x14ac:dyDescent="0.2"/>
    <row r="651" s="1" customFormat="1" ht="14.25" x14ac:dyDescent="0.2"/>
    <row r="652" s="1" customFormat="1" ht="14.25" x14ac:dyDescent="0.2"/>
    <row r="653" s="1" customFormat="1" ht="14.25" x14ac:dyDescent="0.2"/>
    <row r="654" s="1" customFormat="1" ht="14.25" x14ac:dyDescent="0.2"/>
    <row r="655" s="1" customFormat="1" ht="14.25" x14ac:dyDescent="0.2"/>
    <row r="656" s="1" customFormat="1" ht="14.25" x14ac:dyDescent="0.2"/>
    <row r="657" s="1" customFormat="1" ht="14.25" x14ac:dyDescent="0.2"/>
    <row r="658" s="1" customFormat="1" ht="14.25" x14ac:dyDescent="0.2"/>
    <row r="659" s="1" customFormat="1" ht="14.25" x14ac:dyDescent="0.2"/>
    <row r="660" s="1" customFormat="1" ht="14.25" x14ac:dyDescent="0.2"/>
    <row r="661" s="1" customFormat="1" ht="14.25" x14ac:dyDescent="0.2"/>
    <row r="662" s="1" customFormat="1" ht="14.25" x14ac:dyDescent="0.2"/>
    <row r="663" s="1" customFormat="1" ht="14.25" x14ac:dyDescent="0.2"/>
    <row r="664" s="1" customFormat="1" ht="14.25" x14ac:dyDescent="0.2"/>
    <row r="665" s="1" customFormat="1" ht="14.25" x14ac:dyDescent="0.2"/>
    <row r="666" s="1" customFormat="1" ht="14.25" x14ac:dyDescent="0.2"/>
    <row r="667" s="1" customFormat="1" ht="14.25" x14ac:dyDescent="0.2"/>
    <row r="668" s="1" customFormat="1" ht="14.25" x14ac:dyDescent="0.2"/>
    <row r="669" s="1" customFormat="1" ht="14.25" x14ac:dyDescent="0.2"/>
    <row r="670" s="1" customFormat="1" ht="14.25" x14ac:dyDescent="0.2"/>
    <row r="671" s="1" customFormat="1" ht="14.25" x14ac:dyDescent="0.2"/>
    <row r="672" s="1" customFormat="1" ht="14.25" x14ac:dyDescent="0.2"/>
    <row r="673" s="1" customFormat="1" ht="14.25" x14ac:dyDescent="0.2"/>
    <row r="674" s="1" customFormat="1" ht="14.25" x14ac:dyDescent="0.2"/>
    <row r="675" s="1" customFormat="1" ht="14.25" x14ac:dyDescent="0.2"/>
    <row r="676" s="1" customFormat="1" ht="14.25" x14ac:dyDescent="0.2"/>
    <row r="677" s="1" customFormat="1" ht="14.25" x14ac:dyDescent="0.2"/>
    <row r="678" s="1" customFormat="1" ht="14.25" x14ac:dyDescent="0.2"/>
    <row r="679" s="1" customFormat="1" ht="14.25" x14ac:dyDescent="0.2"/>
    <row r="680" s="1" customFormat="1" ht="14.25" x14ac:dyDescent="0.2"/>
    <row r="681" s="1" customFormat="1" ht="14.25" x14ac:dyDescent="0.2"/>
    <row r="682" s="1" customFormat="1" ht="14.25" x14ac:dyDescent="0.2"/>
    <row r="683" s="1" customFormat="1" ht="14.25" x14ac:dyDescent="0.2"/>
    <row r="684" s="1" customFormat="1" ht="14.25" x14ac:dyDescent="0.2"/>
    <row r="685" s="1" customFormat="1" ht="14.25" x14ac:dyDescent="0.2"/>
    <row r="686" s="1" customFormat="1" ht="14.25" x14ac:dyDescent="0.2"/>
    <row r="687" s="1" customFormat="1" ht="14.25" x14ac:dyDescent="0.2"/>
    <row r="688" s="1" customFormat="1" ht="14.25" x14ac:dyDescent="0.2"/>
    <row r="689" s="1" customFormat="1" ht="14.25" x14ac:dyDescent="0.2"/>
    <row r="690" s="1" customFormat="1" ht="14.25" x14ac:dyDescent="0.2"/>
    <row r="691" s="1" customFormat="1" ht="14.25" x14ac:dyDescent="0.2"/>
    <row r="692" s="1" customFormat="1" ht="14.25" x14ac:dyDescent="0.2"/>
    <row r="693" s="1" customFormat="1" ht="21" customHeight="1" x14ac:dyDescent="0.2"/>
    <row r="694" s="1" customFormat="1" ht="14.25" collapsed="1" x14ac:dyDescent="0.2"/>
    <row r="695" s="1" customFormat="1" ht="14.25" x14ac:dyDescent="0.2"/>
    <row r="696" s="1" customFormat="1" ht="14.25" x14ac:dyDescent="0.2"/>
    <row r="697" s="1" customFormat="1" ht="14.25" x14ac:dyDescent="0.2"/>
    <row r="698" s="1" customFormat="1" ht="14.25" x14ac:dyDescent="0.2"/>
    <row r="699" s="1" customFormat="1" ht="14.25" x14ac:dyDescent="0.2"/>
    <row r="700" s="1" customFormat="1" ht="14.25" x14ac:dyDescent="0.2"/>
    <row r="701" s="1" customFormat="1" ht="14.25" x14ac:dyDescent="0.2"/>
    <row r="702" s="1" customFormat="1" ht="14.25" x14ac:dyDescent="0.2"/>
    <row r="703" s="1" customFormat="1" ht="14.25" x14ac:dyDescent="0.2"/>
    <row r="704" s="1" customFormat="1" ht="14.25" x14ac:dyDescent="0.2"/>
    <row r="705" s="1" customFormat="1" ht="14.25" x14ac:dyDescent="0.2"/>
    <row r="706" s="1" customFormat="1" ht="14.25" x14ac:dyDescent="0.2"/>
    <row r="707" s="1" customFormat="1" ht="14.25" x14ac:dyDescent="0.2"/>
    <row r="708" s="1" customFormat="1" ht="14.25" x14ac:dyDescent="0.2"/>
    <row r="709" s="1" customFormat="1" ht="14.25" x14ac:dyDescent="0.2"/>
    <row r="710" s="1" customFormat="1" ht="14.25" x14ac:dyDescent="0.2"/>
    <row r="711" s="1" customFormat="1" ht="14.25" x14ac:dyDescent="0.2"/>
    <row r="712" s="1" customFormat="1" ht="14.25" x14ac:dyDescent="0.2"/>
    <row r="713" s="1" customFormat="1" ht="14.25" x14ac:dyDescent="0.2"/>
    <row r="714" s="1" customFormat="1" ht="14.25" x14ac:dyDescent="0.2"/>
    <row r="715" s="1" customFormat="1" ht="14.25" x14ac:dyDescent="0.2"/>
    <row r="716" s="1" customFormat="1" ht="14.25" x14ac:dyDescent="0.2"/>
    <row r="717" s="1" customFormat="1" ht="14.25" x14ac:dyDescent="0.2"/>
    <row r="718" s="1" customFormat="1" ht="14.25" x14ac:dyDescent="0.2"/>
    <row r="719" s="1" customFormat="1" ht="14.25" x14ac:dyDescent="0.2"/>
    <row r="720" s="1" customFormat="1" ht="14.25" x14ac:dyDescent="0.2"/>
    <row r="721" s="1" customFormat="1" ht="14.25" x14ac:dyDescent="0.2"/>
    <row r="722" s="1" customFormat="1" ht="14.25" x14ac:dyDescent="0.2"/>
    <row r="723" s="1" customFormat="1" ht="14.25" x14ac:dyDescent="0.2"/>
    <row r="724" s="1" customFormat="1" ht="14.25" x14ac:dyDescent="0.2"/>
    <row r="725" s="1" customFormat="1" ht="14.25" x14ac:dyDescent="0.2"/>
    <row r="726" s="1" customFormat="1" ht="14.25" x14ac:dyDescent="0.2"/>
    <row r="727" s="1" customFormat="1" ht="14.25" x14ac:dyDescent="0.2"/>
    <row r="728" s="1" customFormat="1" ht="14.25" x14ac:dyDescent="0.2"/>
    <row r="729" s="1" customFormat="1" ht="14.25" x14ac:dyDescent="0.2"/>
    <row r="730" s="1" customFormat="1" ht="14.25" x14ac:dyDescent="0.2"/>
    <row r="731" s="1" customFormat="1" ht="14.25" x14ac:dyDescent="0.2"/>
    <row r="732" s="1" customFormat="1" ht="14.25" x14ac:dyDescent="0.2"/>
    <row r="733" s="1" customFormat="1" ht="14.25" x14ac:dyDescent="0.2"/>
    <row r="734" s="1" customFormat="1" ht="14.25" x14ac:dyDescent="0.2"/>
    <row r="735" s="1" customFormat="1" ht="14.25" x14ac:dyDescent="0.2"/>
    <row r="736" s="1" customFormat="1" ht="14.25" x14ac:dyDescent="0.2"/>
    <row r="737" s="1" customFormat="1" ht="21" customHeight="1" x14ac:dyDescent="0.2"/>
    <row r="738" s="1" customFormat="1" ht="36.75" customHeight="1" x14ac:dyDescent="0.2"/>
    <row r="739" s="1" customFormat="1" ht="18.75" customHeight="1" x14ac:dyDescent="0.2"/>
    <row r="740" s="1" customFormat="1" ht="18.75" customHeight="1" x14ac:dyDescent="0.2"/>
    <row r="741" s="1" customFormat="1" ht="18.75" customHeight="1" x14ac:dyDescent="0.2"/>
    <row r="742" s="1" customFormat="1" ht="18.75" customHeight="1" x14ac:dyDescent="0.2"/>
    <row r="743" s="1" customFormat="1" ht="18.75" customHeight="1" x14ac:dyDescent="0.2"/>
    <row r="744" s="1" customFormat="1" ht="18.75" customHeight="1" x14ac:dyDescent="0.2"/>
    <row r="745" s="1" customFormat="1" ht="18.75" customHeight="1" x14ac:dyDescent="0.2"/>
    <row r="746" s="1" customFormat="1" ht="18.75" customHeight="1" x14ac:dyDescent="0.2"/>
    <row r="747" s="1" customFormat="1" ht="18.75" customHeight="1" x14ac:dyDescent="0.2"/>
    <row r="748" s="1" customFormat="1" ht="18.75" customHeight="1" x14ac:dyDescent="0.2"/>
    <row r="749" s="1" customFormat="1" ht="18.75" customHeight="1" x14ac:dyDescent="0.2"/>
    <row r="750" s="1" customFormat="1" ht="18.75" customHeight="1" x14ac:dyDescent="0.2"/>
    <row r="751" s="1" customFormat="1" ht="18.75" customHeight="1" x14ac:dyDescent="0.2"/>
    <row r="752" s="1" customFormat="1" ht="18.75" customHeight="1" x14ac:dyDescent="0.2"/>
    <row r="753" s="1" customFormat="1" ht="18.75" customHeight="1" x14ac:dyDescent="0.2"/>
    <row r="754" s="1" customFormat="1" ht="18.75" customHeight="1" x14ac:dyDescent="0.2"/>
    <row r="755" s="1" customFormat="1" ht="18.75" customHeight="1" x14ac:dyDescent="0.2"/>
    <row r="756" s="1" customFormat="1" ht="18.75" customHeight="1" x14ac:dyDescent="0.2"/>
    <row r="757" s="1" customFormat="1" ht="14.25" x14ac:dyDescent="0.2"/>
    <row r="758" s="1" customFormat="1" ht="14.25" x14ac:dyDescent="0.2"/>
    <row r="759" s="1" customFormat="1" ht="14.25" x14ac:dyDescent="0.2"/>
    <row r="760" s="1" customFormat="1" ht="14.25" x14ac:dyDescent="0.2"/>
    <row r="761" s="1" customFormat="1" ht="14.25" x14ac:dyDescent="0.2"/>
    <row r="762" s="1" customFormat="1" ht="3.75" customHeight="1" x14ac:dyDescent="0.2"/>
    <row r="763" s="1" customFormat="1" ht="14.25" x14ac:dyDescent="0.2"/>
    <row r="764" s="1" customFormat="1" ht="14.25" x14ac:dyDescent="0.2"/>
    <row r="765" s="1" customFormat="1" ht="14.25" x14ac:dyDescent="0.2"/>
    <row r="766" s="1" customFormat="1" ht="14.25" x14ac:dyDescent="0.2"/>
    <row r="767" s="1" customFormat="1" ht="14.25" x14ac:dyDescent="0.2"/>
    <row r="768" s="1" customFormat="1" ht="6.75" customHeight="1" x14ac:dyDescent="0.2"/>
    <row r="769" s="1" customFormat="1" ht="14.25" x14ac:dyDescent="0.2"/>
    <row r="770" s="1" customFormat="1" ht="14.25" x14ac:dyDescent="0.2"/>
    <row r="771" s="1" customFormat="1" ht="14.25" x14ac:dyDescent="0.2"/>
    <row r="772" s="1" customFormat="1" ht="14.25" x14ac:dyDescent="0.2"/>
    <row r="773" s="1" customFormat="1" ht="14.25" x14ac:dyDescent="0.2"/>
    <row r="774" s="1" customFormat="1" ht="14.25" x14ac:dyDescent="0.2"/>
    <row r="775" s="1" customFormat="1" ht="14.25" x14ac:dyDescent="0.2"/>
    <row r="776" s="1" customFormat="1" ht="14.25" x14ac:dyDescent="0.2"/>
    <row r="777" s="1" customFormat="1" ht="14.25" x14ac:dyDescent="0.2"/>
    <row r="778" s="1" customFormat="1" ht="14.25" x14ac:dyDescent="0.2"/>
    <row r="779" s="1" customFormat="1" ht="14.25" x14ac:dyDescent="0.2"/>
    <row r="780" s="1" customFormat="1" ht="14.25" x14ac:dyDescent="0.2"/>
    <row r="781" s="1" customFormat="1" ht="14.25" x14ac:dyDescent="0.2"/>
    <row r="782" s="1" customFormat="1" ht="14.25" x14ac:dyDescent="0.2"/>
    <row r="783" s="1" customFormat="1" ht="14.25" x14ac:dyDescent="0.2"/>
    <row r="784" s="1" customFormat="1" ht="14.25" x14ac:dyDescent="0.2"/>
    <row r="785" s="1" customFormat="1" ht="14.25" x14ac:dyDescent="0.2"/>
    <row r="786" s="1" customFormat="1" ht="14.25" x14ac:dyDescent="0.2"/>
    <row r="787" s="1" customFormat="1" ht="14.25" x14ac:dyDescent="0.2"/>
    <row r="788" s="1" customFormat="1" ht="14.25" x14ac:dyDescent="0.2"/>
    <row r="789" s="1" customFormat="1" ht="14.25" x14ac:dyDescent="0.2"/>
    <row r="790" s="1" customFormat="1" ht="14.25" x14ac:dyDescent="0.2"/>
    <row r="791" s="1" customFormat="1" ht="14.25" x14ac:dyDescent="0.2"/>
    <row r="792" s="1" customFormat="1" ht="14.25" x14ac:dyDescent="0.2"/>
    <row r="793" s="1" customFormat="1" ht="14.25" x14ac:dyDescent="0.2"/>
    <row r="794" s="1" customFormat="1" ht="14.25" x14ac:dyDescent="0.2"/>
    <row r="795" s="1" customFormat="1" ht="14.25" x14ac:dyDescent="0.2"/>
    <row r="796" s="1" customFormat="1" ht="14.25" x14ac:dyDescent="0.2"/>
    <row r="797" s="1" customFormat="1" ht="14.25" x14ac:dyDescent="0.2"/>
    <row r="798" s="1" customFormat="1" ht="14.25" x14ac:dyDescent="0.2"/>
    <row r="799" s="1" customFormat="1" ht="14.25" x14ac:dyDescent="0.2"/>
    <row r="800" s="1" customFormat="1" ht="14.25" x14ac:dyDescent="0.2"/>
    <row r="801" s="1" customFormat="1" ht="14.25" x14ac:dyDescent="0.2"/>
    <row r="802" s="1" customFormat="1" ht="14.25" x14ac:dyDescent="0.2"/>
    <row r="803" s="1" customFormat="1" ht="14.25" x14ac:dyDescent="0.2"/>
    <row r="804" s="1" customFormat="1" ht="14.25" x14ac:dyDescent="0.2"/>
    <row r="805" s="1" customFormat="1" ht="14.25" x14ac:dyDescent="0.2"/>
    <row r="806" s="1" customFormat="1" ht="14.25" x14ac:dyDescent="0.2"/>
    <row r="807" s="1" customFormat="1" ht="14.25" x14ac:dyDescent="0.2"/>
    <row r="808" s="1" customFormat="1" ht="14.25" x14ac:dyDescent="0.2"/>
    <row r="809" s="1" customFormat="1" ht="14.25" x14ac:dyDescent="0.2"/>
    <row r="810" s="1" customFormat="1" ht="14.25" x14ac:dyDescent="0.2"/>
    <row r="811" s="1" customFormat="1" ht="14.25" x14ac:dyDescent="0.2"/>
    <row r="812" s="1" customFormat="1" ht="14.25" x14ac:dyDescent="0.2"/>
    <row r="813" s="1" customFormat="1" ht="14.25" x14ac:dyDescent="0.2"/>
    <row r="814" s="1" customFormat="1" ht="14.25" x14ac:dyDescent="0.2"/>
    <row r="815" s="1" customFormat="1" ht="14.25" x14ac:dyDescent="0.2"/>
    <row r="816" s="1" customFormat="1" ht="14.25" x14ac:dyDescent="0.2"/>
    <row r="817" s="1" customFormat="1" ht="14.25" x14ac:dyDescent="0.2"/>
    <row r="818" s="1" customFormat="1" ht="14.25" x14ac:dyDescent="0.2"/>
    <row r="819" s="1" customFormat="1" ht="14.25" x14ac:dyDescent="0.2"/>
    <row r="820" s="1" customFormat="1" ht="14.25" x14ac:dyDescent="0.2"/>
    <row r="821" s="1" customFormat="1" ht="14.25" x14ac:dyDescent="0.2"/>
    <row r="822" s="1" customFormat="1" ht="14.25" x14ac:dyDescent="0.2"/>
    <row r="823" s="1" customFormat="1" ht="14.25" x14ac:dyDescent="0.2"/>
    <row r="824" s="1" customFormat="1" ht="14.25" x14ac:dyDescent="0.2"/>
    <row r="825" s="1" customFormat="1" ht="14.25" x14ac:dyDescent="0.2"/>
    <row r="826" s="1" customFormat="1" ht="14.25" x14ac:dyDescent="0.2"/>
    <row r="827" s="1" customFormat="1" ht="14.25" x14ac:dyDescent="0.2"/>
    <row r="828" s="1" customFormat="1" ht="14.25" x14ac:dyDescent="0.2"/>
    <row r="829" s="1" customFormat="1" ht="14.25" x14ac:dyDescent="0.2"/>
    <row r="830" s="1" customFormat="1" ht="14.25" x14ac:dyDescent="0.2"/>
    <row r="831" s="1" customFormat="1" ht="14.25" x14ac:dyDescent="0.2"/>
    <row r="832" s="1" customFormat="1" ht="14.25" x14ac:dyDescent="0.2"/>
    <row r="833" s="1" customFormat="1" ht="14.25" x14ac:dyDescent="0.2"/>
    <row r="834" s="1" customFormat="1" ht="14.25" x14ac:dyDescent="0.2"/>
    <row r="835" s="1" customFormat="1" ht="14.25" x14ac:dyDescent="0.2"/>
    <row r="836" s="1" customFormat="1" ht="14.25" x14ac:dyDescent="0.2"/>
    <row r="837" s="1" customFormat="1" ht="14.25" x14ac:dyDescent="0.2"/>
    <row r="838" s="1" customFormat="1" ht="14.25" x14ac:dyDescent="0.2"/>
    <row r="839" s="1" customFormat="1" ht="14.25" x14ac:dyDescent="0.2"/>
    <row r="840" s="1" customFormat="1" ht="14.25" x14ac:dyDescent="0.2"/>
    <row r="841" s="1" customFormat="1" ht="14.25" x14ac:dyDescent="0.2"/>
    <row r="842" s="1" customFormat="1" ht="14.25" x14ac:dyDescent="0.2"/>
    <row r="843" s="1" customFormat="1" ht="14.25" x14ac:dyDescent="0.2"/>
    <row r="844" s="1" customFormat="1" ht="14.25" x14ac:dyDescent="0.2"/>
    <row r="845" s="1" customFormat="1" ht="14.25" x14ac:dyDescent="0.2"/>
    <row r="846" s="1" customFormat="1" ht="14.25" x14ac:dyDescent="0.2"/>
    <row r="847" s="1" customFormat="1" ht="14.25" x14ac:dyDescent="0.2"/>
    <row r="848" s="1" customFormat="1" ht="14.25" x14ac:dyDescent="0.2"/>
    <row r="849" spans="9:31" ht="14.25" x14ac:dyDescent="0.2">
      <c r="I849" s="1"/>
      <c r="K849" s="1"/>
      <c r="AD849" s="1"/>
      <c r="AE849" s="1"/>
    </row>
    <row r="850" spans="9:31" ht="14.25" x14ac:dyDescent="0.2">
      <c r="I850" s="1"/>
      <c r="K850" s="1"/>
      <c r="AD850" s="1"/>
      <c r="AE850" s="1"/>
    </row>
    <row r="851" spans="9:31" ht="14.25" x14ac:dyDescent="0.2">
      <c r="I851" s="1"/>
      <c r="K851" s="1"/>
      <c r="AD851" s="1"/>
      <c r="AE851" s="1"/>
    </row>
    <row r="852" spans="9:31" ht="14.25" x14ac:dyDescent="0.2">
      <c r="I852" s="1"/>
      <c r="K852" s="1"/>
      <c r="AD852" s="1"/>
      <c r="AE852" s="1"/>
    </row>
    <row r="853" spans="9:31" ht="14.25" x14ac:dyDescent="0.2">
      <c r="I853" s="1"/>
      <c r="K853" s="1"/>
      <c r="AD853" s="1"/>
      <c r="AE853" s="1"/>
    </row>
    <row r="854" spans="9:31" ht="14.25" x14ac:dyDescent="0.2">
      <c r="I854" s="1"/>
      <c r="K854" s="1"/>
      <c r="AD854" s="1"/>
      <c r="AE854" s="1"/>
    </row>
    <row r="855" spans="9:31" ht="14.25" x14ac:dyDescent="0.2">
      <c r="I855" s="1"/>
      <c r="K855" s="1"/>
      <c r="AD855" s="1"/>
      <c r="AE855" s="1"/>
    </row>
    <row r="856" spans="9:31" ht="14.25" x14ac:dyDescent="0.2">
      <c r="I856" s="1"/>
      <c r="K856" s="1"/>
      <c r="AD856" s="1"/>
      <c r="AE856" s="1"/>
    </row>
    <row r="857" spans="9:31" ht="14.25" x14ac:dyDescent="0.2">
      <c r="I857" s="1"/>
      <c r="K857" s="1"/>
      <c r="AD857" s="1"/>
      <c r="AE857" s="1"/>
    </row>
    <row r="858" spans="9:31" ht="14.25" x14ac:dyDescent="0.2">
      <c r="I858" s="1"/>
      <c r="K858" s="1"/>
      <c r="AD858" s="1"/>
      <c r="AE858" s="1"/>
    </row>
    <row r="859" spans="9:31" ht="14.25" x14ac:dyDescent="0.2">
      <c r="I859" s="1"/>
      <c r="K859" s="1"/>
      <c r="AD859" s="1"/>
      <c r="AE859" s="1"/>
    </row>
    <row r="860" spans="9:31" ht="14.25" x14ac:dyDescent="0.2">
      <c r="I860" s="1"/>
      <c r="K860" s="1"/>
      <c r="AD860" s="1"/>
      <c r="AE860" s="1"/>
    </row>
    <row r="861" spans="9:31" ht="14.25" x14ac:dyDescent="0.2">
      <c r="I861" s="1"/>
      <c r="K861" s="1"/>
      <c r="AD861" s="1"/>
      <c r="AE861" s="1"/>
    </row>
    <row r="862" spans="9:31" ht="14.25" x14ac:dyDescent="0.2">
      <c r="I862" s="1"/>
      <c r="K862" s="1"/>
      <c r="AD862" s="1"/>
      <c r="AE862" s="1"/>
    </row>
    <row r="863" spans="9:31" ht="14.25" x14ac:dyDescent="0.2">
      <c r="I863" s="1"/>
      <c r="K863" s="1"/>
      <c r="AD863" s="1"/>
      <c r="AE863" s="1"/>
    </row>
    <row r="864" spans="9:31" ht="14.25" x14ac:dyDescent="0.2">
      <c r="I864" s="1"/>
      <c r="K864" s="1"/>
      <c r="AD864" s="1"/>
    </row>
  </sheetData>
  <sheetProtection algorithmName="SHA-512" hashValue="bZkv6EqPBzx3RcXXAqeFbgTwxxTg4OPKsa/J542gnAf+a7pVJDOR33m0xUTHc4qRyhWxVvNkwHepGGCJdgokTA==" saltValue="DgZl4Iba985NS9aRWfYLcA==" spinCount="100000" sheet="1" formatColumns="0" formatRows="0"/>
  <mergeCells count="39">
    <mergeCell ref="J11:J12"/>
    <mergeCell ref="K34:K35"/>
    <mergeCell ref="K174:K175"/>
    <mergeCell ref="AI67:AL67"/>
    <mergeCell ref="AE68:AH69"/>
    <mergeCell ref="AI68:AJ69"/>
    <mergeCell ref="AK68:AL69"/>
    <mergeCell ref="AE72:AG72"/>
    <mergeCell ref="AE73:AG73"/>
    <mergeCell ref="AE74:AG74"/>
    <mergeCell ref="AE75:AG75"/>
    <mergeCell ref="AE76:AG76"/>
    <mergeCell ref="AE77:AG77"/>
    <mergeCell ref="AE78:AG78"/>
    <mergeCell ref="AE79:AG79"/>
    <mergeCell ref="AE80:AH80"/>
    <mergeCell ref="AE87:AG87"/>
    <mergeCell ref="AE88:AH88"/>
    <mergeCell ref="AE81:AG81"/>
    <mergeCell ref="AE82:AG82"/>
    <mergeCell ref="AE83:AG83"/>
    <mergeCell ref="AE84:AG84"/>
    <mergeCell ref="AE85:AG85"/>
    <mergeCell ref="AR68:AR70"/>
    <mergeCell ref="AS68:AS70"/>
    <mergeCell ref="AT68:AT70"/>
    <mergeCell ref="AH70:AH71"/>
    <mergeCell ref="AE86:AG86"/>
    <mergeCell ref="AN68:AN70"/>
    <mergeCell ref="AO68:AO70"/>
    <mergeCell ref="AP68:AP70"/>
    <mergeCell ref="AE70:AG70"/>
    <mergeCell ref="AE71:AG71"/>
    <mergeCell ref="K390:K391"/>
    <mergeCell ref="I363:J364"/>
    <mergeCell ref="K363:L363"/>
    <mergeCell ref="K364:L364"/>
    <mergeCell ref="K365:L365"/>
    <mergeCell ref="J367:J368"/>
  </mergeCells>
  <phoneticPr fontId="154" type="noConversion"/>
  <conditionalFormatting sqref="A147:K147">
    <cfRule type="cellIs" dxfId="3004" priority="746" operator="equal">
      <formula>0</formula>
    </cfRule>
    <cfRule type="cellIs" dxfId="3003" priority="747" operator="lessThan">
      <formula>0</formula>
    </cfRule>
  </conditionalFormatting>
  <conditionalFormatting sqref="H76">
    <cfRule type="cellIs" dxfId="3002" priority="3771" operator="equal">
      <formula>0</formula>
    </cfRule>
    <cfRule type="cellIs" dxfId="3001" priority="3772" operator="lessThan">
      <formula>0</formula>
    </cfRule>
  </conditionalFormatting>
  <conditionalFormatting sqref="H91">
    <cfRule type="cellIs" dxfId="3000" priority="2692" operator="equal">
      <formula>0</formula>
    </cfRule>
    <cfRule type="cellIs" dxfId="2999" priority="2693" operator="lessThan">
      <formula>0</formula>
    </cfRule>
  </conditionalFormatting>
  <conditionalFormatting sqref="H124:H125">
    <cfRule type="cellIs" dxfId="2998" priority="2996" operator="equal">
      <formula>0</formula>
    </cfRule>
    <cfRule type="cellIs" dxfId="2997" priority="2997" operator="lessThan">
      <formula>0</formula>
    </cfRule>
  </conditionalFormatting>
  <conditionalFormatting sqref="H148:H152">
    <cfRule type="cellIs" dxfId="2996" priority="2507" operator="equal">
      <formula>0</formula>
    </cfRule>
    <cfRule type="cellIs" dxfId="2995" priority="2508" operator="lessThan">
      <formula>0</formula>
    </cfRule>
  </conditionalFormatting>
  <conditionalFormatting sqref="H156:H158">
    <cfRule type="cellIs" dxfId="2994" priority="2461" operator="equal">
      <formula>0</formula>
    </cfRule>
    <cfRule type="cellIs" dxfId="2993" priority="2462" operator="lessThan">
      <formula>0</formula>
    </cfRule>
  </conditionalFormatting>
  <conditionalFormatting sqref="H160:H163">
    <cfRule type="cellIs" dxfId="2992" priority="2439" operator="equal">
      <formula>0</formula>
    </cfRule>
    <cfRule type="cellIs" dxfId="2991" priority="2440" operator="lessThan">
      <formula>0</formula>
    </cfRule>
  </conditionalFormatting>
  <conditionalFormatting sqref="H173:H175">
    <cfRule type="cellIs" dxfId="2990" priority="2623" operator="equal">
      <formula>0</formula>
    </cfRule>
    <cfRule type="cellIs" dxfId="2989" priority="2624" operator="lessThan">
      <formula>0</formula>
    </cfRule>
  </conditionalFormatting>
  <conditionalFormatting sqref="H182:H190">
    <cfRule type="cellIs" dxfId="2988" priority="2569" operator="equal">
      <formula>0</formula>
    </cfRule>
    <cfRule type="cellIs" dxfId="2987" priority="2570" operator="lessThan">
      <formula>0</formula>
    </cfRule>
  </conditionalFormatting>
  <conditionalFormatting sqref="H62:I62">
    <cfRule type="cellIs" dxfId="2986" priority="3784" operator="equal">
      <formula>0</formula>
    </cfRule>
    <cfRule type="cellIs" dxfId="2985" priority="3785" operator="lessThan">
      <formula>0</formula>
    </cfRule>
  </conditionalFormatting>
  <conditionalFormatting sqref="H65:I65 AD65:XFD65">
    <cfRule type="cellIs" dxfId="2984" priority="3781" operator="lessThan">
      <formula>0</formula>
    </cfRule>
  </conditionalFormatting>
  <conditionalFormatting sqref="H65:I65">
    <cfRule type="cellIs" dxfId="2983" priority="3780" operator="equal">
      <formula>0</formula>
    </cfRule>
  </conditionalFormatting>
  <conditionalFormatting sqref="H73:I74">
    <cfRule type="cellIs" dxfId="2982" priority="1625" operator="equal">
      <formula>0</formula>
    </cfRule>
    <cfRule type="cellIs" dxfId="2981" priority="1626" operator="lessThan">
      <formula>0</formula>
    </cfRule>
  </conditionalFormatting>
  <conditionalFormatting sqref="H101:I101">
    <cfRule type="cellIs" dxfId="2980" priority="3112" operator="equal">
      <formula>0</formula>
    </cfRule>
    <cfRule type="cellIs" dxfId="2979" priority="3113" operator="lessThan">
      <formula>0</formula>
    </cfRule>
  </conditionalFormatting>
  <conditionalFormatting sqref="H262:I262">
    <cfRule type="cellIs" dxfId="2978" priority="3765" operator="equal">
      <formula>0</formula>
    </cfRule>
    <cfRule type="cellIs" dxfId="2977" priority="3766" operator="lessThan">
      <formula>0</formula>
    </cfRule>
  </conditionalFormatting>
  <conditionalFormatting sqref="H23:J27 AD23:XFD27">
    <cfRule type="cellIs" dxfId="2976" priority="1675" operator="equal">
      <formula>0</formula>
    </cfRule>
    <cfRule type="cellIs" dxfId="2975" priority="1676" operator="lessThan">
      <formula>0</formula>
    </cfRule>
  </conditionalFormatting>
  <conditionalFormatting sqref="H69:J72">
    <cfRule type="cellIs" dxfId="2974" priority="1418" operator="equal">
      <formula>0</formula>
    </cfRule>
    <cfRule type="cellIs" dxfId="2973" priority="1419" operator="lessThan">
      <formula>0</formula>
    </cfRule>
  </conditionalFormatting>
  <conditionalFormatting sqref="H78:J78">
    <cfRule type="cellIs" dxfId="2972" priority="3068" operator="equal">
      <formula>0</formula>
    </cfRule>
    <cfRule type="cellIs" dxfId="2971" priority="3069" operator="lessThan">
      <formula>0</formula>
    </cfRule>
  </conditionalFormatting>
  <conditionalFormatting sqref="H197:J197">
    <cfRule type="cellIs" dxfId="2970" priority="2639" operator="equal">
      <formula>0</formula>
    </cfRule>
    <cfRule type="cellIs" dxfId="2969" priority="2640" operator="lessThan">
      <formula>0</formula>
    </cfRule>
  </conditionalFormatting>
  <conditionalFormatting sqref="H245:J261">
    <cfRule type="cellIs" dxfId="2968" priority="2806" operator="equal">
      <formula>0</formula>
    </cfRule>
    <cfRule type="cellIs" dxfId="2967" priority="2807" operator="lessThan">
      <formula>0</formula>
    </cfRule>
  </conditionalFormatting>
  <conditionalFormatting sqref="H263:J275">
    <cfRule type="cellIs" dxfId="2966" priority="3192" operator="equal">
      <formula>0</formula>
    </cfRule>
    <cfRule type="cellIs" dxfId="2965" priority="3193" operator="lessThan">
      <formula>0</formula>
    </cfRule>
  </conditionalFormatting>
  <conditionalFormatting sqref="H57:K57">
    <cfRule type="cellIs" dxfId="2964" priority="1125" operator="equal">
      <formula>0</formula>
    </cfRule>
    <cfRule type="cellIs" dxfId="2963" priority="1126" operator="lessThan">
      <formula>0</formula>
    </cfRule>
  </conditionalFormatting>
  <conditionalFormatting sqref="H234:K234">
    <cfRule type="cellIs" dxfId="2962" priority="1136" operator="equal">
      <formula>0</formula>
    </cfRule>
    <cfRule type="cellIs" dxfId="2961" priority="1137" operator="lessThan">
      <formula>0</formula>
    </cfRule>
  </conditionalFormatting>
  <conditionalFormatting sqref="H39:L39">
    <cfRule type="cellIs" dxfId="2960" priority="730" operator="equal">
      <formula>0</formula>
    </cfRule>
    <cfRule type="cellIs" dxfId="2959" priority="731" operator="lessThan">
      <formula>0</formula>
    </cfRule>
  </conditionalFormatting>
  <conditionalFormatting sqref="H105:L105">
    <cfRule type="cellIs" dxfId="2958" priority="724" operator="equal">
      <formula>0</formula>
    </cfRule>
    <cfRule type="cellIs" dxfId="2957" priority="725" operator="lessThan">
      <formula>0</formula>
    </cfRule>
  </conditionalFormatting>
  <conditionalFormatting sqref="H146:L146">
    <cfRule type="cellIs" dxfId="2956" priority="562" operator="equal">
      <formula>0</formula>
    </cfRule>
    <cfRule type="cellIs" dxfId="2955" priority="563" operator="lessThan">
      <formula>0</formula>
    </cfRule>
  </conditionalFormatting>
  <conditionalFormatting sqref="H243:L243">
    <cfRule type="cellIs" dxfId="2954" priority="816" operator="equal">
      <formula>0</formula>
    </cfRule>
    <cfRule type="cellIs" dxfId="2953" priority="817" operator="lessThan">
      <formula>0</formula>
    </cfRule>
  </conditionalFormatting>
  <conditionalFormatting sqref="H311:L311 N311:V311">
    <cfRule type="cellIs" dxfId="2952" priority="1060" operator="equal">
      <formula>0</formula>
    </cfRule>
    <cfRule type="cellIs" dxfId="2951" priority="1061" operator="lessThan">
      <formula>0</formula>
    </cfRule>
  </conditionalFormatting>
  <conditionalFormatting sqref="H314:L314">
    <cfRule type="cellIs" dxfId="2950" priority="1056" operator="equal">
      <formula>0</formula>
    </cfRule>
    <cfRule type="cellIs" dxfId="2949" priority="1057" operator="lessThan">
      <formula>0</formula>
    </cfRule>
  </conditionalFormatting>
  <conditionalFormatting sqref="H318:L318">
    <cfRule type="cellIs" dxfId="2948" priority="814" operator="equal">
      <formula>0</formula>
    </cfRule>
    <cfRule type="cellIs" dxfId="2947" priority="815" operator="lessThan">
      <formula>0</formula>
    </cfRule>
  </conditionalFormatting>
  <conditionalFormatting sqref="H350:L350">
    <cfRule type="cellIs" dxfId="2946" priority="17" operator="equal">
      <formula>0</formula>
    </cfRule>
    <cfRule type="cellIs" dxfId="2945" priority="18" operator="lessThan">
      <formula>0</formula>
    </cfRule>
  </conditionalFormatting>
  <conditionalFormatting sqref="I38">
    <cfRule type="cellIs" dxfId="2944" priority="3088" operator="equal">
      <formula>0</formula>
    </cfRule>
  </conditionalFormatting>
  <conditionalFormatting sqref="I386:I387">
    <cfRule type="cellIs" dxfId="2943" priority="1264" operator="equal">
      <formula>0</formula>
    </cfRule>
    <cfRule type="cellIs" dxfId="2942" priority="1265" operator="lessThan">
      <formula>0</formula>
    </cfRule>
  </conditionalFormatting>
  <conditionalFormatting sqref="I394">
    <cfRule type="cellIs" dxfId="2941" priority="1224" operator="equal">
      <formula>0</formula>
    </cfRule>
  </conditionalFormatting>
  <conditionalFormatting sqref="I38:J38">
    <cfRule type="cellIs" dxfId="2940" priority="3089" operator="lessThan">
      <formula>0</formula>
    </cfRule>
  </conditionalFormatting>
  <conditionalFormatting sqref="I173:J173">
    <cfRule type="cellIs" dxfId="2939" priority="2625" operator="equal">
      <formula>0</formula>
    </cfRule>
    <cfRule type="cellIs" dxfId="2938" priority="2626" operator="lessThan">
      <formula>0</formula>
    </cfRule>
  </conditionalFormatting>
  <conditionalFormatting sqref="I198:J199">
    <cfRule type="cellIs" dxfId="2937" priority="1467" operator="equal">
      <formula>0</formula>
    </cfRule>
    <cfRule type="cellIs" dxfId="2936" priority="1468" operator="lessThan">
      <formula>0</formula>
    </cfRule>
  </conditionalFormatting>
  <conditionalFormatting sqref="I393:J394">
    <cfRule type="cellIs" dxfId="2935" priority="1225" operator="lessThan">
      <formula>0</formula>
    </cfRule>
  </conditionalFormatting>
  <conditionalFormatting sqref="I379:L379">
    <cfRule type="cellIs" dxfId="2934" priority="1204" operator="equal">
      <formula>0</formula>
    </cfRule>
    <cfRule type="cellIs" dxfId="2933" priority="1205" operator="lessThan">
      <formula>0</formula>
    </cfRule>
  </conditionalFormatting>
  <conditionalFormatting sqref="I382:L382 N382:V382">
    <cfRule type="cellIs" dxfId="2932" priority="1338" operator="equal">
      <formula>0</formula>
    </cfRule>
    <cfRule type="cellIs" dxfId="2931" priority="1339" operator="lessThan">
      <formula>0</formula>
    </cfRule>
  </conditionalFormatting>
  <conditionalFormatting sqref="I383:L383 I386:L387 N383:AC383 N386:AC387">
    <cfRule type="cellIs" dxfId="2930" priority="1278" operator="equal">
      <formula>0</formula>
    </cfRule>
    <cfRule type="cellIs" dxfId="2929" priority="1279" operator="lessThan">
      <formula>0</formula>
    </cfRule>
  </conditionalFormatting>
  <conditionalFormatting sqref="I395:L395">
    <cfRule type="cellIs" dxfId="2928" priority="1251" operator="equal">
      <formula>0</formula>
    </cfRule>
    <cfRule type="cellIs" dxfId="2927" priority="1252" operator="lessThan">
      <formula>0</formula>
    </cfRule>
  </conditionalFormatting>
  <conditionalFormatting sqref="J29:J31">
    <cfRule type="cellIs" dxfId="2926" priority="2867" operator="equal">
      <formula>0</formula>
    </cfRule>
    <cfRule type="cellIs" dxfId="2925" priority="2868" operator="lessThan">
      <formula>0</formula>
    </cfRule>
  </conditionalFormatting>
  <conditionalFormatting sqref="J38 J40:J49">
    <cfRule type="cellIs" dxfId="2924" priority="3837" operator="equal">
      <formula>0</formula>
    </cfRule>
  </conditionalFormatting>
  <conditionalFormatting sqref="J40:J49">
    <cfRule type="cellIs" dxfId="2923" priority="3838" operator="lessThan">
      <formula>0</formula>
    </cfRule>
  </conditionalFormatting>
  <conditionalFormatting sqref="J58:J63">
    <cfRule type="cellIs" dxfId="2922" priority="3782" operator="equal">
      <formula>0</formula>
    </cfRule>
  </conditionalFormatting>
  <conditionalFormatting sqref="J58:J65">
    <cfRule type="cellIs" dxfId="2921" priority="3779" operator="lessThan">
      <formula>0</formula>
    </cfRule>
  </conditionalFormatting>
  <conditionalFormatting sqref="J64:J65">
    <cfRule type="cellIs" dxfId="2920" priority="3778" operator="equal">
      <formula>0</formula>
    </cfRule>
  </conditionalFormatting>
  <conditionalFormatting sqref="J73:J75">
    <cfRule type="cellIs" dxfId="2919" priority="1583" operator="equal">
      <formula>0</formula>
    </cfRule>
    <cfRule type="cellIs" dxfId="2918" priority="1584" operator="lessThan">
      <formula>0</formula>
    </cfRule>
  </conditionalFormatting>
  <conditionalFormatting sqref="J86:J87">
    <cfRule type="cellIs" dxfId="2917" priority="1420" operator="equal">
      <formula>0</formula>
    </cfRule>
    <cfRule type="cellIs" dxfId="2916" priority="1421" operator="lessThan">
      <formula>0</formula>
    </cfRule>
  </conditionalFormatting>
  <conditionalFormatting sqref="J101:J102">
    <cfRule type="cellIs" dxfId="2915" priority="2964" operator="equal">
      <formula>0</formula>
    </cfRule>
    <cfRule type="cellIs" dxfId="2914" priority="2965" operator="lessThan">
      <formula>0</formula>
    </cfRule>
  </conditionalFormatting>
  <conditionalFormatting sqref="J119:J125">
    <cfRule type="cellIs" dxfId="2913" priority="2931" operator="equal">
      <formula>0</formula>
    </cfRule>
    <cfRule type="cellIs" dxfId="2912" priority="2932" operator="lessThan">
      <formula>0</formula>
    </cfRule>
  </conditionalFormatting>
  <conditionalFormatting sqref="J130:J133 H132:H133">
    <cfRule type="cellIs" dxfId="2911" priority="2501" operator="equal">
      <formula>0</formula>
    </cfRule>
    <cfRule type="cellIs" dxfId="2910" priority="2502" operator="lessThan">
      <formula>0</formula>
    </cfRule>
  </conditionalFormatting>
  <conditionalFormatting sqref="J148:J152">
    <cfRule type="cellIs" dxfId="2909" priority="2477" operator="equal">
      <formula>0</formula>
    </cfRule>
    <cfRule type="cellIs" dxfId="2908" priority="2478" operator="lessThan">
      <formula>0</formula>
    </cfRule>
  </conditionalFormatting>
  <conditionalFormatting sqref="J152">
    <cfRule type="containsText" dxfId="2907" priority="2475" operator="containsText" text="OK">
      <formula>NOT(ISERROR(SEARCH("OK",J152)))</formula>
    </cfRule>
    <cfRule type="containsText" dxfId="2906" priority="2476" operator="containsText" text="ERROR">
      <formula>NOT(ISERROR(SEARCH("ERROR",J152)))</formula>
    </cfRule>
  </conditionalFormatting>
  <conditionalFormatting sqref="J154:J155">
    <cfRule type="cellIs" dxfId="2905" priority="2304" operator="equal">
      <formula>0</formula>
    </cfRule>
    <cfRule type="cellIs" dxfId="2904" priority="2305" operator="lessThan">
      <formula>0</formula>
    </cfRule>
  </conditionalFormatting>
  <conditionalFormatting sqref="J156:J158">
    <cfRule type="cellIs" dxfId="2903" priority="2455" operator="equal">
      <formula>0</formula>
    </cfRule>
    <cfRule type="cellIs" dxfId="2902" priority="2456" operator="lessThan">
      <formula>0</formula>
    </cfRule>
  </conditionalFormatting>
  <conditionalFormatting sqref="J158">
    <cfRule type="containsText" dxfId="2901" priority="2453" operator="containsText" text="OK">
      <formula>NOT(ISERROR(SEARCH("OK",J158)))</formula>
    </cfRule>
    <cfRule type="containsText" dxfId="2900" priority="2454" operator="containsText" text="ERROR">
      <formula>NOT(ISERROR(SEARCH("ERROR",J158)))</formula>
    </cfRule>
  </conditionalFormatting>
  <conditionalFormatting sqref="J160:J168">
    <cfRule type="cellIs" dxfId="2899" priority="1485" operator="equal">
      <formula>0</formula>
    </cfRule>
    <cfRule type="cellIs" dxfId="2898" priority="1486" operator="lessThan">
      <formula>0</formula>
    </cfRule>
  </conditionalFormatting>
  <conditionalFormatting sqref="J174:J190">
    <cfRule type="cellIs" dxfId="2897" priority="2565" operator="equal">
      <formula>0</formula>
    </cfRule>
    <cfRule type="cellIs" dxfId="2896" priority="2566" operator="lessThan">
      <formula>0</formula>
    </cfRule>
  </conditionalFormatting>
  <conditionalFormatting sqref="J194:J196">
    <cfRule type="cellIs" dxfId="2895" priority="2613" operator="equal">
      <formula>0</formula>
    </cfRule>
    <cfRule type="cellIs" dxfId="2894" priority="2614" operator="lessThan">
      <formula>0</formula>
    </cfRule>
  </conditionalFormatting>
  <conditionalFormatting sqref="J260:J264">
    <cfRule type="cellIs" dxfId="2893" priority="1759" operator="equal">
      <formula>0</formula>
    </cfRule>
    <cfRule type="cellIs" dxfId="2892" priority="1760" operator="lessThan">
      <formula>0</formula>
    </cfRule>
  </conditionalFormatting>
  <conditionalFormatting sqref="J269:J272">
    <cfRule type="cellIs" dxfId="2891" priority="3194" operator="equal">
      <formula>0</formula>
    </cfRule>
    <cfRule type="cellIs" dxfId="2890" priority="3195" operator="lessThan">
      <formula>0</formula>
    </cfRule>
  </conditionalFormatting>
  <conditionalFormatting sqref="J326:J330">
    <cfRule type="cellIs" dxfId="2889" priority="1913" operator="equal">
      <formula>0</formula>
    </cfRule>
    <cfRule type="cellIs" dxfId="2888" priority="1914" operator="lessThan">
      <formula>0</formula>
    </cfRule>
  </conditionalFormatting>
  <conditionalFormatting sqref="J385:J387">
    <cfRule type="cellIs" dxfId="2887" priority="1256" operator="equal">
      <formula>0</formula>
    </cfRule>
    <cfRule type="cellIs" dxfId="2886" priority="1257" operator="lessThan">
      <formula>0</formula>
    </cfRule>
  </conditionalFormatting>
  <conditionalFormatting sqref="J394">
    <cfRule type="cellIs" dxfId="2885" priority="1232" operator="equal">
      <formula>0</formula>
    </cfRule>
  </conditionalFormatting>
  <conditionalFormatting sqref="J396:J405">
    <cfRule type="cellIs" dxfId="2884" priority="1239" operator="equal">
      <formula>0</formula>
    </cfRule>
    <cfRule type="cellIs" dxfId="2883" priority="1240" operator="lessThan">
      <formula>0</formula>
    </cfRule>
  </conditionalFormatting>
  <conditionalFormatting sqref="J454">
    <cfRule type="cellIs" dxfId="2882" priority="15" operator="equal">
      <formula>0</formula>
    </cfRule>
    <cfRule type="cellIs" dxfId="2881" priority="16" operator="lessThan">
      <formula>0</formula>
    </cfRule>
  </conditionalFormatting>
  <conditionalFormatting sqref="J137:K137">
    <cfRule type="cellIs" dxfId="2880" priority="1052" operator="equal">
      <formula>0</formula>
    </cfRule>
    <cfRule type="cellIs" dxfId="2879" priority="1053" operator="lessThan">
      <formula>0</formula>
    </cfRule>
  </conditionalFormatting>
  <conditionalFormatting sqref="J144:L144">
    <cfRule type="cellIs" dxfId="2878" priority="536" operator="equal">
      <formula>0</formula>
    </cfRule>
    <cfRule type="cellIs" dxfId="2877" priority="537" operator="lessThan">
      <formula>0</formula>
    </cfRule>
  </conditionalFormatting>
  <conditionalFormatting sqref="K10">
    <cfRule type="containsText" dxfId="2876" priority="2303" operator="containsText" text="Error, PreCER vs CBD Diff">
      <formula>NOT(ISERROR(SEARCH("Error, PreCER vs CBD Diff",K10)))</formula>
    </cfRule>
  </conditionalFormatting>
  <conditionalFormatting sqref="K12">
    <cfRule type="cellIs" dxfId="2875" priority="2112" operator="equal">
      <formula>0</formula>
    </cfRule>
    <cfRule type="cellIs" dxfId="2874" priority="2113" operator="lessThan">
      <formula>0</formula>
    </cfRule>
  </conditionalFormatting>
  <conditionalFormatting sqref="K30:K31">
    <cfRule type="cellIs" dxfId="2873" priority="850" operator="equal">
      <formula>0</formula>
    </cfRule>
    <cfRule type="cellIs" dxfId="2872" priority="851" operator="lessThan">
      <formula>0</formula>
    </cfRule>
  </conditionalFormatting>
  <conditionalFormatting sqref="K34">
    <cfRule type="cellIs" dxfId="2871" priority="722" operator="equal">
      <formula>0</formula>
    </cfRule>
    <cfRule type="cellIs" dxfId="2870" priority="723" operator="lessThan">
      <formula>0</formula>
    </cfRule>
  </conditionalFormatting>
  <conditionalFormatting sqref="K49">
    <cfRule type="containsText" dxfId="2869" priority="809" operator="containsText" text="Error, Not full amortized">
      <formula>NOT(ISERROR(SEARCH("Error, Not full amortized",K49)))</formula>
    </cfRule>
  </conditionalFormatting>
  <conditionalFormatting sqref="K50">
    <cfRule type="cellIs" dxfId="2868" priority="1105" operator="equal">
      <formula>0</formula>
    </cfRule>
    <cfRule type="cellIs" dxfId="2867" priority="1106" operator="lessThan">
      <formula>0</formula>
    </cfRule>
  </conditionalFormatting>
  <conditionalFormatting sqref="K62">
    <cfRule type="cellIs" dxfId="2866" priority="1123" operator="equal">
      <formula>0</formula>
    </cfRule>
    <cfRule type="cellIs" dxfId="2865" priority="1124" operator="lessThan">
      <formula>0</formula>
    </cfRule>
  </conditionalFormatting>
  <conditionalFormatting sqref="K77">
    <cfRule type="cellIs" dxfId="2864" priority="1046" operator="equal">
      <formula>0</formula>
    </cfRule>
    <cfRule type="cellIs" dxfId="2863" priority="1047" operator="lessThan">
      <formula>0</formula>
    </cfRule>
  </conditionalFormatting>
  <conditionalFormatting sqref="K82">
    <cfRule type="containsText" dxfId="2862" priority="679" operator="containsText" text="check">
      <formula>NOT(ISERROR(SEARCH("check",K82)))</formula>
    </cfRule>
    <cfRule type="cellIs" dxfId="2861" priority="680" operator="equal">
      <formula>0</formula>
    </cfRule>
    <cfRule type="cellIs" dxfId="2860" priority="681" operator="lessThan">
      <formula>0</formula>
    </cfRule>
    <cfRule type="cellIs" dxfId="2859" priority="682" operator="equal">
      <formula>0</formula>
    </cfRule>
    <cfRule type="containsText" dxfId="2858" priority="683" operator="containsText" text="wrong">
      <formula>NOT(ISERROR(SEARCH("wrong",K82)))</formula>
    </cfRule>
    <cfRule type="containsText" dxfId="2857" priority="684" operator="containsText" text="ok">
      <formula>NOT(ISERROR(SEARCH("ok",K82)))</formula>
    </cfRule>
  </conditionalFormatting>
  <conditionalFormatting sqref="K95:K96">
    <cfRule type="cellIs" dxfId="2856" priority="1118" operator="equal">
      <formula>0</formula>
    </cfRule>
    <cfRule type="cellIs" dxfId="2855" priority="1119" operator="lessThan">
      <formula>0</formula>
    </cfRule>
  </conditionalFormatting>
  <conditionalFormatting sqref="K101">
    <cfRule type="cellIs" dxfId="2854" priority="905" operator="equal">
      <formula>0</formula>
    </cfRule>
    <cfRule type="cellIs" dxfId="2853" priority="906" operator="lessThan">
      <formula>0</formula>
    </cfRule>
    <cfRule type="cellIs" dxfId="2852" priority="907" operator="equal">
      <formula>0</formula>
    </cfRule>
  </conditionalFormatting>
  <conditionalFormatting sqref="K108:K110">
    <cfRule type="containsText" dxfId="2851" priority="866" operator="containsText" text="check">
      <formula>NOT(ISERROR(SEARCH("check",K108)))</formula>
    </cfRule>
    <cfRule type="containsText" dxfId="2850" priority="867" operator="containsText" text="wrong">
      <formula>NOT(ISERROR(SEARCH("wrong",K108)))</formula>
    </cfRule>
    <cfRule type="containsText" dxfId="2849" priority="868" operator="containsText" text="ok">
      <formula>NOT(ISERROR(SEARCH("ok",K108)))</formula>
    </cfRule>
    <cfRule type="cellIs" dxfId="2848" priority="869" operator="equal">
      <formula>0</formula>
    </cfRule>
    <cfRule type="cellIs" dxfId="2847" priority="870" operator="lessThan">
      <formula>0</formula>
    </cfRule>
    <cfRule type="containsText" dxfId="2846" priority="871" operator="containsText" text="OK">
      <formula>NOT(ISERROR(SEARCH("OK",K108)))</formula>
    </cfRule>
    <cfRule type="containsText" dxfId="2845" priority="872" operator="containsText" text="ERROR">
      <formula>NOT(ISERROR(SEARCH("ERROR",K108)))</formula>
    </cfRule>
    <cfRule type="containsText" dxfId="2844" priority="875" operator="containsText" text="OK">
      <formula>NOT(ISERROR(SEARCH("OK",K108)))</formula>
    </cfRule>
    <cfRule type="containsText" dxfId="2843" priority="876" operator="containsText" text="ERROR">
      <formula>NOT(ISERROR(SEARCH("ERROR",K108)))</formula>
    </cfRule>
  </conditionalFormatting>
  <conditionalFormatting sqref="K108:K111">
    <cfRule type="cellIs" dxfId="2842" priority="873" operator="equal">
      <formula>0</formula>
    </cfRule>
    <cfRule type="cellIs" dxfId="2841" priority="874" operator="lessThan">
      <formula>0</formula>
    </cfRule>
  </conditionalFormatting>
  <conditionalFormatting sqref="K122">
    <cfRule type="cellIs" dxfId="2840" priority="862" operator="equal">
      <formula>0</formula>
    </cfRule>
    <cfRule type="cellIs" dxfId="2839" priority="863" operator="lessThan">
      <formula>0</formula>
    </cfRule>
  </conditionalFormatting>
  <conditionalFormatting sqref="K124:K125">
    <cfRule type="cellIs" dxfId="2838" priority="894" operator="equal">
      <formula>0</formula>
    </cfRule>
    <cfRule type="cellIs" dxfId="2837" priority="895" operator="lessThan">
      <formula>0</formula>
    </cfRule>
  </conditionalFormatting>
  <conditionalFormatting sqref="K133">
    <cfRule type="cellIs" dxfId="2836" priority="770" operator="equal">
      <formula>0</formula>
    </cfRule>
    <cfRule type="cellIs" dxfId="2835" priority="771" operator="lessThan">
      <formula>0</formula>
    </cfRule>
  </conditionalFormatting>
  <conditionalFormatting sqref="K176">
    <cfRule type="cellIs" dxfId="2834" priority="782" operator="equal">
      <formula>0</formula>
    </cfRule>
    <cfRule type="cellIs" dxfId="2833" priority="783" operator="lessThan">
      <formula>0</formula>
    </cfRule>
  </conditionalFormatting>
  <conditionalFormatting sqref="K182:K187">
    <cfRule type="containsText" dxfId="2832" priority="788" operator="containsText" text="OK">
      <formula>NOT(ISERROR(SEARCH("OK",K182)))</formula>
    </cfRule>
    <cfRule type="containsText" dxfId="2831" priority="789" operator="containsText" text="ERROR">
      <formula>NOT(ISERROR(SEARCH("ERROR",K182)))</formula>
    </cfRule>
    <cfRule type="cellIs" dxfId="2830" priority="790" operator="equal">
      <formula>0</formula>
    </cfRule>
    <cfRule type="cellIs" dxfId="2829" priority="791" operator="lessThan">
      <formula>0</formula>
    </cfRule>
  </conditionalFormatting>
  <conditionalFormatting sqref="K192:K194">
    <cfRule type="cellIs" dxfId="2828" priority="736" operator="equal">
      <formula>0</formula>
    </cfRule>
    <cfRule type="cellIs" dxfId="2827" priority="737" operator="lessThan">
      <formula>0</formula>
    </cfRule>
  </conditionalFormatting>
  <conditionalFormatting sqref="K329">
    <cfRule type="cellIs" dxfId="2826" priority="1132" operator="equal">
      <formula>0</formula>
    </cfRule>
    <cfRule type="cellIs" dxfId="2825" priority="1133" operator="lessThan">
      <formula>0</formula>
    </cfRule>
  </conditionalFormatting>
  <conditionalFormatting sqref="K368">
    <cfRule type="cellIs" dxfId="2824" priority="1241" operator="equal">
      <formula>0</formula>
    </cfRule>
    <cfRule type="cellIs" dxfId="2823" priority="1242" operator="lessThan">
      <formula>0</formula>
    </cfRule>
  </conditionalFormatting>
  <conditionalFormatting sqref="K386:K387">
    <cfRule type="cellIs" dxfId="2822" priority="1258" operator="equal">
      <formula>0</formula>
    </cfRule>
    <cfRule type="cellIs" dxfId="2821" priority="1259" operator="lessThan">
      <formula>0</formula>
    </cfRule>
  </conditionalFormatting>
  <conditionalFormatting sqref="K390">
    <cfRule type="cellIs" dxfId="2820" priority="1245" operator="equal">
      <formula>0</formula>
    </cfRule>
    <cfRule type="cellIs" dxfId="2819" priority="1246" operator="lessThan">
      <formula>0</formula>
    </cfRule>
  </conditionalFormatting>
  <conditionalFormatting sqref="K405">
    <cfRule type="containsText" dxfId="2818" priority="1255" operator="containsText" text="Error, Not full amortized">
      <formula>NOT(ISERROR(SEARCH("Error, Not full amortized",K405)))</formula>
    </cfRule>
  </conditionalFormatting>
  <conditionalFormatting sqref="K434:K438 K453">
    <cfRule type="cellIs" dxfId="2817" priority="48" operator="equal">
      <formula>0</formula>
    </cfRule>
    <cfRule type="cellIs" dxfId="2816" priority="49" operator="lessThan">
      <formula>0</formula>
    </cfRule>
  </conditionalFormatting>
  <conditionalFormatting sqref="K440:K444">
    <cfRule type="cellIs" dxfId="2815" priority="44" operator="equal">
      <formula>0</formula>
    </cfRule>
    <cfRule type="cellIs" dxfId="2814" priority="45" operator="lessThan">
      <formula>0</formula>
    </cfRule>
  </conditionalFormatting>
  <conditionalFormatting sqref="K447">
    <cfRule type="cellIs" dxfId="2813" priority="37" operator="equal">
      <formula>0</formula>
    </cfRule>
    <cfRule type="cellIs" dxfId="2812" priority="38" operator="lessThan">
      <formula>0</formula>
    </cfRule>
  </conditionalFormatting>
  <conditionalFormatting sqref="K8:L8">
    <cfRule type="cellIs" dxfId="2811" priority="3090" operator="equal">
      <formula>0</formula>
    </cfRule>
    <cfRule type="cellIs" dxfId="2810" priority="3091" operator="lessThan">
      <formula>0</formula>
    </cfRule>
  </conditionalFormatting>
  <conditionalFormatting sqref="K23:L23">
    <cfRule type="cellIs" dxfId="2809" priority="550" operator="equal">
      <formula>0</formula>
    </cfRule>
    <cfRule type="cellIs" dxfId="2808" priority="551" operator="lessThan">
      <formula>0</formula>
    </cfRule>
  </conditionalFormatting>
  <conditionalFormatting sqref="K26:L26 N26:V26">
    <cfRule type="cellIs" dxfId="2807" priority="1038" operator="equal">
      <formula>0</formula>
    </cfRule>
    <cfRule type="cellIs" dxfId="2806" priority="1039" operator="lessThan">
      <formula>0</formula>
    </cfRule>
  </conditionalFormatting>
  <conditionalFormatting sqref="K27:L27 H30:L31 N27:AC27 N30:XFD31">
    <cfRule type="cellIs" dxfId="2805" priority="939" operator="equal">
      <formula>0</formula>
    </cfRule>
    <cfRule type="cellIs" dxfId="2804" priority="940" operator="lessThan">
      <formula>0</formula>
    </cfRule>
  </conditionalFormatting>
  <conditionalFormatting sqref="K30:L30 L31">
    <cfRule type="cellIs" dxfId="2803" priority="858" operator="equal">
      <formula>0</formula>
    </cfRule>
    <cfRule type="cellIs" dxfId="2802" priority="859" operator="lessThan">
      <formula>0</formula>
    </cfRule>
  </conditionalFormatting>
  <conditionalFormatting sqref="K115:L116">
    <cfRule type="containsText" dxfId="2801" priority="663" operator="containsText" text="OK">
      <formula>NOT(ISERROR(SEARCH("OK",K115)))</formula>
    </cfRule>
    <cfRule type="containsText" dxfId="2800" priority="664" operator="containsText" text="ERROR">
      <formula>NOT(ISERROR(SEARCH("ERROR",K115)))</formula>
    </cfRule>
  </conditionalFormatting>
  <conditionalFormatting sqref="K118:L144">
    <cfRule type="containsText" dxfId="2799" priority="526" operator="containsText" text="OK">
      <formula>NOT(ISERROR(SEARCH("OK",K118)))</formula>
    </cfRule>
    <cfRule type="containsText" dxfId="2798" priority="527" operator="containsText" text="ERROR">
      <formula>NOT(ISERROR(SEARCH("ERROR",K118)))</formula>
    </cfRule>
  </conditionalFormatting>
  <conditionalFormatting sqref="K138:L143">
    <cfRule type="cellIs" dxfId="2797" priority="528" operator="equal">
      <formula>0</formula>
    </cfRule>
    <cfRule type="cellIs" dxfId="2796" priority="529" operator="lessThan">
      <formula>0</formula>
    </cfRule>
  </conditionalFormatting>
  <conditionalFormatting sqref="K149:L158">
    <cfRule type="containsText" dxfId="2795" priority="766" operator="containsText" text="OK">
      <formula>NOT(ISERROR(SEARCH("OK",K149)))</formula>
    </cfRule>
    <cfRule type="containsText" dxfId="2794" priority="767" operator="containsText" text="ERROR">
      <formula>NOT(ISERROR(SEARCH("ERROR",K149)))</formula>
    </cfRule>
    <cfRule type="cellIs" dxfId="2793" priority="768" operator="equal">
      <formula>0</formula>
    </cfRule>
    <cfRule type="cellIs" dxfId="2792" priority="769" operator="lessThan">
      <formula>0</formula>
    </cfRule>
  </conditionalFormatting>
  <conditionalFormatting sqref="K160:L163">
    <cfRule type="containsText" dxfId="2791" priority="754" operator="containsText" text="OK">
      <formula>NOT(ISERROR(SEARCH("OK",K160)))</formula>
    </cfRule>
    <cfRule type="containsText" dxfId="2790" priority="755" operator="containsText" text="ERROR">
      <formula>NOT(ISERROR(SEARCH("ERROR",K160)))</formula>
    </cfRule>
  </conditionalFormatting>
  <conditionalFormatting sqref="K160:L164">
    <cfRule type="cellIs" dxfId="2789" priority="756" operator="equal">
      <formula>0</formula>
    </cfRule>
    <cfRule type="cellIs" dxfId="2788" priority="757" operator="lessThan">
      <formula>0</formula>
    </cfRule>
  </conditionalFormatting>
  <conditionalFormatting sqref="K165:L166">
    <cfRule type="containsText" dxfId="2787" priority="582" operator="containsText" text="OK">
      <formula>NOT(ISERROR(SEARCH("OK",K165)))</formula>
    </cfRule>
    <cfRule type="containsText" dxfId="2786" priority="583" operator="containsText" text="ERROR">
      <formula>NOT(ISERROR(SEARCH("ERROR",K165)))</formula>
    </cfRule>
  </conditionalFormatting>
  <conditionalFormatting sqref="K165:L168">
    <cfRule type="cellIs" dxfId="2785" priority="584" operator="equal">
      <formula>0</formula>
    </cfRule>
    <cfRule type="cellIs" dxfId="2784" priority="585" operator="lessThan">
      <formula>0</formula>
    </cfRule>
  </conditionalFormatting>
  <conditionalFormatting sqref="K169:L169">
    <cfRule type="containsText" dxfId="2783" priority="574" operator="containsText" text="OK">
      <formula>NOT(ISERROR(SEARCH("OK",K169)))</formula>
    </cfRule>
    <cfRule type="containsText" dxfId="2782" priority="575" operator="containsText" text="ERROR">
      <formula>NOT(ISERROR(SEARCH("ERROR",K169)))</formula>
    </cfRule>
  </conditionalFormatting>
  <conditionalFormatting sqref="K169:L171">
    <cfRule type="cellIs" dxfId="2781" priority="576" operator="equal">
      <formula>0</formula>
    </cfRule>
    <cfRule type="cellIs" dxfId="2780" priority="577" operator="lessThan">
      <formula>0</formula>
    </cfRule>
  </conditionalFormatting>
  <conditionalFormatting sqref="K173:L174">
    <cfRule type="cellIs" dxfId="2779" priority="796" operator="equal">
      <formula>0</formula>
    </cfRule>
    <cfRule type="cellIs" dxfId="2778" priority="797" operator="lessThan">
      <formula>0</formula>
    </cfRule>
  </conditionalFormatting>
  <conditionalFormatting sqref="K176:L181">
    <cfRule type="containsText" dxfId="2777" priority="778" operator="containsText" text="OK">
      <formula>NOT(ISERROR(SEARCH("OK",K176)))</formula>
    </cfRule>
    <cfRule type="containsText" dxfId="2776" priority="779" operator="containsText" text="ERROR">
      <formula>NOT(ISERROR(SEARCH("ERROR",K176)))</formula>
    </cfRule>
  </conditionalFormatting>
  <conditionalFormatting sqref="K188:L191">
    <cfRule type="cellIs" dxfId="2775" priority="738" operator="equal">
      <formula>0</formula>
    </cfRule>
    <cfRule type="cellIs" dxfId="2774" priority="739" operator="lessThan">
      <formula>0</formula>
    </cfRule>
  </conditionalFormatting>
  <conditionalFormatting sqref="K191:L195">
    <cfRule type="containsText" dxfId="2773" priority="734" operator="containsText" text="OK">
      <formula>NOT(ISERROR(SEARCH("OK",K191)))</formula>
    </cfRule>
    <cfRule type="containsText" dxfId="2772" priority="735" operator="containsText" text="ERROR">
      <formula>NOT(ISERROR(SEARCH("ERROR",K191)))</formula>
    </cfRule>
  </conditionalFormatting>
  <conditionalFormatting sqref="K195:L199">
    <cfRule type="cellIs" dxfId="2771" priority="740" operator="equal">
      <formula>0</formula>
    </cfRule>
    <cfRule type="cellIs" dxfId="2770" priority="741" operator="lessThan">
      <formula>0</formula>
    </cfRule>
  </conditionalFormatting>
  <conditionalFormatting sqref="K245:L275">
    <cfRule type="cellIs" dxfId="2769" priority="609" operator="equal">
      <formula>0</formula>
    </cfRule>
    <cfRule type="cellIs" dxfId="2768" priority="610" operator="lessThan">
      <formula>0</formula>
    </cfRule>
  </conditionalFormatting>
  <conditionalFormatting sqref="K386:L386 L387">
    <cfRule type="cellIs" dxfId="2767" priority="1268" operator="equal">
      <formula>0</formula>
    </cfRule>
    <cfRule type="cellIs" dxfId="2766" priority="1269" operator="lessThan">
      <formula>0</formula>
    </cfRule>
  </conditionalFormatting>
  <conditionalFormatting sqref="K90:AC90 K92:AC92 K93:V93">
    <cfRule type="cellIs" dxfId="2765" priority="1044" operator="equal">
      <formula>0</formula>
    </cfRule>
    <cfRule type="cellIs" dxfId="2764" priority="1045" operator="lessThan">
      <formula>0</formula>
    </cfRule>
  </conditionalFormatting>
  <conditionalFormatting sqref="L10">
    <cfRule type="cellIs" dxfId="2763" priority="1148" operator="notEqual">
      <formula>"OK, SOP date entered"</formula>
    </cfRule>
    <cfRule type="cellIs" dxfId="2762" priority="1149" operator="equal">
      <formula>"OK, SOP date entered"</formula>
    </cfRule>
  </conditionalFormatting>
  <conditionalFormatting sqref="L15">
    <cfRule type="cellIs" dxfId="2761" priority="1072" operator="equal">
      <formula>0</formula>
    </cfRule>
    <cfRule type="cellIs" dxfId="2760" priority="1073" operator="lessThan">
      <formula>0</formula>
    </cfRule>
  </conditionalFormatting>
  <conditionalFormatting sqref="L19">
    <cfRule type="containsText" dxfId="2759" priority="1127" operator="containsText" text="OK">
      <formula>NOT(ISERROR(SEARCH("OK",L19)))</formula>
    </cfRule>
    <cfRule type="containsText" dxfId="2758" priority="1128" operator="containsText" text="ERROR">
      <formula>NOT(ISERROR(SEARCH("ERROR",L19)))</formula>
    </cfRule>
  </conditionalFormatting>
  <conditionalFormatting sqref="L21:L22">
    <cfRule type="containsText" dxfId="2757" priority="570" operator="containsText" text="OK">
      <formula>NOT(ISERROR(SEARCH("OK",L21)))</formula>
    </cfRule>
    <cfRule type="containsText" dxfId="2756" priority="571" operator="containsText" text="ERROR">
      <formula>NOT(ISERROR(SEARCH("ERROR",L21)))</formula>
    </cfRule>
  </conditionalFormatting>
  <conditionalFormatting sqref="L22">
    <cfRule type="containsText" dxfId="2755" priority="568" operator="containsText" text="OK">
      <formula>NOT(ISERROR(SEARCH("OK",L22)))</formula>
    </cfRule>
    <cfRule type="containsText" dxfId="2754" priority="569" operator="containsText" text="ERROR">
      <formula>NOT(ISERROR(SEARCH("ERROR",L22)))</formula>
    </cfRule>
  </conditionalFormatting>
  <conditionalFormatting sqref="L23:L25">
    <cfRule type="containsText" dxfId="2753" priority="1062" operator="containsText" text="OK">
      <formula>NOT(ISERROR(SEARCH("OK",L23)))</formula>
    </cfRule>
    <cfRule type="containsText" dxfId="2752" priority="1063" operator="containsText" text="ERROR">
      <formula>NOT(ISERROR(SEARCH("ERROR",L23)))</formula>
    </cfRule>
    <cfRule type="containsText" dxfId="2751" priority="1064" operator="containsText" text="OK">
      <formula>NOT(ISERROR(SEARCH("OK",L23)))</formula>
    </cfRule>
    <cfRule type="containsText" dxfId="2750" priority="1065" operator="containsText" text="ERROR">
      <formula>NOT(ISERROR(SEARCH("ERROR",L23)))</formula>
    </cfRule>
    <cfRule type="containsText" dxfId="2749" priority="1066" operator="containsText" text="OK">
      <formula>NOT(ISERROR(SEARCH("OK",L23)))</formula>
    </cfRule>
    <cfRule type="containsText" dxfId="2748" priority="1067" operator="containsText" text="ERROR">
      <formula>NOT(ISERROR(SEARCH("ERROR",L23)))</formula>
    </cfRule>
  </conditionalFormatting>
  <conditionalFormatting sqref="L23:L26">
    <cfRule type="containsText" dxfId="2747" priority="1042" operator="containsText" text="OK">
      <formula>NOT(ISERROR(SEARCH("OK",L23)))</formula>
    </cfRule>
    <cfRule type="containsText" dxfId="2746" priority="1043" operator="containsText" text="ERROR">
      <formula>NOT(ISERROR(SEARCH("ERROR",L23)))</formula>
    </cfRule>
  </conditionalFormatting>
  <conditionalFormatting sqref="L24 K25:L25">
    <cfRule type="cellIs" dxfId="2745" priority="558" operator="equal">
      <formula>0</formula>
    </cfRule>
    <cfRule type="cellIs" dxfId="2744" priority="559" operator="lessThan">
      <formula>0</formula>
    </cfRule>
  </conditionalFormatting>
  <conditionalFormatting sqref="L26">
    <cfRule type="containsText" dxfId="2743" priority="1036" operator="containsText" text="OK">
      <formula>NOT(ISERROR(SEARCH("OK",L26)))</formula>
    </cfRule>
    <cfRule type="containsText" dxfId="2742" priority="1037" operator="containsText" text="ERROR">
      <formula>NOT(ISERROR(SEARCH("ERROR",L26)))</formula>
    </cfRule>
  </conditionalFormatting>
  <conditionalFormatting sqref="L26:L27 L30:L31">
    <cfRule type="containsText" dxfId="2741" priority="943" operator="containsText" text="OK">
      <formula>NOT(ISERROR(SEARCH("OK",L26)))</formula>
    </cfRule>
    <cfRule type="containsText" dxfId="2740" priority="944" operator="containsText" text="ERROR">
      <formula>NOT(ISERROR(SEARCH("ERROR",L26)))</formula>
    </cfRule>
  </conditionalFormatting>
  <conditionalFormatting sqref="L27 L30:L31">
    <cfRule type="containsText" dxfId="2739" priority="934" operator="containsText" text="ERROR">
      <formula>NOT(ISERROR(SEARCH("ERROR",L27)))</formula>
    </cfRule>
    <cfRule type="containsText" dxfId="2738" priority="937" operator="containsText" text="OK">
      <formula>NOT(ISERROR(SEARCH("OK",L27)))</formula>
    </cfRule>
    <cfRule type="containsText" dxfId="2737" priority="938" operator="containsText" text="ERROR">
      <formula>NOT(ISERROR(SEARCH("ERROR",L27)))</formula>
    </cfRule>
  </conditionalFormatting>
  <conditionalFormatting sqref="L30:L31 L27">
    <cfRule type="containsText" dxfId="2736" priority="933" operator="containsText" text="OK">
      <formula>NOT(ISERROR(SEARCH("OK",L27)))</formula>
    </cfRule>
  </conditionalFormatting>
  <conditionalFormatting sqref="L30:L31">
    <cfRule type="containsText" dxfId="2735" priority="856" operator="containsText" text="OK">
      <formula>NOT(ISERROR(SEARCH("OK",L30)))</formula>
    </cfRule>
    <cfRule type="containsText" dxfId="2734" priority="857" operator="containsText" text="ERROR">
      <formula>NOT(ISERROR(SEARCH("ERROR",L30)))</formula>
    </cfRule>
  </conditionalFormatting>
  <conditionalFormatting sqref="L35">
    <cfRule type="cellIs" dxfId="2733" priority="1092" operator="equal">
      <formula>0</formula>
    </cfRule>
    <cfRule type="cellIs" dxfId="2732" priority="1093" operator="lessThan">
      <formula>0</formula>
    </cfRule>
    <cfRule type="containsText" dxfId="2731" priority="1094" operator="containsText" text="OK">
      <formula>NOT(ISERROR(SEARCH("OK",L35)))</formula>
    </cfRule>
    <cfRule type="containsText" dxfId="2730" priority="1095" operator="containsText" text="ERROR">
      <formula>NOT(ISERROR(SEARCH("ERROR",L35)))</formula>
    </cfRule>
  </conditionalFormatting>
  <conditionalFormatting sqref="L37 N37:V37 H37:J37">
    <cfRule type="cellIs" dxfId="2729" priority="1078" operator="equal">
      <formula>0</formula>
    </cfRule>
    <cfRule type="cellIs" dxfId="2728" priority="1079" operator="lessThan">
      <formula>0</formula>
    </cfRule>
  </conditionalFormatting>
  <conditionalFormatting sqref="L37 N37:V37">
    <cfRule type="containsText" dxfId="2727" priority="1077" operator="containsText" text="ERROR">
      <formula>NOT(ISERROR(SEARCH("ERROR",L37)))</formula>
    </cfRule>
  </conditionalFormatting>
  <conditionalFormatting sqref="L37:L38">
    <cfRule type="cellIs" dxfId="2726" priority="669" operator="equal">
      <formula>0</formula>
    </cfRule>
    <cfRule type="cellIs" dxfId="2725" priority="670" operator="lessThan">
      <formula>0</formula>
    </cfRule>
  </conditionalFormatting>
  <conditionalFormatting sqref="L37:L39">
    <cfRule type="containsText" dxfId="2724" priority="667" operator="containsText" text="OK">
      <formula>NOT(ISERROR(SEARCH("OK",L37)))</formula>
    </cfRule>
    <cfRule type="containsText" dxfId="2723" priority="668" operator="containsText" text="ERROR">
      <formula>NOT(ISERROR(SEARCH("ERROR",L37)))</formula>
    </cfRule>
  </conditionalFormatting>
  <conditionalFormatting sqref="L39:L40">
    <cfRule type="containsText" dxfId="2722" priority="732" operator="containsText" text="OK">
      <formula>NOT(ISERROR(SEARCH("OK",L39)))</formula>
    </cfRule>
    <cfRule type="containsText" dxfId="2721" priority="733" operator="containsText" text="ERROR">
      <formula>NOT(ISERROR(SEARCH("ERROR",L39)))</formula>
    </cfRule>
  </conditionalFormatting>
  <conditionalFormatting sqref="L40">
    <cfRule type="cellIs" dxfId="2720" priority="1070" operator="equal">
      <formula>0</formula>
    </cfRule>
    <cfRule type="cellIs" dxfId="2719" priority="1071" operator="lessThan">
      <formula>0</formula>
    </cfRule>
  </conditionalFormatting>
  <conditionalFormatting sqref="L41:L48">
    <cfRule type="cellIs" dxfId="2718" priority="675" operator="equal">
      <formula>0</formula>
    </cfRule>
    <cfRule type="cellIs" dxfId="2717" priority="676" operator="lessThan">
      <formula>0</formula>
    </cfRule>
  </conditionalFormatting>
  <conditionalFormatting sqref="L41:L49">
    <cfRule type="containsText" dxfId="2716" priority="673" operator="containsText" text="OK">
      <formula>NOT(ISERROR(SEARCH("OK",L41)))</formula>
    </cfRule>
    <cfRule type="containsText" dxfId="2715" priority="674" operator="containsText" text="ERROR">
      <formula>NOT(ISERROR(SEARCH("ERROR",L41)))</formula>
    </cfRule>
  </conditionalFormatting>
  <conditionalFormatting sqref="L53:L61">
    <cfRule type="cellIs" dxfId="2714" priority="1034" operator="equal">
      <formula>0</formula>
    </cfRule>
  </conditionalFormatting>
  <conditionalFormatting sqref="L53:L62">
    <cfRule type="containsText" dxfId="2713" priority="1032" operator="containsText" text="OK">
      <formula>NOT(ISERROR(SEARCH("OK",L53)))</formula>
    </cfRule>
    <cfRule type="containsText" dxfId="2712" priority="1033" operator="containsText" text="ERROR">
      <formula>NOT(ISERROR(SEARCH("ERROR",L53)))</formula>
    </cfRule>
  </conditionalFormatting>
  <conditionalFormatting sqref="L53:L64">
    <cfRule type="cellIs" dxfId="2711" priority="1035" operator="lessThan">
      <formula>0</formula>
    </cfRule>
  </conditionalFormatting>
  <conditionalFormatting sqref="L62:L65">
    <cfRule type="cellIs" dxfId="2710" priority="1102" operator="equal">
      <formula>0</formula>
    </cfRule>
  </conditionalFormatting>
  <conditionalFormatting sqref="L63:L64">
    <cfRule type="containsText" dxfId="2709" priority="1103" operator="containsText" text="OK">
      <formula>NOT(ISERROR(SEARCH("OK",L63)))</formula>
    </cfRule>
    <cfRule type="containsText" dxfId="2708" priority="1104" operator="containsText" text="ERROR">
      <formula>NOT(ISERROR(SEARCH("ERROR",L63)))</formula>
    </cfRule>
  </conditionalFormatting>
  <conditionalFormatting sqref="L65">
    <cfRule type="containsText" dxfId="2707" priority="1100" operator="containsText" text="OK">
      <formula>NOT(ISERROR(SEARCH("OK",L65)))</formula>
    </cfRule>
    <cfRule type="containsText" dxfId="2706" priority="1101" operator="containsText" text="ERROR">
      <formula>NOT(ISERROR(SEARCH("ERROR",L65)))</formula>
    </cfRule>
  </conditionalFormatting>
  <conditionalFormatting sqref="L69:L75">
    <cfRule type="cellIs" dxfId="2705" priority="601" operator="equal">
      <formula>0</formula>
    </cfRule>
    <cfRule type="cellIs" dxfId="2704" priority="602" operator="lessThan">
      <formula>0</formula>
    </cfRule>
  </conditionalFormatting>
  <conditionalFormatting sqref="L86">
    <cfRule type="cellIs" dxfId="2703" priority="615" operator="equal">
      <formula>0</formula>
    </cfRule>
    <cfRule type="cellIs" dxfId="2702" priority="616" operator="lessThan">
      <formula>0</formula>
    </cfRule>
    <cfRule type="containsText" dxfId="2701" priority="617" operator="containsText" text="OK">
      <formula>NOT(ISERROR(SEARCH("OK",L86)))</formula>
    </cfRule>
    <cfRule type="containsText" dxfId="2700" priority="618" operator="containsText" text="ERROR">
      <formula>NOT(ISERROR(SEARCH("ERROR",L86)))</formula>
    </cfRule>
  </conditionalFormatting>
  <conditionalFormatting sqref="L94:L95 L98:L100 L102:L104 P107">
    <cfRule type="containsText" dxfId="2699" priority="1096" operator="containsText" text="check">
      <formula>NOT(ISERROR(SEARCH("check",L94)))</formula>
    </cfRule>
    <cfRule type="containsText" dxfId="2698" priority="1135" operator="containsText" text="ok">
      <formula>NOT(ISERROR(SEARCH("ok",L94)))</formula>
    </cfRule>
  </conditionalFormatting>
  <conditionalFormatting sqref="L94:L95 L99:L100 L102:L104 P107 N100:AC103 N94 N95:AC95 N97:O97 Q97:R97 V97 N99:V99">
    <cfRule type="cellIs" dxfId="2697" priority="1138" operator="equal">
      <formula>0</formula>
    </cfRule>
  </conditionalFormatting>
  <conditionalFormatting sqref="L94:L95 L99:L100 L102:L104 P107 N100:AC103 N97:O97 Q97:R97 V97">
    <cfRule type="cellIs" dxfId="2696" priority="1139" operator="lessThan">
      <formula>0</formula>
    </cfRule>
  </conditionalFormatting>
  <conditionalFormatting sqref="L98">
    <cfRule type="cellIs" dxfId="2695" priority="1097" operator="equal">
      <formula>0</formula>
    </cfRule>
    <cfRule type="cellIs" dxfId="2694" priority="1098" operator="lessThan">
      <formula>0</formula>
    </cfRule>
    <cfRule type="cellIs" dxfId="2693" priority="1099" operator="equal">
      <formula>0</formula>
    </cfRule>
  </conditionalFormatting>
  <conditionalFormatting sqref="L98:L100 L94:L95 L102:L104 P107">
    <cfRule type="containsText" dxfId="2692" priority="1134" operator="containsText" text="wrong">
      <formula>NOT(ISERROR(SEARCH("wrong",L94)))</formula>
    </cfRule>
  </conditionalFormatting>
  <conditionalFormatting sqref="L101">
    <cfRule type="containsText" dxfId="2691" priority="808" operator="containsText" text="Error, must fully repay">
      <formula>NOT(ISERROR(SEARCH("Error, must fully repay",L101)))</formula>
    </cfRule>
  </conditionalFormatting>
  <conditionalFormatting sqref="L118:L137">
    <cfRule type="cellIs" dxfId="2690" priority="538" operator="equal">
      <formula>0</formula>
    </cfRule>
    <cfRule type="cellIs" dxfId="2689" priority="539" operator="lessThan">
      <formula>0</formula>
    </cfRule>
  </conditionalFormatting>
  <conditionalFormatting sqref="L175:L176">
    <cfRule type="cellIs" dxfId="2688" priority="780" operator="equal">
      <formula>0</formula>
    </cfRule>
    <cfRule type="cellIs" dxfId="2687" priority="781" operator="lessThan">
      <formula>0</formula>
    </cfRule>
  </conditionalFormatting>
  <conditionalFormatting sqref="L182">
    <cfRule type="containsText" dxfId="2686" priority="784" operator="containsText" text="OK">
      <formula>NOT(ISERROR(SEARCH("OK",L182)))</formula>
    </cfRule>
    <cfRule type="containsText" dxfId="2685" priority="785" operator="containsText" text="ERROR">
      <formula>NOT(ISERROR(SEARCH("ERROR",L182)))</formula>
    </cfRule>
  </conditionalFormatting>
  <conditionalFormatting sqref="L182:L187">
    <cfRule type="cellIs" dxfId="2684" priority="786" operator="equal">
      <formula>0</formula>
    </cfRule>
    <cfRule type="cellIs" dxfId="2683" priority="787" operator="lessThan">
      <formula>0</formula>
    </cfRule>
  </conditionalFormatting>
  <conditionalFormatting sqref="L225:L240">
    <cfRule type="cellIs" dxfId="2682" priority="633" operator="equal">
      <formula>0</formula>
    </cfRule>
    <cfRule type="cellIs" dxfId="2681" priority="634" operator="lessThan">
      <formula>0</formula>
    </cfRule>
  </conditionalFormatting>
  <conditionalFormatting sqref="L326">
    <cfRule type="cellIs" dxfId="2680" priority="661" operator="equal">
      <formula>0</formula>
    </cfRule>
  </conditionalFormatting>
  <conditionalFormatting sqref="L326:L327">
    <cfRule type="cellIs" dxfId="2679" priority="662" operator="lessThan">
      <formula>0</formula>
    </cfRule>
  </conditionalFormatting>
  <conditionalFormatting sqref="L327">
    <cfRule type="cellIs" dxfId="2678" priority="1083" operator="equal">
      <formula>0</formula>
    </cfRule>
  </conditionalFormatting>
  <conditionalFormatting sqref="L329">
    <cfRule type="cellIs" dxfId="2677" priority="1080" operator="equal">
      <formula>0</formula>
    </cfRule>
  </conditionalFormatting>
  <conditionalFormatting sqref="L329:L330">
    <cfRule type="cellIs" dxfId="2676" priority="1081" operator="lessThan">
      <formula>0</formula>
    </cfRule>
  </conditionalFormatting>
  <conditionalFormatting sqref="L330">
    <cfRule type="cellIs" dxfId="2675" priority="1082" operator="equal">
      <formula>0</formula>
    </cfRule>
  </conditionalFormatting>
  <conditionalFormatting sqref="L333:L335">
    <cfRule type="cellIs" dxfId="2674" priority="3834" operator="lessThan">
      <formula>0</formula>
    </cfRule>
    <cfRule type="cellIs" dxfId="2673" priority="3835" operator="equal">
      <formula>0</formula>
    </cfRule>
    <cfRule type="cellIs" dxfId="2672" priority="3836" operator="lessThan">
      <formula>0</formula>
    </cfRule>
  </conditionalFormatting>
  <conditionalFormatting sqref="L371">
    <cfRule type="cellIs" dxfId="2671" priority="1352" operator="equal">
      <formula>0</formula>
    </cfRule>
    <cfRule type="cellIs" dxfId="2670" priority="1353" operator="lessThan">
      <formula>0</formula>
    </cfRule>
  </conditionalFormatting>
  <conditionalFormatting sqref="L375">
    <cfRule type="containsText" dxfId="2669" priority="1372" operator="containsText" text="OK">
      <formula>NOT(ISERROR(SEARCH("OK",L375)))</formula>
    </cfRule>
    <cfRule type="containsText" dxfId="2668" priority="1373" operator="containsText" text="ERROR">
      <formula>NOT(ISERROR(SEARCH("ERROR",L375)))</formula>
    </cfRule>
  </conditionalFormatting>
  <conditionalFormatting sqref="L377:L378">
    <cfRule type="containsText" dxfId="2667" priority="1222" operator="containsText" text="OK">
      <formula>NOT(ISERROR(SEARCH("OK",L377)))</formula>
    </cfRule>
    <cfRule type="containsText" dxfId="2666" priority="1223" operator="containsText" text="ERROR">
      <formula>NOT(ISERROR(SEARCH("ERROR",L377)))</formula>
    </cfRule>
  </conditionalFormatting>
  <conditionalFormatting sqref="L378">
    <cfRule type="containsText" dxfId="2665" priority="1220" operator="containsText" text="OK">
      <formula>NOT(ISERROR(SEARCH("OK",L378)))</formula>
    </cfRule>
    <cfRule type="containsText" dxfId="2664" priority="1221" operator="containsText" text="ERROR">
      <formula>NOT(ISERROR(SEARCH("ERROR",L378)))</formula>
    </cfRule>
  </conditionalFormatting>
  <conditionalFormatting sqref="L379:L381">
    <cfRule type="containsText" dxfId="2663" priority="1344" operator="containsText" text="OK">
      <formula>NOT(ISERROR(SEARCH("OK",L379)))</formula>
    </cfRule>
    <cfRule type="containsText" dxfId="2662" priority="1345" operator="containsText" text="ERROR">
      <formula>NOT(ISERROR(SEARCH("ERROR",L379)))</formula>
    </cfRule>
    <cfRule type="containsText" dxfId="2661" priority="1346" operator="containsText" text="OK">
      <formula>NOT(ISERROR(SEARCH("OK",L379)))</formula>
    </cfRule>
    <cfRule type="containsText" dxfId="2660" priority="1347" operator="containsText" text="ERROR">
      <formula>NOT(ISERROR(SEARCH("ERROR",L379)))</formula>
    </cfRule>
    <cfRule type="containsText" dxfId="2659" priority="1348" operator="containsText" text="OK">
      <formula>NOT(ISERROR(SEARCH("OK",L379)))</formula>
    </cfRule>
    <cfRule type="containsText" dxfId="2658" priority="1349" operator="containsText" text="ERROR">
      <formula>NOT(ISERROR(SEARCH("ERROR",L379)))</formula>
    </cfRule>
  </conditionalFormatting>
  <conditionalFormatting sqref="L379:L382">
    <cfRule type="containsText" dxfId="2657" priority="1342" operator="containsText" text="OK">
      <formula>NOT(ISERROR(SEARCH("OK",L379)))</formula>
    </cfRule>
    <cfRule type="containsText" dxfId="2656" priority="1343" operator="containsText" text="ERROR">
      <formula>NOT(ISERROR(SEARCH("ERROR",L379)))</formula>
    </cfRule>
  </conditionalFormatting>
  <conditionalFormatting sqref="L382">
    <cfRule type="containsText" dxfId="2655" priority="1336" operator="containsText" text="OK">
      <formula>NOT(ISERROR(SEARCH("OK",L382)))</formula>
    </cfRule>
    <cfRule type="containsText" dxfId="2654" priority="1337" operator="containsText" text="ERROR">
      <formula>NOT(ISERROR(SEARCH("ERROR",L382)))</formula>
    </cfRule>
  </conditionalFormatting>
  <conditionalFormatting sqref="L382:L383 L386:L387">
    <cfRule type="containsText" dxfId="2653" priority="1282" operator="containsText" text="OK">
      <formula>NOT(ISERROR(SEARCH("OK",L382)))</formula>
    </cfRule>
    <cfRule type="containsText" dxfId="2652" priority="1283" operator="containsText" text="ERROR">
      <formula>NOT(ISERROR(SEARCH("ERROR",L382)))</formula>
    </cfRule>
  </conditionalFormatting>
  <conditionalFormatting sqref="L383 L386:L387">
    <cfRule type="containsText" dxfId="2651" priority="1273" operator="containsText" text="ERROR">
      <formula>NOT(ISERROR(SEARCH("ERROR",L383)))</formula>
    </cfRule>
    <cfRule type="containsText" dxfId="2650" priority="1276" operator="containsText" text="OK">
      <formula>NOT(ISERROR(SEARCH("OK",L383)))</formula>
    </cfRule>
    <cfRule type="containsText" dxfId="2649" priority="1277" operator="containsText" text="ERROR">
      <formula>NOT(ISERROR(SEARCH("ERROR",L383)))</formula>
    </cfRule>
  </conditionalFormatting>
  <conditionalFormatting sqref="L386:L387 L383">
    <cfRule type="containsText" dxfId="2648" priority="1272" operator="containsText" text="OK">
      <formula>NOT(ISERROR(SEARCH("OK",L383)))</formula>
    </cfRule>
  </conditionalFormatting>
  <conditionalFormatting sqref="L386:L387">
    <cfRule type="containsText" dxfId="2647" priority="1266" operator="containsText" text="OK">
      <formula>NOT(ISERROR(SEARCH("OK",L386)))</formula>
    </cfRule>
    <cfRule type="containsText" dxfId="2646" priority="1267" operator="containsText" text="ERROR">
      <formula>NOT(ISERROR(SEARCH("ERROR",L386)))</formula>
    </cfRule>
  </conditionalFormatting>
  <conditionalFormatting sqref="L391">
    <cfRule type="cellIs" dxfId="2645" priority="1368" operator="equal">
      <formula>0</formula>
    </cfRule>
    <cfRule type="cellIs" dxfId="2644" priority="1369" operator="lessThan">
      <formula>0</formula>
    </cfRule>
    <cfRule type="containsText" dxfId="2643" priority="1370" operator="containsText" text="OK">
      <formula>NOT(ISERROR(SEARCH("OK",L391)))</formula>
    </cfRule>
    <cfRule type="containsText" dxfId="2642" priority="1371" operator="containsText" text="ERROR">
      <formula>NOT(ISERROR(SEARCH("ERROR",L391)))</formula>
    </cfRule>
  </conditionalFormatting>
  <conditionalFormatting sqref="L393 N393:V393 I393:J393">
    <cfRule type="cellIs" dxfId="2641" priority="1358" operator="equal">
      <formula>0</formula>
    </cfRule>
  </conditionalFormatting>
  <conditionalFormatting sqref="L393 N393:V393">
    <cfRule type="containsText" dxfId="2640" priority="1357" operator="containsText" text="ERROR">
      <formula>NOT(ISERROR(SEARCH("ERROR",L393)))</formula>
    </cfRule>
    <cfRule type="cellIs" dxfId="2639" priority="1359" operator="lessThan">
      <formula>0</formula>
    </cfRule>
  </conditionalFormatting>
  <conditionalFormatting sqref="L393:L394">
    <cfRule type="cellIs" dxfId="2638" priority="1230" operator="equal">
      <formula>0</formula>
    </cfRule>
    <cfRule type="cellIs" dxfId="2637" priority="1231" operator="lessThan">
      <formula>0</formula>
    </cfRule>
  </conditionalFormatting>
  <conditionalFormatting sqref="L393:L395">
    <cfRule type="containsText" dxfId="2636" priority="1228" operator="containsText" text="OK">
      <formula>NOT(ISERROR(SEARCH("OK",L393)))</formula>
    </cfRule>
    <cfRule type="containsText" dxfId="2635" priority="1229" operator="containsText" text="ERROR">
      <formula>NOT(ISERROR(SEARCH("ERROR",L393)))</formula>
    </cfRule>
  </conditionalFormatting>
  <conditionalFormatting sqref="L395:L396">
    <cfRule type="containsText" dxfId="2634" priority="1253" operator="containsText" text="OK">
      <formula>NOT(ISERROR(SEARCH("OK",L395)))</formula>
    </cfRule>
    <cfRule type="containsText" dxfId="2633" priority="1254" operator="containsText" text="ERROR">
      <formula>NOT(ISERROR(SEARCH("ERROR",L395)))</formula>
    </cfRule>
  </conditionalFormatting>
  <conditionalFormatting sqref="L396">
    <cfRule type="cellIs" dxfId="2632" priority="1350" operator="equal">
      <formula>0</formula>
    </cfRule>
    <cfRule type="cellIs" dxfId="2631" priority="1351" operator="lessThan">
      <formula>0</formula>
    </cfRule>
  </conditionalFormatting>
  <conditionalFormatting sqref="L397:L404">
    <cfRule type="cellIs" dxfId="2630" priority="1237" operator="equal">
      <formula>0</formula>
    </cfRule>
    <cfRule type="cellIs" dxfId="2629" priority="1238" operator="lessThan">
      <formula>0</formula>
    </cfRule>
  </conditionalFormatting>
  <conditionalFormatting sqref="L397:L405">
    <cfRule type="containsText" dxfId="2628" priority="1235" operator="containsText" text="OK">
      <formula>NOT(ISERROR(SEARCH("OK",L397)))</formula>
    </cfRule>
    <cfRule type="containsText" dxfId="2627" priority="1236" operator="containsText" text="ERROR">
      <formula>NOT(ISERROR(SEARCH("ERROR",L397)))</formula>
    </cfRule>
  </conditionalFormatting>
  <conditionalFormatting sqref="N15">
    <cfRule type="cellIs" dxfId="2626" priority="1088" operator="equal">
      <formula>0</formula>
    </cfRule>
    <cfRule type="cellIs" dxfId="2625" priority="1089" operator="lessThan">
      <formula>0</formula>
    </cfRule>
    <cfRule type="containsText" dxfId="2624" priority="1090" operator="containsText" text="OK">
      <formula>NOT(ISERROR(SEARCH("OK",N15)))</formula>
    </cfRule>
    <cfRule type="containsText" dxfId="2623" priority="1091" operator="containsText" text="ERROR">
      <formula>NOT(ISERROR(SEARCH("ERROR",N15)))</formula>
    </cfRule>
  </conditionalFormatting>
  <conditionalFormatting sqref="N78">
    <cfRule type="cellIs" dxfId="2622" priority="149" operator="equal">
      <formula>0</formula>
    </cfRule>
    <cfRule type="cellIs" dxfId="2621" priority="150" operator="lessThan">
      <formula>0</formula>
    </cfRule>
  </conditionalFormatting>
  <conditionalFormatting sqref="N326:N329">
    <cfRule type="cellIs" dxfId="2620" priority="596" operator="equal">
      <formula>0</formula>
    </cfRule>
    <cfRule type="cellIs" dxfId="2619" priority="597" operator="lessThan">
      <formula>0</formula>
    </cfRule>
  </conditionalFormatting>
  <conditionalFormatting sqref="N363:N364">
    <cfRule type="cellIs" dxfId="2618" priority="1192" operator="equal">
      <formula>0</formula>
    </cfRule>
    <cfRule type="cellIs" dxfId="2617" priority="1193" operator="lessThan">
      <formula>0</formula>
    </cfRule>
    <cfRule type="containsText" dxfId="2616" priority="1194" operator="containsText" text="OK">
      <formula>NOT(ISERROR(SEARCH("OK",N363)))</formula>
    </cfRule>
    <cfRule type="containsText" dxfId="2615" priority="1195" operator="containsText" text="ERROR">
      <formula>NOT(ISERROR(SEARCH("ERROR",N363)))</formula>
    </cfRule>
    <cfRule type="containsText" dxfId="2614" priority="1196" operator="containsText" text="OK">
      <formula>NOT(ISERROR(SEARCH("OK",N363)))</formula>
    </cfRule>
    <cfRule type="containsText" dxfId="2613" priority="1197" operator="containsText" text="ERROR">
      <formula>NOT(ISERROR(SEARCH("ERROR",N363)))</formula>
    </cfRule>
  </conditionalFormatting>
  <conditionalFormatting sqref="N371">
    <cfRule type="cellIs" dxfId="2612" priority="1364" operator="equal">
      <formula>0</formula>
    </cfRule>
    <cfRule type="cellIs" dxfId="2611" priority="1365" operator="lessThan">
      <formula>0</formula>
    </cfRule>
    <cfRule type="containsText" dxfId="2610" priority="1366" operator="containsText" text="OK">
      <formula>NOT(ISERROR(SEARCH("OK",N371)))</formula>
    </cfRule>
    <cfRule type="containsText" dxfId="2609" priority="1367" operator="containsText" text="ERROR">
      <formula>NOT(ISERROR(SEARCH("ERROR",N371)))</formula>
    </cfRule>
  </conditionalFormatting>
  <conditionalFormatting sqref="N78:O78">
    <cfRule type="cellIs" dxfId="2608" priority="97" operator="equal">
      <formula>0</formula>
    </cfRule>
    <cfRule type="containsText" dxfId="2607" priority="99" operator="containsText" text="OK">
      <formula>NOT(ISERROR(SEARCH("OK",N78)))</formula>
    </cfRule>
    <cfRule type="containsText" dxfId="2606" priority="100" operator="containsText" text="ERROR">
      <formula>NOT(ISERROR(SEARCH("ERROR",N78)))</formula>
    </cfRule>
  </conditionalFormatting>
  <conditionalFormatting sqref="N294:P294">
    <cfRule type="containsText" dxfId="2605" priority="1" operator="containsText" text="OK">
      <formula>NOT(ISERROR(SEARCH("OK",N294)))</formula>
    </cfRule>
    <cfRule type="containsText" dxfId="2604" priority="2" operator="containsText" text="ERROR">
      <formula>NOT(ISERROR(SEARCH("ERROR",N294)))</formula>
    </cfRule>
    <cfRule type="containsText" dxfId="2603" priority="3" operator="containsText" text="OK">
      <formula>NOT(ISERROR(SEARCH("OK",N294)))</formula>
    </cfRule>
    <cfRule type="containsText" dxfId="2602" priority="4" operator="containsText" text="ERROR">
      <formula>NOT(ISERROR(SEARCH("ERROR",N294)))</formula>
    </cfRule>
    <cfRule type="cellIs" dxfId="2601" priority="5" operator="equal">
      <formula>0</formula>
    </cfRule>
    <cfRule type="cellIs" dxfId="2600" priority="6" operator="lessThan">
      <formula>0</formula>
    </cfRule>
    <cfRule type="containsText" dxfId="2599" priority="9" operator="containsText" text="OK">
      <formula>NOT(ISERROR(SEARCH("OK",N294)))</formula>
    </cfRule>
    <cfRule type="containsText" dxfId="2598" priority="10" operator="containsText" text="ERROR">
      <formula>NOT(ISERROR(SEARCH("ERROR",N294)))</formula>
    </cfRule>
  </conditionalFormatting>
  <conditionalFormatting sqref="N18:V23">
    <cfRule type="containsText" dxfId="2597" priority="552" operator="containsText" text="OK">
      <formula>NOT(ISERROR(SEARCH("OK",N18)))</formula>
    </cfRule>
    <cfRule type="containsText" dxfId="2596" priority="553" operator="containsText" text="ERROR">
      <formula>NOT(ISERROR(SEARCH("ERROR",N18)))</formula>
    </cfRule>
  </conditionalFormatting>
  <conditionalFormatting sqref="N24:V25">
    <cfRule type="cellIs" dxfId="2595" priority="25" operator="equal">
      <formula>0</formula>
    </cfRule>
    <cfRule type="cellIs" dxfId="2594" priority="26" operator="lessThan">
      <formula>0</formula>
    </cfRule>
    <cfRule type="containsText" dxfId="2593" priority="27" operator="containsText" text="OK">
      <formula>NOT(ISERROR(SEARCH("OK",N24)))</formula>
    </cfRule>
    <cfRule type="containsText" dxfId="2592" priority="28" operator="containsText" text="ERROR">
      <formula>NOT(ISERROR(SEARCH("ERROR",N24)))</formula>
    </cfRule>
  </conditionalFormatting>
  <conditionalFormatting sqref="N26:V26">
    <cfRule type="containsText" dxfId="2591" priority="1040" operator="containsText" text="OK">
      <formula>NOT(ISERROR(SEARCH("OK",N26)))</formula>
    </cfRule>
    <cfRule type="containsText" dxfId="2590" priority="1041" operator="containsText" text="ERROR">
      <formula>NOT(ISERROR(SEARCH("ERROR",N26)))</formula>
    </cfRule>
  </conditionalFormatting>
  <conditionalFormatting sqref="N34:V35">
    <cfRule type="cellIs" dxfId="2589" priority="1086" operator="equal">
      <formula>0</formula>
    </cfRule>
    <cfRule type="cellIs" dxfId="2588" priority="1087" operator="lessThan">
      <formula>0</formula>
    </cfRule>
    <cfRule type="containsText" dxfId="2587" priority="1129" operator="containsText" text="OK">
      <formula>NOT(ISERROR(SEARCH("OK",N34)))</formula>
    </cfRule>
    <cfRule type="containsText" dxfId="2586" priority="1130" operator="containsText" text="ERROR">
      <formula>NOT(ISERROR(SEARCH("ERROR",N34)))</formula>
    </cfRule>
  </conditionalFormatting>
  <conditionalFormatting sqref="N35:V35">
    <cfRule type="containsText" dxfId="2585" priority="1084" operator="containsText" text="OK">
      <formula>NOT(ISERROR(SEARCH("OK",N35)))</formula>
    </cfRule>
    <cfRule type="containsText" dxfId="2584" priority="1085" operator="containsText" text="ERROR">
      <formula>NOT(ISERROR(SEARCH("ERROR",N35)))</formula>
    </cfRule>
  </conditionalFormatting>
  <conditionalFormatting sqref="N37:V37 L37">
    <cfRule type="containsText" dxfId="2583" priority="1076" operator="containsText" text="OK">
      <formula>NOT(ISERROR(SEARCH("OK",L37)))</formula>
    </cfRule>
  </conditionalFormatting>
  <conditionalFormatting sqref="N37:V37">
    <cfRule type="containsText" dxfId="2582" priority="1074" operator="containsText" text="OK">
      <formula>NOT(ISERROR(SEARCH("OK",N37)))</formula>
    </cfRule>
    <cfRule type="containsText" dxfId="2581" priority="1075" operator="containsText" text="ERROR">
      <formula>NOT(ISERROR(SEARCH("ERROR",N37)))</formula>
    </cfRule>
  </conditionalFormatting>
  <conditionalFormatting sqref="N53:V65">
    <cfRule type="containsText" dxfId="2580" priority="1120" operator="containsText" text="OK">
      <formula>NOT(ISERROR(SEARCH("OK",N53)))</formula>
    </cfRule>
    <cfRule type="containsText" dxfId="2579" priority="1121" operator="containsText" text="ERROR">
      <formula>NOT(ISERROR(SEARCH("ERROR",N53)))</formula>
    </cfRule>
  </conditionalFormatting>
  <conditionalFormatting sqref="N65:V65 N276:V276">
    <cfRule type="cellIs" dxfId="2578" priority="1122" operator="equal">
      <formula>0</formula>
    </cfRule>
  </conditionalFormatting>
  <conditionalFormatting sqref="N88:V88">
    <cfRule type="containsText" dxfId="2577" priority="918" operator="containsText" text="OK">
      <formula>NOT(ISERROR(SEARCH("OK",N88)))</formula>
    </cfRule>
    <cfRule type="containsText" dxfId="2576" priority="919" operator="containsText" text="ERROR">
      <formula>NOT(ISERROR(SEARCH("ERROR",N88)))</formula>
    </cfRule>
    <cfRule type="cellIs" dxfId="2575" priority="920" operator="equal">
      <formula>0</formula>
    </cfRule>
    <cfRule type="cellIs" dxfId="2574" priority="921" operator="lessThan">
      <formula>0</formula>
    </cfRule>
  </conditionalFormatting>
  <conditionalFormatting sqref="N99:V103">
    <cfRule type="cellIs" dxfId="2573" priority="887" operator="lessThan">
      <formula>0</formula>
    </cfRule>
  </conditionalFormatting>
  <conditionalFormatting sqref="N101:V101">
    <cfRule type="containsText" dxfId="2572" priority="884" operator="containsText" text="OK">
      <formula>NOT(ISERROR(SEARCH("OK",N101)))</formula>
    </cfRule>
    <cfRule type="containsText" dxfId="2571" priority="885" operator="containsText" text="ERROR">
      <formula>NOT(ISERROR(SEARCH("ERROR",N101)))</formula>
    </cfRule>
    <cfRule type="cellIs" dxfId="2570" priority="886" operator="equal">
      <formula>0</formula>
    </cfRule>
  </conditionalFormatting>
  <conditionalFormatting sqref="N154:V155">
    <cfRule type="containsText" dxfId="2569" priority="401" operator="containsText" text="OK">
      <formula>NOT(ISERROR(SEARCH("OK",N154)))</formula>
    </cfRule>
    <cfRule type="containsText" dxfId="2568" priority="402" operator="containsText" text="ERROR">
      <formula>NOT(ISERROR(SEARCH("ERROR",N154)))</formula>
    </cfRule>
    <cfRule type="cellIs" dxfId="2567" priority="403" operator="equal">
      <formula>0</formula>
    </cfRule>
    <cfRule type="cellIs" dxfId="2566" priority="404" operator="lessThan">
      <formula>0</formula>
    </cfRule>
  </conditionalFormatting>
  <conditionalFormatting sqref="N227:V227">
    <cfRule type="cellIs" dxfId="2565" priority="1112" operator="equal">
      <formula>0</formula>
    </cfRule>
    <cfRule type="cellIs" dxfId="2564" priority="1113" operator="lessThan">
      <formula>0</formula>
    </cfRule>
  </conditionalFormatting>
  <conditionalFormatting sqref="N241:V243">
    <cfRule type="cellIs" dxfId="2563" priority="621" operator="equal">
      <formula>0</formula>
    </cfRule>
  </conditionalFormatting>
  <conditionalFormatting sqref="N247:V250">
    <cfRule type="cellIs" dxfId="2562" priority="1054" operator="equal">
      <formula>0</formula>
    </cfRule>
    <cfRule type="cellIs" dxfId="2561" priority="1055" operator="lessThan">
      <formula>0</formula>
    </cfRule>
  </conditionalFormatting>
  <conditionalFormatting sqref="N314:V314">
    <cfRule type="cellIs" dxfId="2560" priority="1058" operator="equal">
      <formula>0</formula>
    </cfRule>
    <cfRule type="cellIs" dxfId="2559" priority="1059" operator="lessThan">
      <formula>0</formula>
    </cfRule>
  </conditionalFormatting>
  <conditionalFormatting sqref="N316:V316">
    <cfRule type="cellIs" dxfId="2558" priority="1107" operator="equal">
      <formula>0</formula>
    </cfRule>
    <cfRule type="cellIs" dxfId="2557" priority="1108" operator="lessThan">
      <formula>0</formula>
    </cfRule>
  </conditionalFormatting>
  <conditionalFormatting sqref="N374:V379">
    <cfRule type="containsText" dxfId="2556" priority="1206" operator="containsText" text="OK">
      <formula>NOT(ISERROR(SEARCH("OK",N374)))</formula>
    </cfRule>
    <cfRule type="containsText" dxfId="2555" priority="1207" operator="containsText" text="ERROR">
      <formula>NOT(ISERROR(SEARCH("ERROR",N374)))</formula>
    </cfRule>
  </conditionalFormatting>
  <conditionalFormatting sqref="N380:V381 I380:J380 L380 I381:L381">
    <cfRule type="cellIs" dxfId="2554" priority="1212" operator="equal">
      <formula>0</formula>
    </cfRule>
    <cfRule type="cellIs" dxfId="2553" priority="1213" operator="lessThan">
      <formula>0</formula>
    </cfRule>
  </conditionalFormatting>
  <conditionalFormatting sqref="N380:V381">
    <cfRule type="containsText" dxfId="2552" priority="1214" operator="containsText" text="OK">
      <formula>NOT(ISERROR(SEARCH("OK",N380)))</formula>
    </cfRule>
    <cfRule type="containsText" dxfId="2551" priority="1215" operator="containsText" text="ERROR">
      <formula>NOT(ISERROR(SEARCH("ERROR",N380)))</formula>
    </cfRule>
  </conditionalFormatting>
  <conditionalFormatting sqref="N382:V382">
    <cfRule type="containsText" dxfId="2550" priority="1340" operator="containsText" text="OK">
      <formula>NOT(ISERROR(SEARCH("OK",N382)))</formula>
    </cfRule>
    <cfRule type="containsText" dxfId="2549" priority="1341" operator="containsText" text="ERROR">
      <formula>NOT(ISERROR(SEARCH("ERROR",N382)))</formula>
    </cfRule>
  </conditionalFormatting>
  <conditionalFormatting sqref="N390:V391">
    <cfRule type="cellIs" dxfId="2548" priority="1362" operator="equal">
      <formula>0</formula>
    </cfRule>
    <cfRule type="cellIs" dxfId="2547" priority="1363" operator="lessThan">
      <formula>0</formula>
    </cfRule>
    <cfRule type="containsText" dxfId="2546" priority="1374" operator="containsText" text="OK">
      <formula>NOT(ISERROR(SEARCH("OK",N390)))</formula>
    </cfRule>
    <cfRule type="containsText" dxfId="2545" priority="1375" operator="containsText" text="ERROR">
      <formula>NOT(ISERROR(SEARCH("ERROR",N390)))</formula>
    </cfRule>
  </conditionalFormatting>
  <conditionalFormatting sqref="N391:V391">
    <cfRule type="containsText" dxfId="2544" priority="1360" operator="containsText" text="OK">
      <formula>NOT(ISERROR(SEARCH("OK",N391)))</formula>
    </cfRule>
    <cfRule type="containsText" dxfId="2543" priority="1361" operator="containsText" text="ERROR">
      <formula>NOT(ISERROR(SEARCH("ERROR",N391)))</formula>
    </cfRule>
  </conditionalFormatting>
  <conditionalFormatting sqref="N393:V393 L393">
    <cfRule type="containsText" dxfId="2542" priority="1356" operator="containsText" text="OK">
      <formula>NOT(ISERROR(SEARCH("OK",L393)))</formula>
    </cfRule>
  </conditionalFormatting>
  <conditionalFormatting sqref="N393:V393">
    <cfRule type="containsText" dxfId="2541" priority="1354" operator="containsText" text="OK">
      <formula>NOT(ISERROR(SEARCH("OK",N393)))</formula>
    </cfRule>
    <cfRule type="containsText" dxfId="2540" priority="1355" operator="containsText" text="ERROR">
      <formula>NOT(ISERROR(SEARCH("ERROR",N393)))</formula>
    </cfRule>
  </conditionalFormatting>
  <conditionalFormatting sqref="N71:W71">
    <cfRule type="cellIs" dxfId="2539" priority="256" operator="lessThan">
      <formula>0</formula>
    </cfRule>
    <cfRule type="cellIs" dxfId="2538" priority="257" operator="equal">
      <formula>0</formula>
    </cfRule>
    <cfRule type="containsText" dxfId="2537" priority="271" operator="containsText" text="OK">
      <formula>NOT(ISERROR(SEARCH("OK",N71)))</formula>
    </cfRule>
    <cfRule type="containsText" dxfId="2536" priority="272" operator="containsText" text="ERROR">
      <formula>NOT(ISERROR(SEARCH("ERROR",N71)))</formula>
    </cfRule>
  </conditionalFormatting>
  <conditionalFormatting sqref="N74:W74">
    <cfRule type="containsText" dxfId="2535" priority="223" operator="containsText" text="OK">
      <formula>NOT(ISERROR(SEARCH("OK",N74)))</formula>
    </cfRule>
    <cfRule type="containsText" dxfId="2534" priority="224" operator="containsText" text="ERROR">
      <formula>NOT(ISERROR(SEARCH("ERROR",N74)))</formula>
    </cfRule>
  </conditionalFormatting>
  <conditionalFormatting sqref="N23:AA23">
    <cfRule type="cellIs" dxfId="2533" priority="546" operator="equal">
      <formula>0</formula>
    </cfRule>
    <cfRule type="cellIs" dxfId="2532" priority="547" operator="lessThan">
      <formula>0</formula>
    </cfRule>
  </conditionalFormatting>
  <conditionalFormatting sqref="N23:AA25">
    <cfRule type="containsText" dxfId="2531" priority="23" operator="containsText" text="OK">
      <formula>NOT(ISERROR(SEARCH("OK",N23)))</formula>
    </cfRule>
    <cfRule type="containsText" dxfId="2530" priority="24" operator="containsText" text="ERROR">
      <formula>NOT(ISERROR(SEARCH("ERROR",N23)))</formula>
    </cfRule>
  </conditionalFormatting>
  <conditionalFormatting sqref="N35:AA35">
    <cfRule type="cellIs" dxfId="2529" priority="1027" operator="lessThan">
      <formula>0</formula>
    </cfRule>
  </conditionalFormatting>
  <conditionalFormatting sqref="N37:AA37">
    <cfRule type="cellIs" dxfId="2528" priority="1022" operator="equal">
      <formula>0</formula>
    </cfRule>
    <cfRule type="cellIs" dxfId="2527" priority="1023" operator="lessThan">
      <formula>0</formula>
    </cfRule>
  </conditionalFormatting>
  <conditionalFormatting sqref="N74:AA74">
    <cfRule type="cellIs" dxfId="2526" priority="205" operator="equal">
      <formula>0</formula>
    </cfRule>
    <cfRule type="cellIs" dxfId="2525" priority="206" operator="lessThan">
      <formula>0</formula>
    </cfRule>
  </conditionalFormatting>
  <conditionalFormatting sqref="N88:AA88">
    <cfRule type="cellIs" dxfId="2524" priority="917" operator="lessThan">
      <formula>0</formula>
    </cfRule>
  </conditionalFormatting>
  <conditionalFormatting sqref="N89:AA89 W97:AA103">
    <cfRule type="cellIs" dxfId="2523" priority="1031" operator="lessThan">
      <formula>0</formula>
    </cfRule>
  </conditionalFormatting>
  <conditionalFormatting sqref="N379:AA379">
    <cfRule type="containsText" dxfId="2522" priority="1198" operator="containsText" text="OK">
      <formula>NOT(ISERROR(SEARCH("OK",N379)))</formula>
    </cfRule>
    <cfRule type="containsText" dxfId="2521" priority="1199" operator="containsText" text="ERROR">
      <formula>NOT(ISERROR(SEARCH("ERROR",N379)))</formula>
    </cfRule>
    <cfRule type="cellIs" dxfId="2520" priority="1200" operator="equal">
      <formula>0</formula>
    </cfRule>
    <cfRule type="cellIs" dxfId="2519" priority="1201" operator="lessThan">
      <formula>0</formula>
    </cfRule>
  </conditionalFormatting>
  <conditionalFormatting sqref="N380:AA381">
    <cfRule type="containsText" dxfId="2518" priority="1210" operator="containsText" text="OK">
      <formula>NOT(ISERROR(SEARCH("OK",N380)))</formula>
    </cfRule>
    <cfRule type="containsText" dxfId="2517" priority="1211" operator="containsText" text="ERROR">
      <formula>NOT(ISERROR(SEARCH("ERROR",N380)))</formula>
    </cfRule>
  </conditionalFormatting>
  <conditionalFormatting sqref="N382:AA382">
    <cfRule type="containsText" dxfId="2516" priority="1324" operator="containsText" text="OK">
      <formula>NOT(ISERROR(SEARCH("OK",N382)))</formula>
    </cfRule>
    <cfRule type="containsText" dxfId="2515" priority="1325" operator="containsText" text="ERROR">
      <formula>NOT(ISERROR(SEARCH("ERROR",N382)))</formula>
    </cfRule>
  </conditionalFormatting>
  <conditionalFormatting sqref="N391:AA391">
    <cfRule type="cellIs" dxfId="2514" priority="1335" operator="lessThan">
      <formula>0</formula>
    </cfRule>
  </conditionalFormatting>
  <conditionalFormatting sqref="N393:AA393">
    <cfRule type="cellIs" dxfId="2513" priority="1330" operator="equal">
      <formula>0</formula>
    </cfRule>
    <cfRule type="cellIs" dxfId="2512" priority="1331" operator="lessThan">
      <formula>0</formula>
    </cfRule>
  </conditionalFormatting>
  <conditionalFormatting sqref="N251:AB255">
    <cfRule type="cellIs" dxfId="2511" priority="840" operator="equal">
      <formula>0</formula>
    </cfRule>
    <cfRule type="cellIs" dxfId="2510" priority="841" operator="lessThan">
      <formula>0</formula>
    </cfRule>
  </conditionalFormatting>
  <conditionalFormatting sqref="N270:AB270">
    <cfRule type="cellIs" dxfId="2509" priority="927" operator="equal">
      <formula>0</formula>
    </cfRule>
    <cfRule type="cellIs" dxfId="2508" priority="928" operator="lessThan">
      <formula>0</formula>
    </cfRule>
  </conditionalFormatting>
  <conditionalFormatting sqref="N272:AB272">
    <cfRule type="cellIs" dxfId="2507" priority="925" operator="equal">
      <formula>0</formula>
    </cfRule>
    <cfRule type="cellIs" dxfId="2506" priority="926" operator="lessThan">
      <formula>0</formula>
    </cfRule>
  </conditionalFormatting>
  <conditionalFormatting sqref="N10:AC10">
    <cfRule type="containsText" dxfId="2505" priority="1461" operator="containsText" text="wrong">
      <formula>NOT(ISERROR(SEARCH("wrong",N10)))</formula>
    </cfRule>
    <cfRule type="containsText" dxfId="2504" priority="1462" operator="containsText" text="ok">
      <formula>NOT(ISERROR(SEARCH("ok",N10)))</formula>
    </cfRule>
  </conditionalFormatting>
  <conditionalFormatting sqref="N15:AC17 L16:L21 N33:AC36 L34:L36 N66:AC68 N89:V89 O93:AC93 N94 L94:L95 N95:AC95 N97:O97 Q97:R97 V97 W98:AC98 L99:L100 N99:AC103 L102:L104 P107 N112:AC113 J117:M117 K148:L159 K164:L164 N164:AC164 K167:L168 K170:L171 L183:L187 K188:L190">
    <cfRule type="containsText" dxfId="2503" priority="1143" operator="containsText" text="ERROR">
      <formula>NOT(ISERROR(SEARCH("ERROR",J15)))</formula>
    </cfRule>
  </conditionalFormatting>
  <conditionalFormatting sqref="N26:AC27 N30:AC31">
    <cfRule type="containsText" dxfId="2502" priority="941" operator="containsText" text="OK">
      <formula>NOT(ISERROR(SEARCH("OK",N26)))</formula>
    </cfRule>
    <cfRule type="containsText" dxfId="2501" priority="942" operator="containsText" text="ERROR">
      <formula>NOT(ISERROR(SEARCH("ERROR",N26)))</formula>
    </cfRule>
  </conditionalFormatting>
  <conditionalFormatting sqref="N27:AC27 N30:AC31">
    <cfRule type="containsText" dxfId="2500" priority="936" operator="containsText" text="ERROR">
      <formula>NOT(ISERROR(SEARCH("ERROR",N27)))</formula>
    </cfRule>
  </conditionalFormatting>
  <conditionalFormatting sqref="N30:AC31 N27:AC27">
    <cfRule type="containsText" dxfId="2499" priority="935" operator="containsText" text="OK">
      <formula>NOT(ISERROR(SEARCH("OK",N27)))</formula>
    </cfRule>
  </conditionalFormatting>
  <conditionalFormatting sqref="N30:AC31">
    <cfRule type="containsText" dxfId="2498" priority="852" operator="containsText" text="OK">
      <formula>NOT(ISERROR(SEARCH("OK",N30)))</formula>
    </cfRule>
    <cfRule type="containsText" dxfId="2497" priority="853" operator="containsText" text="ERROR">
      <formula>NOT(ISERROR(SEARCH("ERROR",N30)))</formula>
    </cfRule>
    <cfRule type="cellIs" dxfId="2496" priority="854" operator="equal">
      <formula>0</formula>
    </cfRule>
    <cfRule type="cellIs" dxfId="2495" priority="855" operator="lessThan">
      <formula>0</formula>
    </cfRule>
  </conditionalFormatting>
  <conditionalFormatting sqref="N35:AC35">
    <cfRule type="cellIs" dxfId="2494" priority="973" operator="equal">
      <formula>0</formula>
    </cfRule>
  </conditionalFormatting>
  <conditionalFormatting sqref="N38:AC38">
    <cfRule type="containsText" dxfId="2493" priority="665" operator="containsText" text="OK">
      <formula>NOT(ISERROR(SEARCH("OK",N38)))</formula>
    </cfRule>
    <cfRule type="containsText" dxfId="2492" priority="666" operator="containsText" text="ERROR">
      <formula>NOT(ISERROR(SEARCH("ERROR",N38)))</formula>
    </cfRule>
  </conditionalFormatting>
  <conditionalFormatting sqref="N39:AC39">
    <cfRule type="containsText" dxfId="2491" priority="728" operator="containsText" text="OK">
      <formula>NOT(ISERROR(SEARCH("OK",N39)))</formula>
    </cfRule>
    <cfRule type="containsText" dxfId="2490" priority="729" operator="containsText" text="ERROR">
      <formula>NOT(ISERROR(SEARCH("ERROR",N39)))</formula>
    </cfRule>
  </conditionalFormatting>
  <conditionalFormatting sqref="N40:AC49">
    <cfRule type="containsText" dxfId="2489" priority="671" operator="containsText" text="OK">
      <formula>NOT(ISERROR(SEARCH("OK",N40)))</formula>
    </cfRule>
    <cfRule type="containsText" dxfId="2488" priority="672" operator="containsText" text="ERROR">
      <formula>NOT(ISERROR(SEARCH("ERROR",N40)))</formula>
    </cfRule>
  </conditionalFormatting>
  <conditionalFormatting sqref="N46:AC46">
    <cfRule type="cellIs" dxfId="2487" priority="860" operator="equal">
      <formula>0</formula>
    </cfRule>
    <cfRule type="cellIs" dxfId="2486" priority="861" operator="lessThan">
      <formula>0</formula>
    </cfRule>
  </conditionalFormatting>
  <conditionalFormatting sqref="N51:AC51">
    <cfRule type="cellIs" dxfId="2485" priority="828" operator="equal">
      <formula>0</formula>
    </cfRule>
    <cfRule type="cellIs" dxfId="2484" priority="829" operator="lessThan">
      <formula>0</formula>
    </cfRule>
    <cfRule type="containsText" dxfId="2483" priority="830" operator="containsText" text="OK">
      <formula>NOT(ISERROR(SEARCH("OK",N51)))</formula>
    </cfRule>
    <cfRule type="containsText" dxfId="2482" priority="831" operator="containsText" text="ERROR">
      <formula>NOT(ISERROR(SEARCH("ERROR",N51)))</formula>
    </cfRule>
  </conditionalFormatting>
  <conditionalFormatting sqref="N67:AC67">
    <cfRule type="cellIs" dxfId="2481" priority="986" operator="equal">
      <formula>0</formula>
    </cfRule>
    <cfRule type="cellIs" dxfId="2480" priority="987" operator="lessThan">
      <formula>0</formula>
    </cfRule>
  </conditionalFormatting>
  <conditionalFormatting sqref="N69:AC69">
    <cfRule type="cellIs" dxfId="2479" priority="598" operator="equal">
      <formula>0</formula>
    </cfRule>
    <cfRule type="cellIs" dxfId="2478" priority="599" operator="lessThan">
      <formula>0</formula>
    </cfRule>
  </conditionalFormatting>
  <conditionalFormatting sqref="N69:AC70">
    <cfRule type="containsText" dxfId="2477" priority="603" operator="containsText" text="OK">
      <formula>NOT(ISERROR(SEARCH("OK",N69)))</formula>
    </cfRule>
    <cfRule type="containsText" dxfId="2476" priority="604" operator="containsText" text="ERROR">
      <formula>NOT(ISERROR(SEARCH("ERROR",N69)))</formula>
    </cfRule>
  </conditionalFormatting>
  <conditionalFormatting sqref="N72:AC72">
    <cfRule type="cellIs" dxfId="2475" priority="298" operator="lessThan">
      <formula>0</formula>
    </cfRule>
    <cfRule type="cellIs" dxfId="2474" priority="299" operator="equal">
      <formula>0</formula>
    </cfRule>
    <cfRule type="containsText" dxfId="2473" priority="325" operator="containsText" text="OK">
      <formula>NOT(ISERROR(SEARCH("OK",N72)))</formula>
    </cfRule>
    <cfRule type="containsText" dxfId="2472" priority="326" operator="containsText" text="ERROR">
      <formula>NOT(ISERROR(SEARCH("ERROR",N72)))</formula>
    </cfRule>
  </conditionalFormatting>
  <conditionalFormatting sqref="N73:AC73">
    <cfRule type="containsText" dxfId="2471" priority="169" operator="containsText" text="OK">
      <formula>NOT(ISERROR(SEARCH("OK",N73)))</formula>
    </cfRule>
    <cfRule type="containsText" dxfId="2470" priority="170" operator="containsText" text="ERROR">
      <formula>NOT(ISERROR(SEARCH("ERROR",N73)))</formula>
    </cfRule>
  </conditionalFormatting>
  <conditionalFormatting sqref="N75:AC76">
    <cfRule type="cellIs" dxfId="2469" priority="156" operator="lessThan">
      <formula>0</formula>
    </cfRule>
    <cfRule type="cellIs" dxfId="2468" priority="157" operator="equal">
      <formula>0</formula>
    </cfRule>
  </conditionalFormatting>
  <conditionalFormatting sqref="N75:AC77">
    <cfRule type="containsText" dxfId="2467" priority="167" operator="containsText" text="OK">
      <formula>NOT(ISERROR(SEARCH("OK",N75)))</formula>
    </cfRule>
    <cfRule type="containsText" dxfId="2466" priority="168" operator="containsText" text="ERROR">
      <formula>NOT(ISERROR(SEARCH("ERROR",N75)))</formula>
    </cfRule>
  </conditionalFormatting>
  <conditionalFormatting sqref="N78:AC85">
    <cfRule type="cellIs" dxfId="2465" priority="98" operator="lessThan">
      <formula>0</formula>
    </cfRule>
  </conditionalFormatting>
  <conditionalFormatting sqref="N79:AC79">
    <cfRule type="containsText" dxfId="2464" priority="153" operator="containsText" text="OK">
      <formula>NOT(ISERROR(SEARCH("OK",N79)))</formula>
    </cfRule>
    <cfRule type="containsText" dxfId="2463" priority="154" operator="containsText" text="ERROR">
      <formula>NOT(ISERROR(SEARCH("ERROR",N79)))</formula>
    </cfRule>
  </conditionalFormatting>
  <conditionalFormatting sqref="N79:AC85">
    <cfRule type="cellIs" dxfId="2462" priority="151" operator="equal">
      <formula>0</formula>
    </cfRule>
  </conditionalFormatting>
  <conditionalFormatting sqref="N80:AC87">
    <cfRule type="containsText" dxfId="2461" priority="613" operator="containsText" text="OK">
      <formula>NOT(ISERROR(SEARCH("OK",N80)))</formula>
    </cfRule>
    <cfRule type="containsText" dxfId="2460" priority="614" operator="containsText" text="ERROR">
      <formula>NOT(ISERROR(SEARCH("ERROR",N80)))</formula>
    </cfRule>
  </conditionalFormatting>
  <conditionalFormatting sqref="N87:AC87">
    <cfRule type="cellIs" dxfId="2459" priority="612" operator="lessThan">
      <formula>0</formula>
    </cfRule>
  </conditionalFormatting>
  <conditionalFormatting sqref="N87:AC89">
    <cfRule type="cellIs" dxfId="2458" priority="611" operator="equal">
      <formula>0</formula>
    </cfRule>
  </conditionalFormatting>
  <conditionalFormatting sqref="N91:AC91">
    <cfRule type="containsText" dxfId="2457" priority="11" operator="containsText" text="OK">
      <formula>NOT(ISERROR(SEARCH("OK",N91)))</formula>
    </cfRule>
    <cfRule type="containsText" dxfId="2456" priority="12" operator="containsText" text="ERROR">
      <formula>NOT(ISERROR(SEARCH("ERROR",N91)))</formula>
    </cfRule>
  </conditionalFormatting>
  <conditionalFormatting sqref="N94:AC95">
    <cfRule type="cellIs" dxfId="2455" priority="849" operator="lessThan">
      <formula>0</formula>
    </cfRule>
  </conditionalFormatting>
  <conditionalFormatting sqref="N102:AC102">
    <cfRule type="cellIs" dxfId="2454" priority="979" operator="equal">
      <formula>0</formula>
    </cfRule>
  </conditionalFormatting>
  <conditionalFormatting sqref="N105:AC105">
    <cfRule type="containsText" dxfId="2453" priority="836" operator="containsText" text="OK">
      <formula>NOT(ISERROR(SEARCH("OK",N105)))</formula>
    </cfRule>
    <cfRule type="containsText" dxfId="2452" priority="837" operator="containsText" text="ERROR">
      <formula>NOT(ISERROR(SEARCH("ERROR",N105)))</formula>
    </cfRule>
  </conditionalFormatting>
  <conditionalFormatting sqref="N108:AC110">
    <cfRule type="containsText" dxfId="2451" priority="888" operator="containsText" text="OK">
      <formula>NOT(ISERROR(SEARCH("OK",N108)))</formula>
    </cfRule>
    <cfRule type="containsText" dxfId="2450" priority="889" operator="containsText" text="ERROR">
      <formula>NOT(ISERROR(SEARCH("ERROR",N108)))</formula>
    </cfRule>
    <cfRule type="cellIs" dxfId="2449" priority="890" operator="equal">
      <formula>0</formula>
    </cfRule>
    <cfRule type="cellIs" dxfId="2448" priority="891" operator="lessThan">
      <formula>0</formula>
    </cfRule>
  </conditionalFormatting>
  <conditionalFormatting sqref="N111:AC111">
    <cfRule type="cellIs" dxfId="2447" priority="842" operator="lessThan">
      <formula>0</formula>
    </cfRule>
    <cfRule type="cellIs" dxfId="2446" priority="864" operator="greaterThan">
      <formula>1000000</formula>
    </cfRule>
    <cfRule type="cellIs" dxfId="2445" priority="865" operator="between">
      <formula>500000</formula>
      <formula>1000000</formula>
    </cfRule>
  </conditionalFormatting>
  <conditionalFormatting sqref="N115:AC116">
    <cfRule type="containsText" dxfId="2444" priority="413" operator="containsText" text="OK">
      <formula>NOT(ISERROR(SEARCH("OK",N115)))</formula>
    </cfRule>
    <cfRule type="containsText" dxfId="2443" priority="414" operator="containsText" text="ERROR">
      <formula>NOT(ISERROR(SEARCH("ERROR",N115)))</formula>
    </cfRule>
  </conditionalFormatting>
  <conditionalFormatting sqref="N117:AC143">
    <cfRule type="containsText" dxfId="2442" priority="423" operator="containsText" text="OK">
      <formula>NOT(ISERROR(SEARCH("OK",N117)))</formula>
    </cfRule>
    <cfRule type="containsText" dxfId="2441" priority="424" operator="containsText" text="ERROR">
      <formula>NOT(ISERROR(SEARCH("ERROR",N117)))</formula>
    </cfRule>
  </conditionalFormatting>
  <conditionalFormatting sqref="N133:AC133">
    <cfRule type="cellIs" dxfId="2440" priority="451" operator="equal">
      <formula>0</formula>
    </cfRule>
    <cfRule type="cellIs" dxfId="2439" priority="452" operator="lessThan">
      <formula>0</formula>
    </cfRule>
  </conditionalFormatting>
  <conditionalFormatting sqref="N142:AC142">
    <cfRule type="cellIs" dxfId="2438" priority="532" operator="equal">
      <formula>0</formula>
    </cfRule>
    <cfRule type="cellIs" dxfId="2437" priority="533" operator="lessThan">
      <formula>0</formula>
    </cfRule>
  </conditionalFormatting>
  <conditionalFormatting sqref="N146:AC146">
    <cfRule type="containsText" dxfId="2436" priority="748" operator="containsText" text="OK">
      <formula>NOT(ISERROR(SEARCH("OK",N146)))</formula>
    </cfRule>
    <cfRule type="containsText" dxfId="2435" priority="749" operator="containsText" text="ERROR">
      <formula>NOT(ISERROR(SEARCH("ERROR",N146)))</formula>
    </cfRule>
  </conditionalFormatting>
  <conditionalFormatting sqref="N146:AC147">
    <cfRule type="cellIs" dxfId="2434" priority="744" operator="equal">
      <formula>0</formula>
    </cfRule>
    <cfRule type="cellIs" dxfId="2433" priority="745" operator="lessThan">
      <formula>0</formula>
    </cfRule>
  </conditionalFormatting>
  <conditionalFormatting sqref="N147:AC159">
    <cfRule type="containsText" dxfId="2432" priority="407" operator="containsText" text="OK">
      <formula>NOT(ISERROR(SEARCH("OK",N147)))</formula>
    </cfRule>
    <cfRule type="containsText" dxfId="2431" priority="408" operator="containsText" text="ERROR">
      <formula>NOT(ISERROR(SEARCH("ERROR",N147)))</formula>
    </cfRule>
  </conditionalFormatting>
  <conditionalFormatting sqref="N148:AC148">
    <cfRule type="containsText" dxfId="2430" priority="373" operator="containsText" text="OK">
      <formula>NOT(ISERROR(SEARCH("OK",N148)))</formula>
    </cfRule>
    <cfRule type="containsText" dxfId="2429" priority="374" operator="containsText" text="ERROR">
      <formula>NOT(ISERROR(SEARCH("ERROR",N148)))</formula>
    </cfRule>
  </conditionalFormatting>
  <conditionalFormatting sqref="N148:AC152">
    <cfRule type="containsText" dxfId="2428" priority="367" operator="containsText" text="OK">
      <formula>NOT(ISERROR(SEARCH("OK",N148)))</formula>
    </cfRule>
    <cfRule type="containsText" dxfId="2427" priority="368" operator="containsText" text="ERROR">
      <formula>NOT(ISERROR(SEARCH("ERROR",N148)))</formula>
    </cfRule>
    <cfRule type="cellIs" dxfId="2426" priority="375" operator="equal">
      <formula>0</formula>
    </cfRule>
    <cfRule type="cellIs" dxfId="2425" priority="376" operator="lessThan">
      <formula>0</formula>
    </cfRule>
  </conditionalFormatting>
  <conditionalFormatting sqref="N149:AC152">
    <cfRule type="containsText" dxfId="2424" priority="365" operator="containsText" text="OK">
      <formula>NOT(ISERROR(SEARCH("OK",N149)))</formula>
    </cfRule>
    <cfRule type="containsText" dxfId="2423" priority="366" operator="containsText" text="ERROR">
      <formula>NOT(ISERROR(SEARCH("ERROR",N149)))</formula>
    </cfRule>
    <cfRule type="cellIs" dxfId="2422" priority="369" operator="equal">
      <formula>0</formula>
    </cfRule>
    <cfRule type="cellIs" dxfId="2421" priority="370" operator="lessThan">
      <formula>0</formula>
    </cfRule>
  </conditionalFormatting>
  <conditionalFormatting sqref="N156:AC158">
    <cfRule type="containsText" dxfId="2420" priority="359" operator="containsText" text="OK">
      <formula>NOT(ISERROR(SEARCH("OK",N156)))</formula>
    </cfRule>
    <cfRule type="containsText" dxfId="2419" priority="360" operator="containsText" text="ERROR">
      <formula>NOT(ISERROR(SEARCH("ERROR",N156)))</formula>
    </cfRule>
    <cfRule type="containsText" dxfId="2418" priority="361" operator="containsText" text="OK">
      <formula>NOT(ISERROR(SEARCH("OK",N156)))</formula>
    </cfRule>
    <cfRule type="containsText" dxfId="2417" priority="362" operator="containsText" text="ERROR">
      <formula>NOT(ISERROR(SEARCH("ERROR",N156)))</formula>
    </cfRule>
  </conditionalFormatting>
  <conditionalFormatting sqref="N160:AC162">
    <cfRule type="containsText" dxfId="2416" priority="327" operator="containsText" text="OK">
      <formula>NOT(ISERROR(SEARCH("OK",N160)))</formula>
    </cfRule>
    <cfRule type="containsText" dxfId="2415" priority="328" operator="containsText" text="ERROR">
      <formula>NOT(ISERROR(SEARCH("ERROR",N160)))</formula>
    </cfRule>
    <cfRule type="cellIs" dxfId="2414" priority="329" operator="equal">
      <formula>0</formula>
    </cfRule>
    <cfRule type="cellIs" dxfId="2413" priority="330" operator="lessThan">
      <formula>0</formula>
    </cfRule>
  </conditionalFormatting>
  <conditionalFormatting sqref="N164:AC164 L94:L95 N97:O97 Q97:R97 V97 L99:L100 N99:AC103 L102:L104 P107 N94 N95:AC95 N33:AC36 L16:L21 L34:L36 N15:AC17 O93:AC93 N89:V89 W98:AC98 N66:AC68 L183:L187 K148:L159 K164:L164 K188:L190 K167:L168 K170:L171 N112:AC113 J117:M117">
    <cfRule type="containsText" dxfId="2412" priority="1142" operator="containsText" text="OK">
      <formula>NOT(ISERROR(SEARCH("OK",J15)))</formula>
    </cfRule>
  </conditionalFormatting>
  <conditionalFormatting sqref="N165:AC165">
    <cfRule type="containsText" dxfId="2411" priority="578" operator="containsText" text="OK">
      <formula>NOT(ISERROR(SEARCH("OK",N165)))</formula>
    </cfRule>
    <cfRule type="containsText" dxfId="2410" priority="579" operator="containsText" text="ERROR">
      <formula>NOT(ISERROR(SEARCH("ERROR",N165)))</formula>
    </cfRule>
    <cfRule type="cellIs" dxfId="2409" priority="580" operator="equal">
      <formula>0</formula>
    </cfRule>
    <cfRule type="cellIs" dxfId="2408" priority="581" operator="lessThan">
      <formula>0</formula>
    </cfRule>
  </conditionalFormatting>
  <conditionalFormatting sqref="N167:AC171">
    <cfRule type="containsText" dxfId="2407" priority="572" operator="containsText" text="OK">
      <formula>NOT(ISERROR(SEARCH("OK",N167)))</formula>
    </cfRule>
    <cfRule type="containsText" dxfId="2406" priority="573" operator="containsText" text="ERROR">
      <formula>NOT(ISERROR(SEARCH("ERROR",N167)))</formula>
    </cfRule>
  </conditionalFormatting>
  <conditionalFormatting sqref="N172:AC173">
    <cfRule type="containsText" dxfId="2405" priority="802" operator="containsText" text="OK">
      <formula>NOT(ISERROR(SEARCH("OK",N172)))</formula>
    </cfRule>
    <cfRule type="containsText" dxfId="2404" priority="803" operator="containsText" text="ERROR">
      <formula>NOT(ISERROR(SEARCH("ERROR",N172)))</formula>
    </cfRule>
  </conditionalFormatting>
  <conditionalFormatting sqref="N173:AC173">
    <cfRule type="cellIs" dxfId="2403" priority="800" operator="equal">
      <formula>0</formula>
    </cfRule>
    <cfRule type="cellIs" dxfId="2402" priority="801" operator="lessThan">
      <formula>0</formula>
    </cfRule>
  </conditionalFormatting>
  <conditionalFormatting sqref="N174:AC187">
    <cfRule type="containsText" dxfId="2401" priority="626" operator="containsText" text="OK">
      <formula>NOT(ISERROR(SEARCH("OK",N174)))</formula>
    </cfRule>
    <cfRule type="containsText" dxfId="2400" priority="627" operator="containsText" text="ERROR">
      <formula>NOT(ISERROR(SEARCH("ERROR",N174)))</formula>
    </cfRule>
  </conditionalFormatting>
  <conditionalFormatting sqref="N176:AC176">
    <cfRule type="cellIs" dxfId="2399" priority="792" operator="equal">
      <formula>0</formula>
    </cfRule>
    <cfRule type="cellIs" dxfId="2398" priority="793" operator="lessThan">
      <formula>0</formula>
    </cfRule>
  </conditionalFormatting>
  <conditionalFormatting sqref="N188:AC195">
    <cfRule type="containsText" dxfId="2397" priority="630" operator="containsText" text="OK">
      <formula>NOT(ISERROR(SEARCH("OK",N188)))</formula>
    </cfRule>
    <cfRule type="containsText" dxfId="2396" priority="631" operator="containsText" text="ERROR">
      <formula>NOT(ISERROR(SEARCH("ERROR",N188)))</formula>
    </cfRule>
  </conditionalFormatting>
  <conditionalFormatting sqref="N191:AC193">
    <cfRule type="cellIs" dxfId="2395" priority="758" operator="equal">
      <formula>0</formula>
    </cfRule>
    <cfRule type="cellIs" dxfId="2394" priority="759" operator="lessThan">
      <formula>0</formula>
    </cfRule>
  </conditionalFormatting>
  <conditionalFormatting sqref="N195:AC195">
    <cfRule type="cellIs" dxfId="2393" priority="794" operator="equal">
      <formula>0</formula>
    </cfRule>
    <cfRule type="cellIs" dxfId="2392" priority="795" operator="lessThan">
      <formula>0</formula>
    </cfRule>
  </conditionalFormatting>
  <conditionalFormatting sqref="N196:AC197">
    <cfRule type="containsText" dxfId="2391" priority="820" operator="containsText" text="OK">
      <formula>NOT(ISERROR(SEARCH("OK",N196)))</formula>
    </cfRule>
    <cfRule type="containsText" dxfId="2390" priority="821" operator="containsText" text="ERROR">
      <formula>NOT(ISERROR(SEARCH("ERROR",N196)))</formula>
    </cfRule>
  </conditionalFormatting>
  <conditionalFormatting sqref="N197:AC197">
    <cfRule type="cellIs" dxfId="2389" priority="818" operator="equal">
      <formula>0</formula>
    </cfRule>
    <cfRule type="cellIs" dxfId="2388" priority="819" operator="lessThan">
      <formula>0</formula>
    </cfRule>
  </conditionalFormatting>
  <conditionalFormatting sqref="N200:AC204">
    <cfRule type="cellIs" dxfId="2387" priority="922" operator="equal">
      <formula>0</formula>
    </cfRule>
    <cfRule type="cellIs" dxfId="2386" priority="923" operator="lessThan">
      <formula>0</formula>
    </cfRule>
  </conditionalFormatting>
  <conditionalFormatting sqref="N211:AC211">
    <cfRule type="cellIs" dxfId="2385" priority="1114" operator="equal">
      <formula>0</formula>
    </cfRule>
    <cfRule type="cellIs" dxfId="2384" priority="1115" operator="lessThan">
      <formula>0</formula>
    </cfRule>
  </conditionalFormatting>
  <conditionalFormatting sqref="N220:AC221">
    <cfRule type="containsText" dxfId="2383" priority="980" operator="containsText" text="wrong">
      <formula>NOT(ISERROR(SEARCH("wrong",N220)))</formula>
    </cfRule>
  </conditionalFormatting>
  <conditionalFormatting sqref="N226:AC226">
    <cfRule type="cellIs" dxfId="2382" priority="1116" operator="equal">
      <formula>0</formula>
    </cfRule>
    <cfRule type="cellIs" dxfId="2381" priority="1117" operator="lessThan">
      <formula>0</formula>
    </cfRule>
  </conditionalFormatting>
  <conditionalFormatting sqref="N243:AC243">
    <cfRule type="cellIs" dxfId="2380" priority="620" operator="lessThan">
      <formula>0</formula>
    </cfRule>
    <cfRule type="containsText" dxfId="2379" priority="622" operator="containsText" text="OK">
      <formula>NOT(ISERROR(SEARCH("OK",N243)))</formula>
    </cfRule>
    <cfRule type="containsText" dxfId="2378" priority="623" operator="containsText" text="ERROR">
      <formula>NOT(ISERROR(SEARCH("ERROR",N243)))</formula>
    </cfRule>
  </conditionalFormatting>
  <conditionalFormatting sqref="N245:AC245">
    <cfRule type="cellIs" dxfId="2377" priority="945" operator="equal">
      <formula>0</formula>
    </cfRule>
    <cfRule type="cellIs" dxfId="2376" priority="946" operator="lessThan">
      <formula>0</formula>
    </cfRule>
  </conditionalFormatting>
  <conditionalFormatting sqref="N258:AC258">
    <cfRule type="cellIs" dxfId="2375" priority="701" operator="equal">
      <formula>0</formula>
    </cfRule>
    <cfRule type="cellIs" dxfId="2374" priority="702" operator="lessThan">
      <formula>0</formula>
    </cfRule>
    <cfRule type="containsText" dxfId="2373" priority="703" operator="containsText" text="OK">
      <formula>NOT(ISERROR(SEARCH("OK",N258)))</formula>
    </cfRule>
    <cfRule type="containsText" dxfId="2372" priority="704" operator="containsText" text="ERROR">
      <formula>NOT(ISERROR(SEARCH("ERROR",N258)))</formula>
    </cfRule>
    <cfRule type="cellIs" dxfId="2371" priority="705" operator="equal">
      <formula>0</formula>
    </cfRule>
    <cfRule type="cellIs" dxfId="2370" priority="706" operator="lessThan">
      <formula>0</formula>
    </cfRule>
  </conditionalFormatting>
  <conditionalFormatting sqref="N260:AC264">
    <cfRule type="cellIs" dxfId="2369" priority="605" operator="equal">
      <formula>0</formula>
    </cfRule>
    <cfRule type="cellIs" dxfId="2368" priority="606" operator="lessThan">
      <formula>0</formula>
    </cfRule>
  </conditionalFormatting>
  <conditionalFormatting sqref="N269:AC269">
    <cfRule type="cellIs" dxfId="2367" priority="929" operator="equal">
      <formula>0</formula>
    </cfRule>
    <cfRule type="cellIs" dxfId="2366" priority="930" operator="lessThan">
      <formula>0</formula>
    </cfRule>
  </conditionalFormatting>
  <conditionalFormatting sqref="N271:AC271">
    <cfRule type="cellIs" dxfId="2365" priority="931" operator="equal">
      <formula>0</formula>
    </cfRule>
    <cfRule type="cellIs" dxfId="2364" priority="932" operator="lessThan">
      <formula>0</formula>
    </cfRule>
  </conditionalFormatting>
  <conditionalFormatting sqref="N305:AC305">
    <cfRule type="containsText" dxfId="2363" priority="1109" operator="containsText" text="wrong">
      <formula>NOT(ISERROR(SEARCH("wrong",N305)))</formula>
    </cfRule>
    <cfRule type="cellIs" dxfId="2362" priority="1110" operator="equal">
      <formula>0</formula>
    </cfRule>
    <cfRule type="cellIs" dxfId="2361" priority="1111" operator="lessThan">
      <formula>0</formula>
    </cfRule>
  </conditionalFormatting>
  <conditionalFormatting sqref="N318:AC318">
    <cfRule type="cellIs" dxfId="2360" priority="810" operator="equal">
      <formula>0</formula>
    </cfRule>
    <cfRule type="cellIs" dxfId="2359" priority="811" operator="lessThan">
      <formula>0</formula>
    </cfRule>
    <cfRule type="containsText" dxfId="2358" priority="812" operator="containsText" text="OK">
      <formula>NOT(ISERROR(SEARCH("OK",N318)))</formula>
    </cfRule>
    <cfRule type="containsText" dxfId="2357" priority="813" operator="containsText" text="ERROR">
      <formula>NOT(ISERROR(SEARCH("ERROR",N318)))</formula>
    </cfRule>
  </conditionalFormatting>
  <conditionalFormatting sqref="N350:AC350">
    <cfRule type="cellIs" dxfId="2356" priority="2269" operator="equal">
      <formula>0</formula>
    </cfRule>
    <cfRule type="cellIs" dxfId="2355" priority="2270" operator="lessThan">
      <formula>0</formula>
    </cfRule>
    <cfRule type="containsText" dxfId="2354" priority="2277" operator="containsText" text="OK">
      <formula>NOT(ISERROR(SEARCH("OK",N350)))</formula>
    </cfRule>
    <cfRule type="containsText" dxfId="2353" priority="2278" operator="containsText" text="ERROR">
      <formula>NOT(ISERROR(SEARCH("ERROR",N350)))</formula>
    </cfRule>
  </conditionalFormatting>
  <conditionalFormatting sqref="N368:AC368">
    <cfRule type="cellIs" dxfId="2352" priority="1243" operator="equal">
      <formula>0</formula>
    </cfRule>
    <cfRule type="cellIs" dxfId="2351" priority="1244" operator="lessThan">
      <formula>0</formula>
    </cfRule>
  </conditionalFormatting>
  <conditionalFormatting sqref="N371:AC373 L372:L377 N389:AC392 L390:L392">
    <cfRule type="containsText" dxfId="2350" priority="1377" operator="containsText" text="ERROR">
      <formula>NOT(ISERROR(SEARCH("ERROR",L371)))</formula>
    </cfRule>
  </conditionalFormatting>
  <conditionalFormatting sqref="N383:AC383 N386:AC387">
    <cfRule type="containsText" dxfId="2349" priority="1275" operator="containsText" text="ERROR">
      <formula>NOT(ISERROR(SEARCH("ERROR",N383)))</formula>
    </cfRule>
    <cfRule type="containsText" dxfId="2348" priority="1280" operator="containsText" text="OK">
      <formula>NOT(ISERROR(SEARCH("OK",N383)))</formula>
    </cfRule>
    <cfRule type="containsText" dxfId="2347" priority="1281" operator="containsText" text="ERROR">
      <formula>NOT(ISERROR(SEARCH("ERROR",N383)))</formula>
    </cfRule>
  </conditionalFormatting>
  <conditionalFormatting sqref="N386:AC387 N383:AC383">
    <cfRule type="containsText" dxfId="2346" priority="1274" operator="containsText" text="OK">
      <formula>NOT(ISERROR(SEARCH("OK",N383)))</formula>
    </cfRule>
  </conditionalFormatting>
  <conditionalFormatting sqref="N386:AC387">
    <cfRule type="containsText" dxfId="2345" priority="1260" operator="containsText" text="OK">
      <formula>NOT(ISERROR(SEARCH("OK",N386)))</formula>
    </cfRule>
    <cfRule type="containsText" dxfId="2344" priority="1261" operator="containsText" text="ERROR">
      <formula>NOT(ISERROR(SEARCH("ERROR",N386)))</formula>
    </cfRule>
    <cfRule type="cellIs" dxfId="2343" priority="1262" operator="equal">
      <formula>0</formula>
    </cfRule>
    <cfRule type="cellIs" dxfId="2342" priority="1263" operator="lessThan">
      <formula>0</formula>
    </cfRule>
  </conditionalFormatting>
  <conditionalFormatting sqref="N389:AC392 L372:L377 L390:L392 N371:AC373">
    <cfRule type="containsText" dxfId="2341" priority="1376" operator="containsText" text="OK">
      <formula>NOT(ISERROR(SEARCH("OK",L371)))</formula>
    </cfRule>
  </conditionalFormatting>
  <conditionalFormatting sqref="N391:AC391">
    <cfRule type="cellIs" dxfId="2340" priority="1302" operator="equal">
      <formula>0</formula>
    </cfRule>
  </conditionalFormatting>
  <conditionalFormatting sqref="N394:AC394">
    <cfRule type="containsText" dxfId="2339" priority="1226" operator="containsText" text="OK">
      <formula>NOT(ISERROR(SEARCH("OK",N394)))</formula>
    </cfRule>
    <cfRule type="containsText" dxfId="2338" priority="1227" operator="containsText" text="ERROR">
      <formula>NOT(ISERROR(SEARCH("ERROR",N394)))</formula>
    </cfRule>
  </conditionalFormatting>
  <conditionalFormatting sqref="N395:AC395">
    <cfRule type="cellIs" dxfId="2337" priority="1247" operator="equal">
      <formula>0</formula>
    </cfRule>
    <cfRule type="cellIs" dxfId="2336" priority="1248" operator="lessThan">
      <formula>0</formula>
    </cfRule>
    <cfRule type="containsText" dxfId="2335" priority="1249" operator="containsText" text="OK">
      <formula>NOT(ISERROR(SEARCH("OK",N395)))</formula>
    </cfRule>
    <cfRule type="containsText" dxfId="2334" priority="1250" operator="containsText" text="ERROR">
      <formula>NOT(ISERROR(SEARCH("ERROR",N395)))</formula>
    </cfRule>
  </conditionalFormatting>
  <conditionalFormatting sqref="N396:AC405">
    <cfRule type="containsText" dxfId="2333" priority="1233" operator="containsText" text="OK">
      <formula>NOT(ISERROR(SEARCH("OK",N396)))</formula>
    </cfRule>
    <cfRule type="containsText" dxfId="2332" priority="1234" operator="containsText" text="ERROR">
      <formula>NOT(ISERROR(SEARCH("ERROR",N396)))</formula>
    </cfRule>
  </conditionalFormatting>
  <conditionalFormatting sqref="N402:AC402">
    <cfRule type="cellIs" dxfId="2331" priority="1270" operator="equal">
      <formula>0</formula>
    </cfRule>
    <cfRule type="cellIs" dxfId="2330" priority="1271" operator="lessThan">
      <formula>0</formula>
    </cfRule>
  </conditionalFormatting>
  <conditionalFormatting sqref="N105:AD105">
    <cfRule type="cellIs" dxfId="2329" priority="834" operator="equal">
      <formula>0</formula>
    </cfRule>
    <cfRule type="cellIs" dxfId="2328" priority="835" operator="lessThan">
      <formula>0</formula>
    </cfRule>
  </conditionalFormatting>
  <conditionalFormatting sqref="N124:AD125">
    <cfRule type="cellIs" dxfId="2327" priority="471" operator="equal">
      <formula>0</formula>
    </cfRule>
    <cfRule type="cellIs" dxfId="2326" priority="472" operator="lessThan">
      <formula>0</formula>
    </cfRule>
  </conditionalFormatting>
  <conditionalFormatting sqref="N156:AD158">
    <cfRule type="cellIs" dxfId="2325" priority="363" operator="equal">
      <formula>0</formula>
    </cfRule>
    <cfRule type="cellIs" dxfId="2324" priority="364" operator="lessThan">
      <formula>0</formula>
    </cfRule>
  </conditionalFormatting>
  <conditionalFormatting sqref="N182:AD190">
    <cfRule type="cellIs" dxfId="2323" priority="628" operator="equal">
      <formula>0</formula>
    </cfRule>
    <cfRule type="cellIs" dxfId="2322" priority="629" operator="lessThan">
      <formula>0</formula>
    </cfRule>
  </conditionalFormatting>
  <conditionalFormatting sqref="N197:AD197 N318:AD318 N173:AD175 N146:AC146 W164:AC164">
    <cfRule type="cellIs" dxfId="2321" priority="1140" operator="equal">
      <formula>0</formula>
    </cfRule>
    <cfRule type="cellIs" dxfId="2320" priority="1141" operator="lessThan">
      <formula>0</formula>
    </cfRule>
  </conditionalFormatting>
  <conditionalFormatting sqref="N243:AD243">
    <cfRule type="cellIs" dxfId="2319" priority="624" operator="equal">
      <formula>0</formula>
    </cfRule>
    <cfRule type="cellIs" dxfId="2318" priority="625" operator="lessThan">
      <formula>0</formula>
    </cfRule>
  </conditionalFormatting>
  <conditionalFormatting sqref="N350:AD350 J52 AE90:AT90 AU91:XFD91 AE95:AF95 AD96 AE100:AT100 AD101 AU101:XFD101 AE104:AT104 AU105:XFD105 AE123:AT124 AU124:XFD125 AE131:AT132 AD132:AD133 AU132:XFD133 AE145:AT151 AD146:AD152 AU146:XFD152 AE155:AT157 AU156:XFD158 AE159:AT162 AD160:AD163 AU160:XFD163 AE172:AT174 AU173:XFD175 AE181:AT189 AU182:XFD190 AE196:AT196 AU197:XFD197 AE242:AT242 AU243:XFD243 AE244:AT274 AD245:AD275 AU245:XFD275 AE310:AT310 AD311 AU311:XFD311 AE313:AT313 AD314 AU314:XFD314 AE317:AT317 AU318:XFD318 AE349:AT349 AU350:XFD350">
    <cfRule type="cellIs" dxfId="2317" priority="3850" operator="lessThan">
      <formula>0</formula>
    </cfRule>
  </conditionalFormatting>
  <conditionalFormatting sqref="N350:AD350 J52 AE90:AT90 AU91:XFD91 AE95:AF95 AD96 AE100:AT100 AU101:XFD101 AE104:AT104 AU105:XFD105 AE123:AT124 AU124:XFD125 AE131:AT132 AD132:AD133 AU132:XFD133 AE145:AT151 AD146:AD152 AU146:XFD152 AE155:AT157 AU156:XFD158 AE159:AT162 AD160:AD163 AU160:XFD163 AE172:AT174 AU173:XFD175 AE181:AT189 AU182:XFD190 AE196:AT196 AU197:XFD197 AE242:AT242 AU243:XFD243 AE244:AT274 AD245:AD275 AU245:XFD275 AE310:AT310 AD311 AU311:XFD311 AE313:AT313 AD314 AU314:XFD314 AE317:AT317 AU318:XFD318 AE349:AT349 AU350:XFD350">
    <cfRule type="cellIs" dxfId="2316" priority="3849" operator="equal">
      <formula>0</formula>
    </cfRule>
  </conditionalFormatting>
  <conditionalFormatting sqref="N39:XFD39">
    <cfRule type="cellIs" dxfId="2315" priority="726" operator="equal">
      <formula>0</formula>
    </cfRule>
    <cfRule type="cellIs" dxfId="2314" priority="727" operator="lessThan">
      <formula>0</formula>
    </cfRule>
  </conditionalFormatting>
  <conditionalFormatting sqref="N51:XFD51 H51:L51">
    <cfRule type="cellIs" dxfId="2313" priority="832" operator="equal">
      <formula>0</formula>
    </cfRule>
    <cfRule type="cellIs" dxfId="2312" priority="833" operator="lessThan">
      <formula>0</formula>
    </cfRule>
  </conditionalFormatting>
  <conditionalFormatting sqref="O97">
    <cfRule type="cellIs" dxfId="2311" priority="711" operator="greaterThan">
      <formula>60%</formula>
    </cfRule>
    <cfRule type="cellIs" dxfId="2310" priority="712" operator="between">
      <formula>19.999%</formula>
      <formula>49.99%</formula>
    </cfRule>
    <cfRule type="cellIs" dxfId="2309" priority="713" operator="between">
      <formula>10.001%</formula>
      <formula>19.999%</formula>
    </cfRule>
    <cfRule type="cellIs" dxfId="2308" priority="714" operator="lessThanOrEqual">
      <formula>10%</formula>
    </cfRule>
  </conditionalFormatting>
  <conditionalFormatting sqref="O119:P120 O122:P123">
    <cfRule type="cellIs" dxfId="2307" priority="445" operator="equal">
      <formula>0</formula>
    </cfRule>
    <cfRule type="cellIs" dxfId="2306" priority="446" operator="lessThan">
      <formula>0</formula>
    </cfRule>
  </conditionalFormatting>
  <conditionalFormatting sqref="O126:P132">
    <cfRule type="cellIs" dxfId="2305" priority="439" operator="equal">
      <formula>0</formula>
    </cfRule>
    <cfRule type="cellIs" dxfId="2304" priority="440" operator="lessThan">
      <formula>0</formula>
    </cfRule>
  </conditionalFormatting>
  <conditionalFormatting sqref="O134:P134 O136:P137">
    <cfRule type="cellIs" dxfId="2303" priority="433" operator="equal">
      <formula>0</formula>
    </cfRule>
    <cfRule type="cellIs" dxfId="2302" priority="434" operator="lessThan">
      <formula>0</formula>
    </cfRule>
  </conditionalFormatting>
  <conditionalFormatting sqref="O139:P139">
    <cfRule type="cellIs" dxfId="2301" priority="467" operator="equal">
      <formula>0</formula>
    </cfRule>
    <cfRule type="cellIs" dxfId="2300" priority="468" operator="lessThan">
      <formula>0</formula>
    </cfRule>
  </conditionalFormatting>
  <conditionalFormatting sqref="O101:R101">
    <cfRule type="cellIs" dxfId="2299" priority="882" operator="equal">
      <formula>0</formula>
    </cfRule>
    <cfRule type="cellIs" dxfId="2298" priority="883" operator="lessThan">
      <formula>0</formula>
    </cfRule>
  </conditionalFormatting>
  <conditionalFormatting sqref="O329:V329">
    <cfRule type="cellIs" dxfId="2297" priority="1131" operator="lessThan">
      <formula>0</formula>
    </cfRule>
  </conditionalFormatting>
  <conditionalFormatting sqref="O12:AC12">
    <cfRule type="cellIs" dxfId="2296" priority="2148" operator="equal">
      <formula>0</formula>
    </cfRule>
    <cfRule type="cellIs" dxfId="2295" priority="2149" operator="lessThan">
      <formula>0</formula>
    </cfRule>
  </conditionalFormatting>
  <conditionalFormatting sqref="O94:AC94">
    <cfRule type="cellIs" dxfId="2294" priority="843" operator="equal">
      <formula>0</formula>
    </cfRule>
    <cfRule type="cellIs" dxfId="2293" priority="844" operator="lessThan">
      <formula>0</formula>
    </cfRule>
    <cfRule type="containsText" dxfId="2292" priority="846" operator="containsText" text="OK">
      <formula>NOT(ISERROR(SEARCH("OK",O94)))</formula>
    </cfRule>
    <cfRule type="containsText" dxfId="2291" priority="847" operator="containsText" text="ERROR">
      <formula>NOT(ISERROR(SEARCH("ERROR",O94)))</formula>
    </cfRule>
    <cfRule type="cellIs" dxfId="2290" priority="848" operator="equal">
      <formula>0</formula>
    </cfRule>
  </conditionalFormatting>
  <conditionalFormatting sqref="O326:AC326">
    <cfRule type="cellIs" dxfId="2289" priority="594" operator="equal">
      <formula>0</formula>
    </cfRule>
    <cfRule type="cellIs" dxfId="2288" priority="595" operator="lessThan">
      <formula>0</formula>
    </cfRule>
  </conditionalFormatting>
  <conditionalFormatting sqref="O329:AC329">
    <cfRule type="cellIs" dxfId="2287" priority="984" operator="equal">
      <formula>0</formula>
    </cfRule>
  </conditionalFormatting>
  <conditionalFormatting sqref="P347:P348">
    <cfRule type="cellIs" dxfId="2286" priority="2007" operator="equal">
      <formula>0</formula>
    </cfRule>
    <cfRule type="cellIs" dxfId="2285" priority="2008" operator="lessThan">
      <formula>0</formula>
    </cfRule>
  </conditionalFormatting>
  <conditionalFormatting sqref="P352:P359">
    <cfRule type="containsText" dxfId="2284" priority="1184" operator="containsText" text="wrong">
      <formula>NOT(ISERROR(SEARCH("wrong",P352)))</formula>
    </cfRule>
  </conditionalFormatting>
  <conditionalFormatting sqref="P353:P359">
    <cfRule type="cellIs" dxfId="2283" priority="1167" operator="equal">
      <formula>0</formula>
    </cfRule>
    <cfRule type="cellIs" dxfId="2282" priority="1168" operator="lessThan">
      <formula>0</formula>
    </cfRule>
  </conditionalFormatting>
  <conditionalFormatting sqref="P78:AC78">
    <cfRule type="cellIs" dxfId="2281" priority="101" operator="equal">
      <formula>0</formula>
    </cfRule>
    <cfRule type="containsText" dxfId="2280" priority="141" operator="containsText" text="OK">
      <formula>NOT(ISERROR(SEARCH("OK",P78)))</formula>
    </cfRule>
    <cfRule type="containsText" dxfId="2279" priority="142" operator="containsText" text="ERROR">
      <formula>NOT(ISERROR(SEARCH("ERROR",P78)))</formula>
    </cfRule>
  </conditionalFormatting>
  <conditionalFormatting sqref="P78:AD78">
    <cfRule type="cellIs" dxfId="2278" priority="143" operator="equal">
      <formula>0</formula>
    </cfRule>
    <cfRule type="cellIs" dxfId="2277" priority="144" operator="lessThan">
      <formula>0</formula>
    </cfRule>
  </conditionalFormatting>
  <conditionalFormatting sqref="Q352:Q359">
    <cfRule type="cellIs" dxfId="2276" priority="1182" operator="equal">
      <formula>0</formula>
    </cfRule>
    <cfRule type="cellIs" dxfId="2275" priority="1183" operator="lessThan">
      <formula>0</formula>
    </cfRule>
  </conditionalFormatting>
  <conditionalFormatting sqref="R97">
    <cfRule type="cellIs" dxfId="2274" priority="1144" operator="between">
      <formula>0</formula>
      <formula>$V$356</formula>
    </cfRule>
    <cfRule type="cellIs" dxfId="2273" priority="1145" operator="greaterThan">
      <formula>$V$356*3</formula>
    </cfRule>
    <cfRule type="cellIs" dxfId="2272" priority="1146" operator="between">
      <formula>$V$356</formula>
      <formula>$V$356*2.999</formula>
    </cfRule>
    <cfRule type="cellIs" dxfId="2271" priority="1147" operator="lessThan">
      <formula>0</formula>
    </cfRule>
  </conditionalFormatting>
  <conditionalFormatting sqref="R71:W71">
    <cfRule type="cellIs" dxfId="2270" priority="255" operator="equal">
      <formula>0</formula>
    </cfRule>
  </conditionalFormatting>
  <conditionalFormatting sqref="R74:W74">
    <cfRule type="cellIs" dxfId="2269" priority="207" operator="equal">
      <formula>0</formula>
    </cfRule>
  </conditionalFormatting>
  <conditionalFormatting sqref="R69:AC69">
    <cfRule type="cellIs" dxfId="2268" priority="600" operator="equal">
      <formula>0</formula>
    </cfRule>
  </conditionalFormatting>
  <conditionalFormatting sqref="R72:AC72">
    <cfRule type="cellIs" dxfId="2267" priority="297" operator="equal">
      <formula>0</formula>
    </cfRule>
  </conditionalFormatting>
  <conditionalFormatting sqref="R75:AC75">
    <cfRule type="cellIs" dxfId="2266" priority="155" operator="equal">
      <formula>0</formula>
    </cfRule>
  </conditionalFormatting>
  <conditionalFormatting sqref="R78:AC78">
    <cfRule type="cellIs" dxfId="2265" priority="103" operator="equal">
      <formula>0</formula>
    </cfRule>
  </conditionalFormatting>
  <conditionalFormatting sqref="R94:AC94">
    <cfRule type="cellIs" dxfId="2264" priority="845" operator="equal">
      <formula>0</formula>
    </cfRule>
  </conditionalFormatting>
  <conditionalFormatting sqref="S352:S355">
    <cfRule type="cellIs" dxfId="2263" priority="1160" operator="equal">
      <formula>0</formula>
    </cfRule>
    <cfRule type="cellIs" dxfId="2262" priority="1161" operator="lessThan">
      <formula>0</formula>
    </cfRule>
  </conditionalFormatting>
  <conditionalFormatting sqref="S352:S359 Z352:Z359">
    <cfRule type="cellIs" dxfId="2261" priority="1180" operator="equal">
      <formula>0</formula>
    </cfRule>
    <cfRule type="cellIs" dxfId="2260" priority="1181" operator="lessThan">
      <formula>0</formula>
    </cfRule>
  </conditionalFormatting>
  <conditionalFormatting sqref="S356:S357">
    <cfRule type="cellIs" dxfId="2259" priority="1162" operator="lessThan">
      <formula>0.25</formula>
    </cfRule>
    <cfRule type="cellIs" dxfId="2258" priority="1163" operator="greaterThanOrEqual">
      <formula>0.25</formula>
    </cfRule>
  </conditionalFormatting>
  <conditionalFormatting sqref="S358">
    <cfRule type="cellIs" dxfId="2257" priority="1158" operator="equal">
      <formula>0</formula>
    </cfRule>
    <cfRule type="cellIs" dxfId="2256" priority="1159" operator="lessThan">
      <formula>0</formula>
    </cfRule>
  </conditionalFormatting>
  <conditionalFormatting sqref="S359">
    <cfRule type="cellIs" dxfId="2255" priority="1164" operator="greaterThan">
      <formula>3</formula>
    </cfRule>
    <cfRule type="cellIs" dxfId="2254" priority="1165" operator="between">
      <formula>2</formula>
      <formula>2.999</formula>
    </cfRule>
    <cfRule type="cellIs" dxfId="2253" priority="1166" operator="lessThan">
      <formula>2</formula>
    </cfRule>
  </conditionalFormatting>
  <conditionalFormatting sqref="U97">
    <cfRule type="cellIs" dxfId="2252" priority="707" operator="greaterThan">
      <formula>3</formula>
    </cfRule>
    <cfRule type="cellIs" dxfId="2251" priority="708" operator="between">
      <formula>2</formula>
      <formula>2.999</formula>
    </cfRule>
    <cfRule type="cellIs" dxfId="2250" priority="709" operator="between">
      <formula>1</formula>
      <formula>1.999</formula>
    </cfRule>
    <cfRule type="cellIs" dxfId="2249" priority="710" operator="lessThan">
      <formula>1</formula>
    </cfRule>
  </conditionalFormatting>
  <conditionalFormatting sqref="U334">
    <cfRule type="cellIs" dxfId="2248" priority="2010" operator="lessThan">
      <formula>0</formula>
    </cfRule>
  </conditionalFormatting>
  <conditionalFormatting sqref="U334:V334">
    <cfRule type="cellIs" dxfId="2247" priority="2009" operator="equal">
      <formula>0</formula>
    </cfRule>
  </conditionalFormatting>
  <conditionalFormatting sqref="V333">
    <cfRule type="cellIs" dxfId="2246" priority="3828" operator="equal">
      <formula>0</formula>
    </cfRule>
  </conditionalFormatting>
  <conditionalFormatting sqref="V333:V334">
    <cfRule type="cellIs" dxfId="2245" priority="3829" operator="lessThan">
      <formula>0</formula>
    </cfRule>
  </conditionalFormatting>
  <conditionalFormatting sqref="V335:V349 V351">
    <cfRule type="containsText" dxfId="2244" priority="3759" operator="containsText" text="wrong">
      <formula>NOT(ISERROR(SEARCH("wrong",V335)))</formula>
    </cfRule>
  </conditionalFormatting>
  <conditionalFormatting sqref="V353:V359">
    <cfRule type="cellIs" dxfId="2243" priority="1178" operator="equal">
      <formula>0</formula>
    </cfRule>
    <cfRule type="cellIs" dxfId="2242" priority="1179" operator="lessThan">
      <formula>0</formula>
    </cfRule>
  </conditionalFormatting>
  <conditionalFormatting sqref="W35:AA35">
    <cfRule type="containsText" dxfId="2241" priority="1024" operator="containsText" text="OK">
      <formula>NOT(ISERROR(SEARCH("OK",W35)))</formula>
    </cfRule>
    <cfRule type="containsText" dxfId="2240" priority="1025" operator="containsText" text="ERROR">
      <formula>NOT(ISERROR(SEARCH("ERROR",W35)))</formula>
    </cfRule>
    <cfRule type="cellIs" dxfId="2239" priority="1026" operator="equal">
      <formula>0</formula>
    </cfRule>
  </conditionalFormatting>
  <conditionalFormatting sqref="W37:AA37">
    <cfRule type="containsText" dxfId="2238" priority="1018" operator="containsText" text="OK">
      <formula>NOT(ISERROR(SEARCH("OK",W37)))</formula>
    </cfRule>
    <cfRule type="containsText" dxfId="2237" priority="1019" operator="containsText" text="ERROR">
      <formula>NOT(ISERROR(SEARCH("ERROR",W37)))</formula>
    </cfRule>
    <cfRule type="containsText" dxfId="2236" priority="1020" operator="containsText" text="OK">
      <formula>NOT(ISERROR(SEARCH("OK",W37)))</formula>
    </cfRule>
    <cfRule type="containsText" dxfId="2235" priority="1021" operator="containsText" text="ERROR">
      <formula>NOT(ISERROR(SEARCH("ERROR",W37)))</formula>
    </cfRule>
  </conditionalFormatting>
  <conditionalFormatting sqref="W88:AA88">
    <cfRule type="containsText" dxfId="2234" priority="914" operator="containsText" text="OK">
      <formula>NOT(ISERROR(SEARCH("OK",W88)))</formula>
    </cfRule>
    <cfRule type="containsText" dxfId="2233" priority="915" operator="containsText" text="ERROR">
      <formula>NOT(ISERROR(SEARCH("ERROR",W88)))</formula>
    </cfRule>
    <cfRule type="cellIs" dxfId="2232" priority="916" operator="equal">
      <formula>0</formula>
    </cfRule>
  </conditionalFormatting>
  <conditionalFormatting sqref="W89:AA89 W97:AA103">
    <cfRule type="containsText" dxfId="2231" priority="1028" operator="containsText" text="OK">
      <formula>NOT(ISERROR(SEARCH("OK",W89)))</formula>
    </cfRule>
    <cfRule type="containsText" dxfId="2230" priority="1029" operator="containsText" text="ERROR">
      <formula>NOT(ISERROR(SEARCH("ERROR",W89)))</formula>
    </cfRule>
    <cfRule type="cellIs" dxfId="2229" priority="1030" operator="equal">
      <formula>0</formula>
    </cfRule>
  </conditionalFormatting>
  <conditionalFormatting sqref="W379:AA381">
    <cfRule type="containsText" dxfId="2228" priority="1202" operator="containsText" text="OK">
      <formula>NOT(ISERROR(SEARCH("OK",W379)))</formula>
    </cfRule>
    <cfRule type="containsText" dxfId="2227" priority="1203" operator="containsText" text="ERROR">
      <formula>NOT(ISERROR(SEARCH("ERROR",W379)))</formula>
    </cfRule>
  </conditionalFormatting>
  <conditionalFormatting sqref="W380:AA381">
    <cfRule type="cellIs" dxfId="2226" priority="1208" operator="equal">
      <formula>0</formula>
    </cfRule>
    <cfRule type="cellIs" dxfId="2225" priority="1209" operator="lessThan">
      <formula>0</formula>
    </cfRule>
  </conditionalFormatting>
  <conditionalFormatting sqref="W391:AA391">
    <cfRule type="containsText" dxfId="2224" priority="1332" operator="containsText" text="OK">
      <formula>NOT(ISERROR(SEARCH("OK",W391)))</formula>
    </cfRule>
    <cfRule type="containsText" dxfId="2223" priority="1333" operator="containsText" text="ERROR">
      <formula>NOT(ISERROR(SEARCH("ERROR",W391)))</formula>
    </cfRule>
    <cfRule type="cellIs" dxfId="2222" priority="1334" operator="equal">
      <formula>0</formula>
    </cfRule>
  </conditionalFormatting>
  <conditionalFormatting sqref="W393:AA393">
    <cfRule type="containsText" dxfId="2221" priority="1326" operator="containsText" text="OK">
      <formula>NOT(ISERROR(SEARCH("OK",W393)))</formula>
    </cfRule>
    <cfRule type="containsText" dxfId="2220" priority="1327" operator="containsText" text="ERROR">
      <formula>NOT(ISERROR(SEARCH("ERROR",W393)))</formula>
    </cfRule>
    <cfRule type="containsText" dxfId="2219" priority="1328" operator="containsText" text="OK">
      <formula>NOT(ISERROR(SEARCH("OK",W393)))</formula>
    </cfRule>
    <cfRule type="containsText" dxfId="2218" priority="1329" operator="containsText" text="ERROR">
      <formula>NOT(ISERROR(SEARCH("ERROR",W393)))</formula>
    </cfRule>
  </conditionalFormatting>
  <conditionalFormatting sqref="W35:AB35">
    <cfRule type="cellIs" dxfId="2217" priority="1008" operator="lessThan">
      <formula>0</formula>
    </cfRule>
  </conditionalFormatting>
  <conditionalFormatting sqref="W37:AB37">
    <cfRule type="cellIs" dxfId="2216" priority="1003" operator="equal">
      <formula>0</formula>
    </cfRule>
    <cfRule type="cellIs" dxfId="2215" priority="1004" operator="lessThan">
      <formula>0</formula>
    </cfRule>
  </conditionalFormatting>
  <conditionalFormatting sqref="W52:AB65">
    <cfRule type="cellIs" dxfId="2214" priority="1009" operator="equal">
      <formula>0</formula>
    </cfRule>
  </conditionalFormatting>
  <conditionalFormatting sqref="W63:AB64">
    <cfRule type="containsText" dxfId="2213" priority="1014" operator="containsText" text="OK">
      <formula>NOT(ISERROR(SEARCH("OK",W63)))</formula>
    </cfRule>
    <cfRule type="containsText" dxfId="2212" priority="1015" operator="containsText" text="ERROR">
      <formula>NOT(ISERROR(SEARCH("ERROR",W63)))</formula>
    </cfRule>
  </conditionalFormatting>
  <conditionalFormatting sqref="W73:AB73">
    <cfRule type="cellIs" dxfId="2211" priority="175" operator="equal">
      <formula>0</formula>
    </cfRule>
    <cfRule type="cellIs" dxfId="2210" priority="176" operator="lessThan">
      <formula>0</formula>
    </cfRule>
  </conditionalFormatting>
  <conditionalFormatting sqref="W88:AB88">
    <cfRule type="cellIs" dxfId="2209" priority="913" operator="lessThan">
      <formula>0</formula>
    </cfRule>
  </conditionalFormatting>
  <conditionalFormatting sqref="W89:AB89 W97:AB103 W275:AB275">
    <cfRule type="cellIs" dxfId="2208" priority="1013" operator="lessThan">
      <formula>0</formula>
    </cfRule>
  </conditionalFormatting>
  <conditionalFormatting sqref="W101:AB101">
    <cfRule type="cellIs" dxfId="2207" priority="881" operator="lessThan">
      <formula>0</formula>
    </cfRule>
  </conditionalFormatting>
  <conditionalFormatting sqref="W246:AB250">
    <cfRule type="cellIs" dxfId="2206" priority="997" operator="equal">
      <formula>0</formula>
    </cfRule>
    <cfRule type="cellIs" dxfId="2205" priority="998" operator="lessThan">
      <formula>0</formula>
    </cfRule>
  </conditionalFormatting>
  <conditionalFormatting sqref="W275:AB277">
    <cfRule type="cellIs" dxfId="2204" priority="700" operator="equal">
      <formula>0</formula>
    </cfRule>
  </conditionalFormatting>
  <conditionalFormatting sqref="W391:AB391">
    <cfRule type="cellIs" dxfId="2203" priority="1323" operator="lessThan">
      <formula>0</formula>
    </cfRule>
  </conditionalFormatting>
  <conditionalFormatting sqref="W393:AB393">
    <cfRule type="cellIs" dxfId="2202" priority="1318" operator="equal">
      <formula>0</formula>
    </cfRule>
    <cfRule type="cellIs" dxfId="2201" priority="1319" operator="lessThan">
      <formula>0</formula>
    </cfRule>
  </conditionalFormatting>
  <conditionalFormatting sqref="W18:AC20 W53:AC62 AC89 AC97:AC103 J114:AC114">
    <cfRule type="containsText" dxfId="2200" priority="990" operator="containsText" text="ERROR">
      <formula>NOT(ISERROR(SEARCH("ERROR",J18)))</formula>
    </cfRule>
  </conditionalFormatting>
  <conditionalFormatting sqref="W18:AC21 W52:AC64 AB89:AC89 AB97:AC103 W114:AC114 W170:AC170 W32:AC32 W198:AC199 W208:AC210 W212:AC225 W256:AC257 W319:AC323 W325:AC325">
    <cfRule type="cellIs" dxfId="2199" priority="992" operator="lessThan">
      <formula>0</formula>
    </cfRule>
  </conditionalFormatting>
  <conditionalFormatting sqref="W18:AC21 AC52:AC64 AC89 AC97:AC103 W114:AC114 W212:AC225 W170:AC170 W32:AC32 W198:AC199 W208:AC210 W256:AC257 W319:AC323 W325:AC325 W327:AC328 W330:AC349">
    <cfRule type="cellIs" dxfId="2198" priority="991" operator="equal">
      <formula>0</formula>
    </cfRule>
  </conditionalFormatting>
  <conditionalFormatting sqref="W21:AC21">
    <cfRule type="containsText" dxfId="2197" priority="993" operator="containsText" text="OK">
      <formula>NOT(ISERROR(SEARCH("OK",W21)))</formula>
    </cfRule>
    <cfRule type="containsText" dxfId="2196" priority="994" operator="containsText" text="ERROR">
      <formula>NOT(ISERROR(SEARCH("ERROR",W21)))</formula>
    </cfRule>
  </conditionalFormatting>
  <conditionalFormatting sqref="W22:AC22">
    <cfRule type="cellIs" dxfId="2195" priority="564" operator="equal">
      <formula>0</formula>
    </cfRule>
    <cfRule type="cellIs" dxfId="2194" priority="565" operator="lessThan">
      <formula>0</formula>
    </cfRule>
    <cfRule type="containsText" dxfId="2193" priority="566" operator="containsText" text="OK">
      <formula>NOT(ISERROR(SEARCH("OK",W22)))</formula>
    </cfRule>
    <cfRule type="containsText" dxfId="2192" priority="567" operator="containsText" text="ERROR">
      <formula>NOT(ISERROR(SEARCH("ERROR",W22)))</formula>
    </cfRule>
  </conditionalFormatting>
  <conditionalFormatting sqref="W23:AC23">
    <cfRule type="containsText" dxfId="2191" priority="548" operator="containsText" text="OK">
      <formula>NOT(ISERROR(SEARCH("OK",W23)))</formula>
    </cfRule>
    <cfRule type="containsText" dxfId="2190" priority="549" operator="containsText" text="ERROR">
      <formula>NOT(ISERROR(SEARCH("ERROR",W23)))</formula>
    </cfRule>
  </conditionalFormatting>
  <conditionalFormatting sqref="W24:AC26">
    <cfRule type="containsText" dxfId="2189" priority="19" operator="containsText" text="OK">
      <formula>NOT(ISERROR(SEARCH("OK",W24)))</formula>
    </cfRule>
    <cfRule type="containsText" dxfId="2188" priority="20" operator="containsText" text="ERROR">
      <formula>NOT(ISERROR(SEARCH("ERROR",W24)))</formula>
    </cfRule>
    <cfRule type="cellIs" dxfId="2187" priority="21" operator="equal">
      <formula>0</formula>
    </cfRule>
    <cfRule type="cellIs" dxfId="2186" priority="22" operator="lessThan">
      <formula>0</formula>
    </cfRule>
  </conditionalFormatting>
  <conditionalFormatting sqref="W65:AC65">
    <cfRule type="containsText" dxfId="2185" priority="981" operator="containsText" text="OK">
      <formula>NOT(ISERROR(SEARCH("OK",W65)))</formula>
    </cfRule>
    <cfRule type="containsText" dxfId="2184" priority="982" operator="containsText" text="ERROR">
      <formula>NOT(ISERROR(SEARCH("ERROR",W65)))</formula>
    </cfRule>
  </conditionalFormatting>
  <conditionalFormatting sqref="W70:AC70">
    <cfRule type="cellIs" dxfId="2183" priority="715" operator="equal">
      <formula>0</formula>
    </cfRule>
    <cfRule type="cellIs" dxfId="2182" priority="716" operator="lessThan">
      <formula>0</formula>
    </cfRule>
  </conditionalFormatting>
  <conditionalFormatting sqref="W97:AC103">
    <cfRule type="cellIs" dxfId="2181" priority="988" operator="equal">
      <formula>0</formula>
    </cfRule>
  </conditionalFormatting>
  <conditionalFormatting sqref="W101:AC101">
    <cfRule type="containsText" dxfId="2180" priority="877" operator="containsText" text="OK">
      <formula>NOT(ISERROR(SEARCH("OK",W101)))</formula>
    </cfRule>
    <cfRule type="containsText" dxfId="2179" priority="878" operator="containsText" text="ERROR">
      <formula>NOT(ISERROR(SEARCH("ERROR",W101)))</formula>
    </cfRule>
  </conditionalFormatting>
  <conditionalFormatting sqref="W138:AC138">
    <cfRule type="cellIs" dxfId="2178" priority="503" operator="equal">
      <formula>0</formula>
    </cfRule>
    <cfRule type="cellIs" dxfId="2177" priority="504" operator="lessThan">
      <formula>0</formula>
    </cfRule>
  </conditionalFormatting>
  <conditionalFormatting sqref="W153:AC155">
    <cfRule type="containsText" dxfId="2176" priority="377" operator="containsText" text="OK">
      <formula>NOT(ISERROR(SEARCH("OK",W153)))</formula>
    </cfRule>
    <cfRule type="containsText" dxfId="2175" priority="378" operator="containsText" text="ERROR">
      <formula>NOT(ISERROR(SEARCH("ERROR",W153)))</formula>
    </cfRule>
    <cfRule type="cellIs" dxfId="2174" priority="379" operator="equal">
      <formula>0</formula>
    </cfRule>
    <cfRule type="cellIs" dxfId="2173" priority="380" operator="lessThan">
      <formula>0</formula>
    </cfRule>
  </conditionalFormatting>
  <conditionalFormatting sqref="W227:AC240">
    <cfRule type="cellIs" dxfId="2172" priority="632" operator="lessThan">
      <formula>0</formula>
    </cfRule>
  </conditionalFormatting>
  <conditionalFormatting sqref="W227:AC243">
    <cfRule type="cellIs" dxfId="2171" priority="619" operator="equal">
      <formula>0</formula>
    </cfRule>
  </conditionalFormatting>
  <conditionalFormatting sqref="W259:AC268">
    <cfRule type="cellIs" dxfId="2170" priority="607" operator="equal">
      <formula>0</formula>
    </cfRule>
    <cfRule type="cellIs" dxfId="2169" priority="608" operator="lessThan">
      <formula>0</formula>
    </cfRule>
  </conditionalFormatting>
  <conditionalFormatting sqref="W277:AC277">
    <cfRule type="cellIs" dxfId="2168" priority="699" operator="lessThan">
      <formula>0</formula>
    </cfRule>
  </conditionalFormatting>
  <conditionalFormatting sqref="W306:AC306">
    <cfRule type="cellIs" dxfId="2167" priority="696" operator="equal">
      <formula>0</formula>
    </cfRule>
    <cfRule type="cellIs" dxfId="2166" priority="697" operator="lessThan">
      <formula>0</formula>
    </cfRule>
  </conditionalFormatting>
  <conditionalFormatting sqref="W311:AC317">
    <cfRule type="cellIs" dxfId="2165" priority="959" operator="equal">
      <formula>0</formula>
    </cfRule>
    <cfRule type="cellIs" dxfId="2164" priority="960" operator="lessThan">
      <formula>0</formula>
    </cfRule>
  </conditionalFormatting>
  <conditionalFormatting sqref="W327:AC349">
    <cfRule type="cellIs" dxfId="2163" priority="985" operator="lessThan">
      <formula>0</formula>
    </cfRule>
  </conditionalFormatting>
  <conditionalFormatting sqref="W351:AC351">
    <cfRule type="cellIs" dxfId="2162" priority="3236" operator="equal">
      <formula>0</formula>
    </cfRule>
    <cfRule type="cellIs" dxfId="2161" priority="3237" operator="lessThan">
      <formula>0</formula>
    </cfRule>
  </conditionalFormatting>
  <conditionalFormatting sqref="W360:AC360 W865:AC1048576">
    <cfRule type="cellIs" dxfId="2160" priority="3324" operator="equal">
      <formula>0</formula>
    </cfRule>
    <cfRule type="cellIs" dxfId="2159" priority="3325" operator="lessThan">
      <formula>0</formula>
    </cfRule>
  </conditionalFormatting>
  <conditionalFormatting sqref="W362:AC362">
    <cfRule type="cellIs" dxfId="2158" priority="1187" operator="equal">
      <formula>0</formula>
    </cfRule>
    <cfRule type="cellIs" dxfId="2157" priority="1188" operator="lessThan">
      <formula>0</formula>
    </cfRule>
  </conditionalFormatting>
  <conditionalFormatting sqref="W374:AC376">
    <cfRule type="containsText" dxfId="2156" priority="1308" operator="containsText" text="OK">
      <formula>NOT(ISERROR(SEARCH("OK",W374)))</formula>
    </cfRule>
    <cfRule type="containsText" dxfId="2155" priority="1309" operator="containsText" text="ERROR">
      <formula>NOT(ISERROR(SEARCH("ERROR",W374)))</formula>
    </cfRule>
  </conditionalFormatting>
  <conditionalFormatting sqref="W374:AC377 W388:AC388">
    <cfRule type="cellIs" dxfId="2154" priority="1310" operator="equal">
      <formula>0</formula>
    </cfRule>
    <cfRule type="cellIs" dxfId="2153" priority="1311" operator="lessThan">
      <formula>0</formula>
    </cfRule>
  </conditionalFormatting>
  <conditionalFormatting sqref="W377:AC377">
    <cfRule type="containsText" dxfId="2152" priority="1312" operator="containsText" text="OK">
      <formula>NOT(ISERROR(SEARCH("OK",W377)))</formula>
    </cfRule>
    <cfRule type="containsText" dxfId="2151" priority="1313" operator="containsText" text="ERROR">
      <formula>NOT(ISERROR(SEARCH("ERROR",W377)))</formula>
    </cfRule>
  </conditionalFormatting>
  <conditionalFormatting sqref="W378:AC378">
    <cfRule type="cellIs" dxfId="2150" priority="1216" operator="equal">
      <formula>0</formula>
    </cfRule>
    <cfRule type="cellIs" dxfId="2149" priority="1217" operator="lessThan">
      <formula>0</formula>
    </cfRule>
    <cfRule type="containsText" dxfId="2148" priority="1218" operator="containsText" text="OK">
      <formula>NOT(ISERROR(SEARCH("OK",W378)))</formula>
    </cfRule>
    <cfRule type="containsText" dxfId="2147" priority="1219" operator="containsText" text="ERROR">
      <formula>NOT(ISERROR(SEARCH("ERROR",W378)))</formula>
    </cfRule>
  </conditionalFormatting>
  <conditionalFormatting sqref="W382:AC382">
    <cfRule type="containsText" dxfId="2146" priority="1284" operator="containsText" text="OK">
      <formula>NOT(ISERROR(SEARCH("OK",W382)))</formula>
    </cfRule>
    <cfRule type="containsText" dxfId="2145" priority="1285" operator="containsText" text="ERROR">
      <formula>NOT(ISERROR(SEARCH("ERROR",W382)))</formula>
    </cfRule>
    <cfRule type="cellIs" dxfId="2144" priority="1286" operator="equal">
      <formula>0</formula>
    </cfRule>
    <cfRule type="cellIs" dxfId="2143" priority="1287" operator="lessThan">
      <formula>0</formula>
    </cfRule>
  </conditionalFormatting>
  <conditionalFormatting sqref="W407:AC407">
    <cfRule type="cellIs" dxfId="2142" priority="39" operator="equal">
      <formula>0</formula>
    </cfRule>
    <cfRule type="cellIs" dxfId="2141" priority="40" operator="lessThan">
      <formula>0</formula>
    </cfRule>
  </conditionalFormatting>
  <conditionalFormatting sqref="W455:AC455">
    <cfRule type="cellIs" dxfId="2140" priority="46" operator="equal">
      <formula>0</formula>
    </cfRule>
    <cfRule type="cellIs" dxfId="2139" priority="47" operator="lessThan">
      <formula>0</formula>
    </cfRule>
  </conditionalFormatting>
  <conditionalFormatting sqref="W101:AD101">
    <cfRule type="cellIs" dxfId="2138" priority="879" operator="equal">
      <formula>0</formula>
    </cfRule>
  </conditionalFormatting>
  <conditionalFormatting sqref="X71:AA71">
    <cfRule type="containsText" dxfId="2137" priority="291" operator="containsText" text="OK">
      <formula>NOT(ISERROR(SEARCH("OK",X71)))</formula>
    </cfRule>
    <cfRule type="containsText" dxfId="2136" priority="292" operator="containsText" text="ERROR">
      <formula>NOT(ISERROR(SEARCH("ERROR",X71)))</formula>
    </cfRule>
    <cfRule type="containsText" dxfId="2135" priority="293" operator="containsText" text="OK">
      <formula>NOT(ISERROR(SEARCH("OK",X71)))</formula>
    </cfRule>
    <cfRule type="containsText" dxfId="2134" priority="294" operator="containsText" text="ERROR">
      <formula>NOT(ISERROR(SEARCH("ERROR",X71)))</formula>
    </cfRule>
    <cfRule type="cellIs" dxfId="2133" priority="295" operator="equal">
      <formula>0</formula>
    </cfRule>
    <cfRule type="cellIs" dxfId="2132" priority="296" operator="lessThan">
      <formula>0</formula>
    </cfRule>
  </conditionalFormatting>
  <conditionalFormatting sqref="X74:AA74">
    <cfRule type="containsText" dxfId="2131" priority="201" operator="containsText" text="OK">
      <formula>NOT(ISERROR(SEARCH("OK",X74)))</formula>
    </cfRule>
    <cfRule type="containsText" dxfId="2130" priority="202" operator="containsText" text="ERROR">
      <formula>NOT(ISERROR(SEARCH("ERROR",X74)))</formula>
    </cfRule>
    <cfRule type="containsText" dxfId="2129" priority="203" operator="containsText" text="OK">
      <formula>NOT(ISERROR(SEARCH("OK",X74)))</formula>
    </cfRule>
    <cfRule type="containsText" dxfId="2128" priority="204" operator="containsText" text="ERROR">
      <formula>NOT(ISERROR(SEARCH("ERROR",X74)))</formula>
    </cfRule>
  </conditionalFormatting>
  <conditionalFormatting sqref="X71:AB71">
    <cfRule type="cellIs" dxfId="2127" priority="287" operator="equal">
      <formula>0</formula>
    </cfRule>
    <cfRule type="cellIs" dxfId="2126" priority="288" operator="lessThan">
      <formula>0</formula>
    </cfRule>
  </conditionalFormatting>
  <conditionalFormatting sqref="X74:AB74">
    <cfRule type="cellIs" dxfId="2125" priority="197" operator="equal">
      <formula>0</formula>
    </cfRule>
    <cfRule type="cellIs" dxfId="2124" priority="198" operator="lessThan">
      <formula>0</formula>
    </cfRule>
  </conditionalFormatting>
  <conditionalFormatting sqref="X259:AC259">
    <cfRule type="cellIs" dxfId="2123" priority="947" operator="equal">
      <formula>0</formula>
    </cfRule>
    <cfRule type="cellIs" dxfId="2122" priority="948" operator="lessThan">
      <formula>0</formula>
    </cfRule>
  </conditionalFormatting>
  <conditionalFormatting sqref="Y352:Y355">
    <cfRule type="cellIs" dxfId="2121" priority="1171" operator="equal">
      <formula>0</formula>
    </cfRule>
    <cfRule type="cellIs" dxfId="2120" priority="1172" operator="lessThan">
      <formula>0</formula>
    </cfRule>
  </conditionalFormatting>
  <conditionalFormatting sqref="Y356:Y357">
    <cfRule type="cellIs" dxfId="2119" priority="1173" operator="lessThan">
      <formula>0.25</formula>
    </cfRule>
    <cfRule type="cellIs" dxfId="2118" priority="1174" operator="greaterThanOrEqual">
      <formula>0.25</formula>
    </cfRule>
  </conditionalFormatting>
  <conditionalFormatting sqref="Y358">
    <cfRule type="cellIs" dxfId="2117" priority="1169" operator="equal">
      <formula>0</formula>
    </cfRule>
    <cfRule type="cellIs" dxfId="2116" priority="1170" operator="lessThan">
      <formula>0</formula>
    </cfRule>
  </conditionalFormatting>
  <conditionalFormatting sqref="Y359">
    <cfRule type="cellIs" dxfId="2115" priority="1175" operator="greaterThan">
      <formula>3</formula>
    </cfRule>
    <cfRule type="cellIs" dxfId="2114" priority="1176" operator="between">
      <formula>2</formula>
      <formula>2.999</formula>
    </cfRule>
    <cfRule type="cellIs" dxfId="2113" priority="1177" operator="lessThan">
      <formula>2</formula>
    </cfRule>
  </conditionalFormatting>
  <conditionalFormatting sqref="AB35">
    <cfRule type="containsText" dxfId="2112" priority="1005" operator="containsText" text="OK">
      <formula>NOT(ISERROR(SEARCH("OK",AB35)))</formula>
    </cfRule>
    <cfRule type="containsText" dxfId="2111" priority="1006" operator="containsText" text="ERROR">
      <formula>NOT(ISERROR(SEARCH("ERROR",AB35)))</formula>
    </cfRule>
    <cfRule type="cellIs" dxfId="2110" priority="1007" operator="equal">
      <formula>0</formula>
    </cfRule>
  </conditionalFormatting>
  <conditionalFormatting sqref="AB37">
    <cfRule type="containsText" dxfId="2109" priority="999" operator="containsText" text="OK">
      <formula>NOT(ISERROR(SEARCH("OK",AB37)))</formula>
    </cfRule>
    <cfRule type="containsText" dxfId="2108" priority="1000" operator="containsText" text="ERROR">
      <formula>NOT(ISERROR(SEARCH("ERROR",AB37)))</formula>
    </cfRule>
    <cfRule type="containsText" dxfId="2107" priority="1001" operator="containsText" text="OK">
      <formula>NOT(ISERROR(SEARCH("OK",AB37)))</formula>
    </cfRule>
    <cfRule type="containsText" dxfId="2106" priority="1002" operator="containsText" text="ERROR">
      <formula>NOT(ISERROR(SEARCH("ERROR",AB37)))</formula>
    </cfRule>
  </conditionalFormatting>
  <conditionalFormatting sqref="AB71">
    <cfRule type="containsText" dxfId="2105" priority="283" operator="containsText" text="OK">
      <formula>NOT(ISERROR(SEARCH("OK",AB71)))</formula>
    </cfRule>
    <cfRule type="containsText" dxfId="2104" priority="284" operator="containsText" text="ERROR">
      <formula>NOT(ISERROR(SEARCH("ERROR",AB71)))</formula>
    </cfRule>
    <cfRule type="containsText" dxfId="2103" priority="285" operator="containsText" text="OK">
      <formula>NOT(ISERROR(SEARCH("OK",AB71)))</formula>
    </cfRule>
    <cfRule type="containsText" dxfId="2102" priority="286" operator="containsText" text="ERROR">
      <formula>NOT(ISERROR(SEARCH("ERROR",AB71)))</formula>
    </cfRule>
  </conditionalFormatting>
  <conditionalFormatting sqref="AB74">
    <cfRule type="containsText" dxfId="2101" priority="193" operator="containsText" text="OK">
      <formula>NOT(ISERROR(SEARCH("OK",AB74)))</formula>
    </cfRule>
    <cfRule type="containsText" dxfId="2100" priority="194" operator="containsText" text="ERROR">
      <formula>NOT(ISERROR(SEARCH("ERROR",AB74)))</formula>
    </cfRule>
    <cfRule type="containsText" dxfId="2099" priority="195" operator="containsText" text="OK">
      <formula>NOT(ISERROR(SEARCH("OK",AB74)))</formula>
    </cfRule>
    <cfRule type="containsText" dxfId="2098" priority="196" operator="containsText" text="ERROR">
      <formula>NOT(ISERROR(SEARCH("ERROR",AB74)))</formula>
    </cfRule>
  </conditionalFormatting>
  <conditionalFormatting sqref="AB89 AB97:AB103">
    <cfRule type="containsText" dxfId="2097" priority="1010" operator="containsText" text="OK">
      <formula>NOT(ISERROR(SEARCH("OK",AB89)))</formula>
    </cfRule>
    <cfRule type="containsText" dxfId="2096" priority="1011" operator="containsText" text="ERROR">
      <formula>NOT(ISERROR(SEARCH("ERROR",AB89)))</formula>
    </cfRule>
    <cfRule type="cellIs" dxfId="2095" priority="1012" operator="equal">
      <formula>0</formula>
    </cfRule>
  </conditionalFormatting>
  <conditionalFormatting sqref="AB391">
    <cfRule type="containsText" dxfId="2094" priority="1320" operator="containsText" text="OK">
      <formula>NOT(ISERROR(SEARCH("OK",AB391)))</formula>
    </cfRule>
    <cfRule type="containsText" dxfId="2093" priority="1321" operator="containsText" text="ERROR">
      <formula>NOT(ISERROR(SEARCH("ERROR",AB391)))</formula>
    </cfRule>
    <cfRule type="cellIs" dxfId="2092" priority="1322" operator="equal">
      <formula>0</formula>
    </cfRule>
  </conditionalFormatting>
  <conditionalFormatting sqref="AB393">
    <cfRule type="containsText" dxfId="2091" priority="1314" operator="containsText" text="OK">
      <formula>NOT(ISERROR(SEARCH("OK",AB393)))</formula>
    </cfRule>
    <cfRule type="containsText" dxfId="2090" priority="1315" operator="containsText" text="ERROR">
      <formula>NOT(ISERROR(SEARCH("ERROR",AB393)))</formula>
    </cfRule>
    <cfRule type="containsText" dxfId="2089" priority="1316" operator="containsText" text="OK">
      <formula>NOT(ISERROR(SEARCH("OK",AB393)))</formula>
    </cfRule>
    <cfRule type="containsText" dxfId="2088" priority="1317" operator="containsText" text="ERROR">
      <formula>NOT(ISERROR(SEARCH("ERROR",AB393)))</formula>
    </cfRule>
  </conditionalFormatting>
  <conditionalFormatting sqref="AB23:AC23">
    <cfRule type="cellIs" dxfId="2087" priority="961" operator="equal">
      <formula>0</formula>
    </cfRule>
    <cfRule type="cellIs" dxfId="2086" priority="962" operator="lessThan">
      <formula>0</formula>
    </cfRule>
    <cfRule type="containsText" dxfId="2085" priority="963" operator="containsText" text="OK">
      <formula>NOT(ISERROR(SEARCH("OK",AB23)))</formula>
    </cfRule>
    <cfRule type="containsText" dxfId="2084" priority="964" operator="containsText" text="ERROR">
      <formula>NOT(ISERROR(SEARCH("ERROR",AB23)))</formula>
    </cfRule>
  </conditionalFormatting>
  <conditionalFormatting sqref="AB24:AC25">
    <cfRule type="containsText" dxfId="2083" priority="33" operator="containsText" text="OK">
      <formula>NOT(ISERROR(SEARCH("OK",AB24)))</formula>
    </cfRule>
    <cfRule type="containsText" dxfId="2082" priority="34" operator="containsText" text="ERROR">
      <formula>NOT(ISERROR(SEARCH("ERROR",AB24)))</formula>
    </cfRule>
  </conditionalFormatting>
  <conditionalFormatting sqref="AB35:AC35">
    <cfRule type="cellIs" dxfId="2081" priority="978" operator="lessThan">
      <formula>0</formula>
    </cfRule>
  </conditionalFormatting>
  <conditionalFormatting sqref="AB71:AC71">
    <cfRule type="cellIs" dxfId="2080" priority="279" operator="equal">
      <formula>0</formula>
    </cfRule>
    <cfRule type="cellIs" dxfId="2079" priority="280" operator="lessThan">
      <formula>0</formula>
    </cfRule>
  </conditionalFormatting>
  <conditionalFormatting sqref="AB74:AC74">
    <cfRule type="cellIs" dxfId="2078" priority="189" operator="equal">
      <formula>0</formula>
    </cfRule>
    <cfRule type="cellIs" dxfId="2077" priority="190" operator="lessThan">
      <formula>0</formula>
    </cfRule>
  </conditionalFormatting>
  <conditionalFormatting sqref="AB88:AC88">
    <cfRule type="cellIs" dxfId="2076" priority="908" operator="lessThan">
      <formula>0</formula>
    </cfRule>
    <cfRule type="containsText" dxfId="2075" priority="909" operator="containsText" text="OK">
      <formula>NOT(ISERROR(SEARCH("OK",AB88)))</formula>
    </cfRule>
    <cfRule type="containsText" dxfId="2074" priority="910" operator="containsText" text="ERROR">
      <formula>NOT(ISERROR(SEARCH("ERROR",AB88)))</formula>
    </cfRule>
    <cfRule type="cellIs" dxfId="2073" priority="911" operator="equal">
      <formula>0</formula>
    </cfRule>
  </conditionalFormatting>
  <conditionalFormatting sqref="AB379:AC381">
    <cfRule type="cellIs" dxfId="2072" priority="1290" operator="equal">
      <formula>0</formula>
    </cfRule>
    <cfRule type="cellIs" dxfId="2071" priority="1291" operator="lessThan">
      <formula>0</formula>
    </cfRule>
    <cfRule type="containsText" dxfId="2070" priority="1292" operator="containsText" text="OK">
      <formula>NOT(ISERROR(SEARCH("OK",AB379)))</formula>
    </cfRule>
    <cfRule type="containsText" dxfId="2069" priority="1293" operator="containsText" text="ERROR">
      <formula>NOT(ISERROR(SEARCH("ERROR",AB379)))</formula>
    </cfRule>
  </conditionalFormatting>
  <conditionalFormatting sqref="AB379:AC382">
    <cfRule type="containsText" dxfId="2068" priority="1288" operator="containsText" text="OK">
      <formula>NOT(ISERROR(SEARCH("OK",AB379)))</formula>
    </cfRule>
    <cfRule type="containsText" dxfId="2067" priority="1289" operator="containsText" text="ERROR">
      <formula>NOT(ISERROR(SEARCH("ERROR",AB379)))</formula>
    </cfRule>
  </conditionalFormatting>
  <conditionalFormatting sqref="AB391:AC391">
    <cfRule type="cellIs" dxfId="2066" priority="1307" operator="lessThan">
      <formula>0</formula>
    </cfRule>
  </conditionalFormatting>
  <conditionalFormatting sqref="AB393:AC393">
    <cfRule type="cellIs" dxfId="2065" priority="1300" operator="equal">
      <formula>0</formula>
    </cfRule>
    <cfRule type="cellIs" dxfId="2064" priority="1301" operator="lessThan">
      <formula>0</formula>
    </cfRule>
  </conditionalFormatting>
  <conditionalFormatting sqref="AB37:XFD37">
    <cfRule type="cellIs" dxfId="2063" priority="971" operator="equal">
      <formula>0</formula>
    </cfRule>
    <cfRule type="cellIs" dxfId="2062" priority="972" operator="lessThan">
      <formula>0</formula>
    </cfRule>
  </conditionalFormatting>
  <conditionalFormatting sqref="AC35">
    <cfRule type="cellIs" dxfId="2061" priority="974" operator="lessThan">
      <formula>0</formula>
    </cfRule>
    <cfRule type="containsText" dxfId="2060" priority="975" operator="containsText" text="OK">
      <formula>NOT(ISERROR(SEARCH("OK",AC35)))</formula>
    </cfRule>
    <cfRule type="containsText" dxfId="2059" priority="976" operator="containsText" text="ERROR">
      <formula>NOT(ISERROR(SEARCH("ERROR",AC35)))</formula>
    </cfRule>
    <cfRule type="cellIs" dxfId="2058" priority="977" operator="equal">
      <formula>0</formula>
    </cfRule>
  </conditionalFormatting>
  <conditionalFormatting sqref="AC37">
    <cfRule type="cellIs" dxfId="2057" priority="965" operator="equal">
      <formula>0</formula>
    </cfRule>
    <cfRule type="cellIs" dxfId="2056" priority="966" operator="lessThan">
      <formula>0</formula>
    </cfRule>
    <cfRule type="containsText" dxfId="2055" priority="967" operator="containsText" text="OK">
      <formula>NOT(ISERROR(SEARCH("OK",AC37)))</formula>
    </cfRule>
    <cfRule type="containsText" dxfId="2054" priority="968" operator="containsText" text="ERROR">
      <formula>NOT(ISERROR(SEARCH("ERROR",AC37)))</formula>
    </cfRule>
    <cfRule type="containsText" dxfId="2053" priority="969" operator="containsText" text="OK">
      <formula>NOT(ISERROR(SEARCH("OK",AC37)))</formula>
    </cfRule>
    <cfRule type="containsText" dxfId="2052" priority="970" operator="containsText" text="ERROR">
      <formula>NOT(ISERROR(SEARCH("ERROR",AC37)))</formula>
    </cfRule>
  </conditionalFormatting>
  <conditionalFormatting sqref="AC63:AC64">
    <cfRule type="containsText" dxfId="2051" priority="995" operator="containsText" text="OK">
      <formula>NOT(ISERROR(SEARCH("OK",AC63)))</formula>
    </cfRule>
    <cfRule type="containsText" dxfId="2050" priority="996" operator="containsText" text="ERROR">
      <formula>NOT(ISERROR(SEARCH("ERROR",AC63)))</formula>
    </cfRule>
  </conditionalFormatting>
  <conditionalFormatting sqref="AC71">
    <cfRule type="cellIs" dxfId="2049" priority="273" operator="equal">
      <formula>0</formula>
    </cfRule>
    <cfRule type="cellIs" dxfId="2048" priority="274" operator="lessThan">
      <formula>0</formula>
    </cfRule>
    <cfRule type="containsText" dxfId="2047" priority="275" operator="containsText" text="OK">
      <formula>NOT(ISERROR(SEARCH("OK",AC71)))</formula>
    </cfRule>
    <cfRule type="containsText" dxfId="2046" priority="276" operator="containsText" text="ERROR">
      <formula>NOT(ISERROR(SEARCH("ERROR",AC71)))</formula>
    </cfRule>
    <cfRule type="containsText" dxfId="2045" priority="277" operator="containsText" text="OK">
      <formula>NOT(ISERROR(SEARCH("OK",AC71)))</formula>
    </cfRule>
    <cfRule type="containsText" dxfId="2044" priority="278" operator="containsText" text="ERROR">
      <formula>NOT(ISERROR(SEARCH("ERROR",AC71)))</formula>
    </cfRule>
  </conditionalFormatting>
  <conditionalFormatting sqref="AC73:AC74">
    <cfRule type="cellIs" dxfId="2043" priority="171" operator="equal">
      <formula>0</formula>
    </cfRule>
    <cfRule type="cellIs" dxfId="2042" priority="172" operator="lessThan">
      <formula>0</formula>
    </cfRule>
  </conditionalFormatting>
  <conditionalFormatting sqref="AC74">
    <cfRule type="containsText" dxfId="2041" priority="185" operator="containsText" text="OK">
      <formula>NOT(ISERROR(SEARCH("OK",AC74)))</formula>
    </cfRule>
    <cfRule type="containsText" dxfId="2040" priority="186" operator="containsText" text="ERROR">
      <formula>NOT(ISERROR(SEARCH("ERROR",AC74)))</formula>
    </cfRule>
    <cfRule type="containsText" dxfId="2039" priority="187" operator="containsText" text="OK">
      <formula>NOT(ISERROR(SEARCH("OK",AC74)))</formula>
    </cfRule>
    <cfRule type="containsText" dxfId="2038" priority="188" operator="containsText" text="ERROR">
      <formula>NOT(ISERROR(SEARCH("ERROR",AC74)))</formula>
    </cfRule>
  </conditionalFormatting>
  <conditionalFormatting sqref="AC88:AC89">
    <cfRule type="cellIs" dxfId="2037" priority="912" operator="lessThan">
      <formula>0</formula>
    </cfRule>
  </conditionalFormatting>
  <conditionalFormatting sqref="AC97:AC103 AC89 W18:AC20 W53:AC62 J114:AC114">
    <cfRule type="containsText" dxfId="2036" priority="989" operator="containsText" text="OK">
      <formula>NOT(ISERROR(SEARCH("OK",J18)))</formula>
    </cfRule>
  </conditionalFormatting>
  <conditionalFormatting sqref="AC97:AC103">
    <cfRule type="cellIs" dxfId="2035" priority="880" operator="lessThan">
      <formula>0</formula>
    </cfRule>
  </conditionalFormatting>
  <conditionalFormatting sqref="AC117">
    <cfRule type="cellIs" dxfId="2034" priority="421" operator="equal">
      <formula>0</formula>
    </cfRule>
    <cfRule type="cellIs" dxfId="2033" priority="422" operator="lessThan">
      <formula>0</formula>
    </cfRule>
  </conditionalFormatting>
  <conditionalFormatting sqref="AC246:AC255">
    <cfRule type="cellIs" dxfId="2032" priority="838" operator="equal">
      <formula>0</formula>
    </cfRule>
    <cfRule type="cellIs" dxfId="2031" priority="839" operator="lessThan">
      <formula>0</formula>
    </cfRule>
  </conditionalFormatting>
  <conditionalFormatting sqref="AC269:AC275">
    <cfRule type="cellIs" dxfId="2030" priority="924" operator="lessThan">
      <formula>0</formula>
    </cfRule>
  </conditionalFormatting>
  <conditionalFormatting sqref="AC269:AC277">
    <cfRule type="cellIs" dxfId="2029" priority="698" operator="equal">
      <formula>0</formula>
    </cfRule>
  </conditionalFormatting>
  <conditionalFormatting sqref="AC391">
    <cfRule type="cellIs" dxfId="2028" priority="1303" operator="lessThan">
      <formula>0</formula>
    </cfRule>
    <cfRule type="containsText" dxfId="2027" priority="1304" operator="containsText" text="OK">
      <formula>NOT(ISERROR(SEARCH("OK",AC391)))</formula>
    </cfRule>
    <cfRule type="containsText" dxfId="2026" priority="1305" operator="containsText" text="ERROR">
      <formula>NOT(ISERROR(SEARCH("ERROR",AC391)))</formula>
    </cfRule>
    <cfRule type="cellIs" dxfId="2025" priority="1306" operator="equal">
      <formula>0</formula>
    </cfRule>
  </conditionalFormatting>
  <conditionalFormatting sqref="AC393">
    <cfRule type="cellIs" dxfId="2024" priority="1294" operator="equal">
      <formula>0</formula>
    </cfRule>
    <cfRule type="cellIs" dxfId="2023" priority="1295" operator="lessThan">
      <formula>0</formula>
    </cfRule>
    <cfRule type="containsText" dxfId="2022" priority="1296" operator="containsText" text="OK">
      <formula>NOT(ISERROR(SEARCH("OK",AC393)))</formula>
    </cfRule>
    <cfRule type="containsText" dxfId="2021" priority="1297" operator="containsText" text="ERROR">
      <formula>NOT(ISERROR(SEARCH("ERROR",AC393)))</formula>
    </cfRule>
    <cfRule type="containsText" dxfId="2020" priority="1298" operator="containsText" text="OK">
      <formula>NOT(ISERROR(SEARCH("OK",AC393)))</formula>
    </cfRule>
    <cfRule type="containsText" dxfId="2019" priority="1299" operator="containsText" text="ERROR">
      <formula>NOT(ISERROR(SEARCH("ERROR",AC393)))</formula>
    </cfRule>
  </conditionalFormatting>
  <conditionalFormatting sqref="AC65:XFD65">
    <cfRule type="cellIs" dxfId="2018" priority="983" operator="equal">
      <formula>0</formula>
    </cfRule>
  </conditionalFormatting>
  <conditionalFormatting sqref="AD68">
    <cfRule type="containsText" dxfId="2017" priority="3851" operator="containsText" text="OK">
      <formula>NOT(ISERROR(SEARCH("OK",AD68)))</formula>
    </cfRule>
    <cfRule type="containsText" dxfId="2016" priority="3852" operator="containsText" text="ERROR">
      <formula>NOT(ISERROR(SEARCH("ERROR",AD68)))</formula>
    </cfRule>
  </conditionalFormatting>
  <conditionalFormatting sqref="AD90:AD92">
    <cfRule type="cellIs" dxfId="2015" priority="3536" operator="equal">
      <formula>0</formula>
    </cfRule>
    <cfRule type="cellIs" dxfId="2014" priority="3537" operator="lessThan">
      <formula>0</formula>
    </cfRule>
  </conditionalFormatting>
  <conditionalFormatting sqref="AQ77">
    <cfRule type="cellIs" dxfId="2013" priority="1769" operator="equal">
      <formula>0</formula>
    </cfRule>
    <cfRule type="cellIs" dxfId="2012" priority="1770" operator="lessThan">
      <formula>0</formula>
    </cfRule>
  </conditionalFormatting>
  <conditionalFormatting sqref="AQ352:BB359">
    <cfRule type="cellIs" dxfId="2011" priority="1185" operator="equal">
      <formula>0</formula>
    </cfRule>
    <cfRule type="cellIs" dxfId="2010" priority="1186" operator="lessThan">
      <formula>0</formula>
    </cfRule>
  </conditionalFormatting>
  <conditionalFormatting sqref="AQ361:BB362">
    <cfRule type="cellIs" dxfId="2009" priority="1378" operator="equal">
      <formula>0</formula>
    </cfRule>
    <cfRule type="cellIs" dxfId="2008" priority="1379" operator="lessThan">
      <formula>0</formula>
    </cfRule>
  </conditionalFormatting>
  <conditionalFormatting sqref="AQ407:BB407">
    <cfRule type="cellIs" dxfId="2007" priority="42" operator="equal">
      <formula>0</formula>
    </cfRule>
    <cfRule type="cellIs" dxfId="2006" priority="43" operator="lessThan">
      <formula>0</formula>
    </cfRule>
  </conditionalFormatting>
  <conditionalFormatting sqref="AU78:XFD78">
    <cfRule type="cellIs" dxfId="2005" priority="3078" operator="equal">
      <formula>0</formula>
    </cfRule>
    <cfRule type="cellIs" dxfId="2004" priority="3079" operator="lessThan">
      <formula>0</formula>
    </cfRule>
  </conditionalFormatting>
  <dataValidations count="17">
    <dataValidation type="whole" errorStyle="warning" operator="greaterThan" allowBlank="1" showInputMessage="1" showErrorMessage="1" errorTitle="Error in data entered" error="Capex, Tooling Invetsment and Asset Transfers are normally postive (+) values" sqref="N75:AB75" xr:uid="{AB306C7C-F24A-485C-8B98-35242BDA96AC}">
      <formula1>0</formula1>
    </dataValidation>
    <dataValidation type="whole" allowBlank="1" showInputMessage="1" showErrorMessage="1" promptTitle="+20 days on top of RFQ pay terms" prompt="Add minimum 20 to 30 days on top of RFQ payment terms._x000a_Cover customer's internal process, typical delays due to 1) breach of INCOTERM on title transfer, 2) delays recording receipt, 3) tax reconciliation, 4) infrequent payment runs, 5) delinquency.   " sqref="N79:N80 O79:AC79" xr:uid="{322E2886-CA41-467F-8372-D4132889F824}">
      <formula1>15</formula1>
      <formula2>9999</formula2>
    </dataValidation>
    <dataValidation type="whole" allowBlank="1" showInputMessage="1" showErrorMessage="1" promptTitle="+15 days on top of RFQ pay terms" prompt="Add minimum 15 days on top of RFQ payment terms._x000a_Cover customer's internal process, typical delays due to 1) ignoring INCOTERM on title transfer, 2) delays recording receipt, 3) tax reconciliation, 4) infrequent payment runs, 5) delinquency   " sqref="O80:AC80" xr:uid="{10968E97-5572-4591-8A28-AF88F1ED2BCA}">
      <formula1>15</formula1>
      <formula2>9999</formula2>
    </dataValidation>
    <dataValidation type="decimal" errorStyle="warning" operator="greaterThan" allowBlank="1" showInputMessage="1" showErrorMessage="1" errorTitle="Error in data entered" error="Capex, Tooling Invetsment and Asset Transfers are normally postive (+) values" sqref="N70:AC72 AC74:AC75 N74:AB74" xr:uid="{F085967B-D911-4E76-B120-F45EA17A727A}">
      <formula1>0</formula1>
    </dataValidation>
    <dataValidation type="decimal" errorStyle="warning" operator="greaterThan" allowBlank="1" showInputMessage="1" showErrorMessage="1" errorTitle="Input Value" error="COPA is typically postive (+) value" sqref="K182" xr:uid="{89D8A8B7-48CA-4E37-B246-FC756AACE155}">
      <formula1>0</formula1>
    </dataValidation>
    <dataValidation type="decimal" errorStyle="warning" operator="lessThan" allowBlank="1" showInputMessage="1" showErrorMessage="1" errorTitle="Input Value" error="Enter negative (-) % for cost" sqref="K183:K187" xr:uid="{34FBC8A3-622C-4DD4-8D5A-22E493324A4C}">
      <formula1>0</formula1>
    </dataValidation>
    <dataValidation allowBlank="1" showInputMessage="1" showErrorMessage="1" errorTitle="Error in data entered" error="Data entered has errors. Correction needed. e.g. Div 0!_x000a__x000a_This will cause errors in the calculations and financial model output. " sqref="N69:AC69" xr:uid="{6EB8E5DF-6FEA-44FF-B719-1355231EA8E5}"/>
    <dataValidation type="list" allowBlank="1" showInputMessage="1" showErrorMessage="1" sqref="P107 L99" xr:uid="{1E1ECCE6-E34A-4F5B-A070-EB6EEBBB4F1B}">
      <formula1>"No, Yes"</formula1>
    </dataValidation>
    <dataValidation type="whole" allowBlank="1" showInputMessage="1" showErrorMessage="1" sqref="N88:AC88 N78:AC78" xr:uid="{E2647242-BB87-46DA-836F-3A6CADDA58B3}">
      <formula1>0</formula1>
      <formula2>9999</formula2>
    </dataValidation>
    <dataValidation type="whole" showInputMessage="1" showErrorMessage="1" sqref="N81:AC82 O83:AC84" xr:uid="{51F75BB3-B2AD-4D0F-A377-A590BE5C9264}">
      <formula1>0</formula1>
      <formula2>9999</formula2>
    </dataValidation>
    <dataValidation type="list" allowBlank="1" showInputMessage="1" showErrorMessage="1" sqref="N12" xr:uid="{CB1CAF5A-4B60-4576-803D-A7E1D8C052D5}">
      <formula1>"Calendar Year, Fiscal Year"</formula1>
    </dataValidation>
    <dataValidation type="whole" allowBlank="1" showInputMessage="1" showErrorMessage="1" sqref="N81:AC81" xr:uid="{BF11F788-EA88-47B8-9480-E9DA62E788A6}">
      <formula1>0</formula1>
      <formula2>300</formula2>
    </dataValidation>
    <dataValidation type="whole" allowBlank="1" showInputMessage="1" showErrorMessage="1" sqref="N82:AC84" xr:uid="{FE482DCF-41FF-4EBA-AD8A-A0F37FA0A700}">
      <formula1>0</formula1>
      <formula2>500</formula2>
    </dataValidation>
    <dataValidation type="whole" operator="greaterThanOrEqual" showInputMessage="1" showErrorMessage="1" errorTitle="Mandatory Input" error="Must NOT be zero or blank" promptTitle="MUST enter SOP Month &amp; Year" prompt="This is a mandatory field for this worksheet_x000a_Enter Month of SOP (MM), and_x000a_Enter Year of SOP (YYYY)" sqref="L11:L12" xr:uid="{A4B5F4A0-65AF-4B15-A6F8-40179C5BDF2B}">
      <formula1>1</formula1>
    </dataValidation>
    <dataValidation type="whole" errorStyle="warning" operator="lessThanOrEqual" allowBlank="1" showInputMessage="1" showErrorMessage="1" errorTitle="Enter Negative number" error="Tool Cost must be entered as a negative number" promptTitle="Enter Tool Cost (-ve)" prompt="Tool Cost must be entered as a negative amount (e.g. -650,000)" sqref="AJ81 AJ71" xr:uid="{267FFA07-1EBB-41E5-805E-9B805C107FE1}">
      <formula1>0</formula1>
    </dataValidation>
    <dataValidation type="whole" errorStyle="warning" operator="greaterThanOrEqual" allowBlank="1" showInputMessage="1" showErrorMessage="1" errorTitle="Tool Price (+)" error="Tool price must be entered as a positive (+) number" promptTitle="Enter Tool Price (+ amount(" prompt="Tool Price must be entered as a postive number" sqref="AL71 AL81" xr:uid="{FF0B4244-3423-4E7D-99D0-A3CF49DEC1F9}">
      <formula1>0</formula1>
    </dataValidation>
    <dataValidation type="list" allowBlank="1" showInputMessage="1" showErrorMessage="1" errorTitle="Select from Drop Box ONLY" error="Selection MUST be made from the drop box only" promptTitle="Must Select Method" prompt="Select method of calculating tooling recoverable balance i.e. funding Interplex must provide during Tool Fabrication, If Manual Calculation is selected, enter the balances manually in the next row or use the default formulas (refer column AE:AL)" sqref="L86" xr:uid="{D87E7381-096C-4134-93C7-7860CF71DEBD}">
      <formula1>"Milestone Calculation, Manual Calculation"</formula1>
    </dataValidation>
  </dataValidations>
  <pageMargins left="0.70866141732283472" right="0.51181102362204722" top="0.55118110236220474" bottom="0.35433070866141736" header="0.31496062992125984" footer="0.31496062992125984"/>
  <pageSetup paperSize="8" scale="28" fitToHeight="2" orientation="portrait" r:id="rId1"/>
  <rowBreaks count="1" manualBreakCount="1">
    <brk id="221" min="7" max="20" man="1"/>
  </rowBreaks>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743E0-B6DE-4BAD-AEF4-2B496D26CDD4}">
  <sheetPr>
    <tabColor theme="3" tint="0.79998168889431442"/>
    <pageSetUpPr fitToPage="1"/>
  </sheetPr>
  <dimension ref="A1:BF864"/>
  <sheetViews>
    <sheetView showGridLines="0" topLeftCell="H7" zoomScale="70" zoomScaleNormal="70" workbookViewId="0">
      <selection activeCell="O21" sqref="O21"/>
    </sheetView>
  </sheetViews>
  <sheetFormatPr defaultColWidth="9.28515625" defaultRowHeight="16.5" outlineLevelRow="1" x14ac:dyDescent="0.3"/>
  <cols>
    <col min="1" max="1" width="9.28515625" style="1" hidden="1" customWidth="1"/>
    <col min="2" max="2" width="5.7109375" style="1" hidden="1" customWidth="1"/>
    <col min="3" max="3" width="4.28515625" style="1" hidden="1" customWidth="1"/>
    <col min="4" max="4" width="4.7109375" style="1" hidden="1" customWidth="1"/>
    <col min="5" max="5" width="5" style="1" hidden="1" customWidth="1"/>
    <col min="6" max="6" width="6.5703125" style="1" hidden="1" customWidth="1"/>
    <col min="7" max="7" width="5.5703125" style="1" hidden="1" customWidth="1"/>
    <col min="8" max="8" width="2.28515625" style="1" customWidth="1"/>
    <col min="9" max="9" width="6.5703125" style="2" customWidth="1"/>
    <col min="10" max="10" width="57.7109375" style="1" customWidth="1"/>
    <col min="11" max="11" width="18.7109375" style="3" customWidth="1"/>
    <col min="12" max="12" width="20" style="1" customWidth="1"/>
    <col min="13" max="13" width="1.42578125" style="1" customWidth="1"/>
    <col min="14" max="14" width="16.140625" style="1" customWidth="1"/>
    <col min="15" max="15" width="18.7109375" style="1" customWidth="1"/>
    <col min="16" max="20" width="15" style="1" customWidth="1"/>
    <col min="21" max="21" width="18.5703125" style="1" customWidth="1"/>
    <col min="22" max="29" width="15" style="1" customWidth="1"/>
    <col min="30" max="30" width="5.7109375" style="4" customWidth="1"/>
    <col min="31" max="31" width="17.28515625" style="4" customWidth="1"/>
    <col min="32" max="33" width="3.7109375" style="1" customWidth="1"/>
    <col min="34" max="34" width="21.28515625" style="1" customWidth="1"/>
    <col min="35" max="38" width="15.5703125" style="1" customWidth="1"/>
    <col min="39" max="39" width="3.28515625" style="1" customWidth="1"/>
    <col min="40" max="40" width="10.28515625" style="1" customWidth="1"/>
    <col min="41" max="41" width="10.85546875" style="1" customWidth="1"/>
    <col min="42" max="42" width="13.5703125" style="1" customWidth="1"/>
    <col min="43" max="43" width="3.42578125" style="1" customWidth="1"/>
    <col min="44" max="44" width="7.7109375" style="1" customWidth="1"/>
    <col min="45" max="45" width="13.7109375" style="1" customWidth="1"/>
    <col min="46" max="46" width="16.28515625" style="1" customWidth="1"/>
    <col min="47" max="51" width="7.7109375" style="1" customWidth="1"/>
    <col min="52" max="52" width="24.28515625" style="1" customWidth="1"/>
    <col min="53" max="56" width="22.28515625" style="1" customWidth="1"/>
    <col min="57" max="16384" width="9.28515625" style="1"/>
  </cols>
  <sheetData>
    <row r="1" spans="8:31" hidden="1" x14ac:dyDescent="0.3"/>
    <row r="2" spans="8:31" hidden="1" x14ac:dyDescent="0.3"/>
    <row r="3" spans="8:31" hidden="1" x14ac:dyDescent="0.3"/>
    <row r="4" spans="8:31" hidden="1" x14ac:dyDescent="0.3"/>
    <row r="5" spans="8:31" hidden="1" x14ac:dyDescent="0.3"/>
    <row r="6" spans="8:31" ht="14.65" hidden="1" customHeight="1" x14ac:dyDescent="0.3"/>
    <row r="7" spans="8:31" ht="34.9" customHeight="1" x14ac:dyDescent="0.2">
      <c r="H7" s="5"/>
      <c r="I7" s="1066" t="s">
        <v>0</v>
      </c>
      <c r="J7" s="1065"/>
      <c r="K7" s="1066" t="s">
        <v>463</v>
      </c>
      <c r="L7" s="1065"/>
      <c r="N7" s="1003" t="s">
        <v>282</v>
      </c>
      <c r="O7" s="7"/>
      <c r="P7" s="7"/>
      <c r="Q7" s="7"/>
      <c r="R7" s="7"/>
      <c r="S7" s="7"/>
      <c r="U7" s="7"/>
      <c r="V7" s="6"/>
      <c r="W7" s="6"/>
      <c r="X7" s="6"/>
      <c r="Y7" s="6"/>
      <c r="Z7" s="6"/>
      <c r="AA7" s="6"/>
      <c r="AB7" s="6"/>
      <c r="AC7" s="6"/>
    </row>
    <row r="8" spans="8:31" ht="27.4" customHeight="1" x14ac:dyDescent="0.2">
      <c r="H8" s="5"/>
      <c r="J8" s="8" t="s">
        <v>279</v>
      </c>
      <c r="K8" s="9" t="s">
        <v>1</v>
      </c>
      <c r="L8" s="10" t="s">
        <v>280</v>
      </c>
      <c r="U8" s="11"/>
      <c r="V8" s="11"/>
      <c r="W8" s="12"/>
      <c r="X8" s="11"/>
      <c r="Y8" s="11"/>
      <c r="Z8" s="11"/>
      <c r="AA8" s="11"/>
      <c r="AB8" s="11"/>
      <c r="AC8" s="11"/>
    </row>
    <row r="9" spans="8:31" ht="39" customHeight="1" x14ac:dyDescent="0.2">
      <c r="H9" s="13"/>
      <c r="I9" s="13"/>
      <c r="J9" s="8" t="s">
        <v>457</v>
      </c>
      <c r="K9" s="14"/>
      <c r="L9" s="717" t="s">
        <v>443</v>
      </c>
      <c r="M9" s="13"/>
      <c r="Q9" s="13"/>
      <c r="R9" s="13"/>
      <c r="U9" s="13"/>
      <c r="V9" s="13"/>
      <c r="Y9" s="13"/>
      <c r="Z9" s="13"/>
      <c r="AA9" s="13"/>
      <c r="AB9" s="15" t="s">
        <v>2</v>
      </c>
      <c r="AC9" s="16" t="s">
        <v>3</v>
      </c>
    </row>
    <row r="10" spans="8:31" ht="56.65" customHeight="1" x14ac:dyDescent="0.2">
      <c r="J10" s="17" t="s">
        <v>4</v>
      </c>
      <c r="K10" s="18"/>
      <c r="L10" s="718" t="str">
        <f>IF(OR(L11=0,L11="",L12=0,L12=""),"WARNING: Must
 enter SOP YYYY &amp; MM below","OK, SOP date entered")</f>
        <v>OK, SOP date entered</v>
      </c>
      <c r="N10" s="534" t="str">
        <f>IF(AND(N220="OK",N221="OK",N241="OK",N255="OK",N305="OK",$K$49="OK,Fully Amortized"),"OK","Wrong")</f>
        <v>OK</v>
      </c>
      <c r="O10" s="19" t="str">
        <f t="shared" ref="O10:AC10" si="0">IF(AND(O220="OK",O221="OK",O241="OK",O255="OK",O305="OK"),"OK","Wrong")</f>
        <v>OK</v>
      </c>
      <c r="P10" s="19" t="str">
        <f t="shared" si="0"/>
        <v>OK</v>
      </c>
      <c r="Q10" s="19" t="str">
        <f t="shared" si="0"/>
        <v>OK</v>
      </c>
      <c r="R10" s="19" t="str">
        <f t="shared" si="0"/>
        <v>OK</v>
      </c>
      <c r="S10" s="19" t="str">
        <f t="shared" si="0"/>
        <v>OK</v>
      </c>
      <c r="T10" s="19" t="str">
        <f t="shared" si="0"/>
        <v>OK</v>
      </c>
      <c r="U10" s="19" t="str">
        <f t="shared" si="0"/>
        <v>OK</v>
      </c>
      <c r="V10" s="19" t="str">
        <f t="shared" si="0"/>
        <v>OK</v>
      </c>
      <c r="W10" s="19" t="str">
        <f t="shared" si="0"/>
        <v>OK</v>
      </c>
      <c r="X10" s="19" t="str">
        <f t="shared" si="0"/>
        <v>OK</v>
      </c>
      <c r="Y10" s="19" t="str">
        <f t="shared" si="0"/>
        <v>OK</v>
      </c>
      <c r="Z10" s="19" t="str">
        <f t="shared" si="0"/>
        <v>OK</v>
      </c>
      <c r="AA10" s="19" t="str">
        <f t="shared" si="0"/>
        <v>OK</v>
      </c>
      <c r="AB10" s="19" t="str">
        <f t="shared" si="0"/>
        <v>OK</v>
      </c>
      <c r="AC10" s="19" t="str">
        <f t="shared" si="0"/>
        <v>OK</v>
      </c>
    </row>
    <row r="11" spans="8:31" ht="21.4" customHeight="1" x14ac:dyDescent="0.25">
      <c r="H11" s="20"/>
      <c r="I11" s="21"/>
      <c r="J11" s="1187" t="str">
        <f>L8</f>
        <v>Currency:</v>
      </c>
      <c r="K11" s="22" t="s">
        <v>5</v>
      </c>
      <c r="L11" s="23">
        <v>2025</v>
      </c>
      <c r="N11" s="1064">
        <f>L11-1</f>
        <v>2024</v>
      </c>
      <c r="O11" s="24">
        <f>N11+1</f>
        <v>2025</v>
      </c>
      <c r="P11" s="24">
        <f t="shared" ref="P11:W11" si="1">O11+1</f>
        <v>2026</v>
      </c>
      <c r="Q11" s="24">
        <f t="shared" si="1"/>
        <v>2027</v>
      </c>
      <c r="R11" s="24">
        <f t="shared" si="1"/>
        <v>2028</v>
      </c>
      <c r="S11" s="24">
        <f t="shared" si="1"/>
        <v>2029</v>
      </c>
      <c r="T11" s="24">
        <f t="shared" si="1"/>
        <v>2030</v>
      </c>
      <c r="U11" s="24">
        <f t="shared" si="1"/>
        <v>2031</v>
      </c>
      <c r="V11" s="24">
        <f t="shared" si="1"/>
        <v>2032</v>
      </c>
      <c r="W11" s="24">
        <f t="shared" si="1"/>
        <v>2033</v>
      </c>
      <c r="X11" s="24">
        <f>IF(W11=0,0,W11+1)</f>
        <v>2034</v>
      </c>
      <c r="Y11" s="24">
        <f t="shared" ref="Y11:AC11" si="2">IF(X11=0,0,X11+1)</f>
        <v>2035</v>
      </c>
      <c r="Z11" s="24">
        <f t="shared" si="2"/>
        <v>2036</v>
      </c>
      <c r="AA11" s="24">
        <f t="shared" si="2"/>
        <v>2037</v>
      </c>
      <c r="AB11" s="24">
        <f t="shared" si="2"/>
        <v>2038</v>
      </c>
      <c r="AC11" s="25">
        <f t="shared" si="2"/>
        <v>2039</v>
      </c>
      <c r="AD11" s="1"/>
      <c r="AE11" s="1"/>
    </row>
    <row r="12" spans="8:31" ht="21.4" customHeight="1" x14ac:dyDescent="0.3">
      <c r="H12" s="20"/>
      <c r="I12" s="26"/>
      <c r="J12" s="1187"/>
      <c r="K12" s="27" t="s">
        <v>6</v>
      </c>
      <c r="L12" s="28">
        <v>6</v>
      </c>
      <c r="N12" s="426" t="s">
        <v>281</v>
      </c>
      <c r="O12" s="29" t="str">
        <f>N12</f>
        <v>Calendar Year</v>
      </c>
      <c r="P12" s="29" t="str">
        <f t="shared" ref="P12:AC12" si="3">O12</f>
        <v>Calendar Year</v>
      </c>
      <c r="Q12" s="29" t="str">
        <f t="shared" si="3"/>
        <v>Calendar Year</v>
      </c>
      <c r="R12" s="29" t="str">
        <f t="shared" si="3"/>
        <v>Calendar Year</v>
      </c>
      <c r="S12" s="29" t="str">
        <f t="shared" si="3"/>
        <v>Calendar Year</v>
      </c>
      <c r="T12" s="29" t="str">
        <f t="shared" si="3"/>
        <v>Calendar Year</v>
      </c>
      <c r="U12" s="29" t="str">
        <f t="shared" si="3"/>
        <v>Calendar Year</v>
      </c>
      <c r="V12" s="29" t="str">
        <f t="shared" si="3"/>
        <v>Calendar Year</v>
      </c>
      <c r="W12" s="29" t="str">
        <f t="shared" si="3"/>
        <v>Calendar Year</v>
      </c>
      <c r="X12" s="29" t="str">
        <f t="shared" si="3"/>
        <v>Calendar Year</v>
      </c>
      <c r="Y12" s="29" t="str">
        <f t="shared" si="3"/>
        <v>Calendar Year</v>
      </c>
      <c r="Z12" s="29" t="str">
        <f t="shared" si="3"/>
        <v>Calendar Year</v>
      </c>
      <c r="AA12" s="29" t="str">
        <f t="shared" si="3"/>
        <v>Calendar Year</v>
      </c>
      <c r="AB12" s="29" t="str">
        <f t="shared" si="3"/>
        <v>Calendar Year</v>
      </c>
      <c r="AC12" s="30" t="str">
        <f t="shared" si="3"/>
        <v>Calendar Year</v>
      </c>
      <c r="AD12" s="17"/>
      <c r="AE12" s="1"/>
    </row>
    <row r="13" spans="8:31" ht="17.25" thickBot="1" x14ac:dyDescent="0.35">
      <c r="AD13" s="1"/>
      <c r="AE13" s="1"/>
    </row>
    <row r="14" spans="8:31" ht="21.75" customHeight="1" x14ac:dyDescent="0.25">
      <c r="H14" s="31"/>
      <c r="I14" s="32">
        <v>1</v>
      </c>
      <c r="J14" s="33" t="s">
        <v>7</v>
      </c>
      <c r="K14" s="33"/>
      <c r="L14" s="34" t="s">
        <v>8</v>
      </c>
      <c r="N14" s="35"/>
      <c r="O14" s="36"/>
      <c r="P14" s="36"/>
      <c r="Q14" s="36"/>
      <c r="R14" s="36"/>
      <c r="S14" s="36"/>
      <c r="T14" s="36"/>
      <c r="U14" s="36"/>
      <c r="V14" s="36"/>
      <c r="W14" s="36"/>
      <c r="X14" s="36"/>
      <c r="Y14" s="36"/>
      <c r="Z14" s="36"/>
      <c r="AA14" s="36"/>
      <c r="AB14" s="36"/>
      <c r="AC14" s="37"/>
      <c r="AD14" s="1"/>
      <c r="AE14" s="1"/>
    </row>
    <row r="15" spans="8:31" ht="21.75" customHeight="1" x14ac:dyDescent="0.4">
      <c r="H15" s="31"/>
      <c r="I15" s="38" t="s">
        <v>9</v>
      </c>
      <c r="J15" s="39" t="s">
        <v>10</v>
      </c>
      <c r="K15" s="31"/>
      <c r="L15" s="40" t="s">
        <v>11</v>
      </c>
      <c r="N15" s="41"/>
      <c r="O15" s="42"/>
      <c r="P15" s="42"/>
      <c r="Q15" s="42"/>
      <c r="R15" s="42"/>
      <c r="S15" s="42"/>
      <c r="T15" s="42"/>
      <c r="U15" s="42"/>
      <c r="V15" s="42"/>
      <c r="W15" s="42"/>
      <c r="X15" s="42"/>
      <c r="Y15" s="42"/>
      <c r="Z15" s="42"/>
      <c r="AA15" s="42"/>
      <c r="AB15" s="42"/>
      <c r="AC15" s="43"/>
      <c r="AD15" s="1"/>
      <c r="AE15" s="1"/>
    </row>
    <row r="16" spans="8:31" ht="17.25" thickBot="1" x14ac:dyDescent="0.35">
      <c r="H16" s="31"/>
      <c r="I16" s="38"/>
      <c r="J16" s="44" t="s">
        <v>12</v>
      </c>
      <c r="K16" s="45" t="str">
        <f>"Years of Rev: "&amp;COUNTIF(N16:AC16,"&gt;0")&amp;" yrs"</f>
        <v>Years of Rev: 0 yrs</v>
      </c>
      <c r="L16" s="720">
        <f>SUM(N16:AC16)</f>
        <v>0</v>
      </c>
      <c r="M16" s="721"/>
      <c r="N16" s="722">
        <f t="shared" ref="N16:AC16" si="4">N118</f>
        <v>0</v>
      </c>
      <c r="O16" s="723">
        <f t="shared" si="4"/>
        <v>0</v>
      </c>
      <c r="P16" s="723">
        <f t="shared" si="4"/>
        <v>0</v>
      </c>
      <c r="Q16" s="723">
        <f t="shared" si="4"/>
        <v>0</v>
      </c>
      <c r="R16" s="723">
        <f t="shared" si="4"/>
        <v>0</v>
      </c>
      <c r="S16" s="723">
        <f t="shared" si="4"/>
        <v>0</v>
      </c>
      <c r="T16" s="723">
        <f t="shared" si="4"/>
        <v>0</v>
      </c>
      <c r="U16" s="723">
        <f t="shared" si="4"/>
        <v>0</v>
      </c>
      <c r="V16" s="723">
        <f t="shared" si="4"/>
        <v>0</v>
      </c>
      <c r="W16" s="723">
        <f t="shared" si="4"/>
        <v>0</v>
      </c>
      <c r="X16" s="723">
        <f t="shared" si="4"/>
        <v>0</v>
      </c>
      <c r="Y16" s="723">
        <f t="shared" si="4"/>
        <v>0</v>
      </c>
      <c r="Z16" s="723">
        <f t="shared" si="4"/>
        <v>0</v>
      </c>
      <c r="AA16" s="723">
        <f t="shared" si="4"/>
        <v>0</v>
      </c>
      <c r="AB16" s="723">
        <f t="shared" si="4"/>
        <v>0</v>
      </c>
      <c r="AC16" s="724">
        <f t="shared" si="4"/>
        <v>0</v>
      </c>
      <c r="AD16" s="1"/>
      <c r="AE16" s="1"/>
    </row>
    <row r="17" spans="8:34" s="50" customFormat="1" thickTop="1" x14ac:dyDescent="0.25">
      <c r="H17" s="46"/>
      <c r="I17" s="47"/>
      <c r="J17" s="48" t="s">
        <v>13</v>
      </c>
      <c r="K17" s="47"/>
      <c r="L17" s="49">
        <f>K125</f>
        <v>0</v>
      </c>
      <c r="N17" s="51">
        <f>N125</f>
        <v>0</v>
      </c>
      <c r="O17" s="52">
        <f t="shared" ref="O17:AC17" si="5">O125</f>
        <v>0</v>
      </c>
      <c r="P17" s="52">
        <f t="shared" si="5"/>
        <v>0</v>
      </c>
      <c r="Q17" s="52">
        <f t="shared" si="5"/>
        <v>0</v>
      </c>
      <c r="R17" s="52">
        <f t="shared" si="5"/>
        <v>0</v>
      </c>
      <c r="S17" s="52">
        <f t="shared" si="5"/>
        <v>0</v>
      </c>
      <c r="T17" s="52">
        <f t="shared" si="5"/>
        <v>0</v>
      </c>
      <c r="U17" s="52">
        <f t="shared" si="5"/>
        <v>0</v>
      </c>
      <c r="V17" s="52">
        <f t="shared" si="5"/>
        <v>0</v>
      </c>
      <c r="W17" s="52">
        <f t="shared" si="5"/>
        <v>0</v>
      </c>
      <c r="X17" s="52">
        <f t="shared" si="5"/>
        <v>0</v>
      </c>
      <c r="Y17" s="52">
        <f t="shared" si="5"/>
        <v>0</v>
      </c>
      <c r="Z17" s="52">
        <f t="shared" si="5"/>
        <v>0</v>
      </c>
      <c r="AA17" s="52">
        <f t="shared" si="5"/>
        <v>0</v>
      </c>
      <c r="AB17" s="52">
        <f t="shared" si="5"/>
        <v>0</v>
      </c>
      <c r="AC17" s="53">
        <f t="shared" si="5"/>
        <v>0</v>
      </c>
    </row>
    <row r="18" spans="8:34" ht="15.75" x14ac:dyDescent="0.25">
      <c r="H18" s="31"/>
      <c r="I18" s="38"/>
      <c r="J18" s="54" t="s">
        <v>14</v>
      </c>
      <c r="K18" s="38"/>
      <c r="L18" s="725">
        <f>SUM(N18:AC18)</f>
        <v>0</v>
      </c>
      <c r="M18" s="726"/>
      <c r="N18" s="727">
        <f>N153</f>
        <v>0</v>
      </c>
      <c r="O18" s="728">
        <f t="shared" ref="O18:AC18" si="6">O153</f>
        <v>0</v>
      </c>
      <c r="P18" s="728">
        <f t="shared" si="6"/>
        <v>0</v>
      </c>
      <c r="Q18" s="728">
        <f t="shared" si="6"/>
        <v>0</v>
      </c>
      <c r="R18" s="728">
        <f t="shared" si="6"/>
        <v>0</v>
      </c>
      <c r="S18" s="728">
        <f t="shared" si="6"/>
        <v>0</v>
      </c>
      <c r="T18" s="728">
        <f t="shared" si="6"/>
        <v>0</v>
      </c>
      <c r="U18" s="728">
        <f t="shared" si="6"/>
        <v>0</v>
      </c>
      <c r="V18" s="728">
        <f t="shared" si="6"/>
        <v>0</v>
      </c>
      <c r="W18" s="728">
        <f t="shared" si="6"/>
        <v>0</v>
      </c>
      <c r="X18" s="728">
        <f t="shared" si="6"/>
        <v>0</v>
      </c>
      <c r="Y18" s="728">
        <f t="shared" si="6"/>
        <v>0</v>
      </c>
      <c r="Z18" s="728">
        <f t="shared" si="6"/>
        <v>0</v>
      </c>
      <c r="AA18" s="728">
        <f t="shared" si="6"/>
        <v>0</v>
      </c>
      <c r="AB18" s="728">
        <f t="shared" si="6"/>
        <v>0</v>
      </c>
      <c r="AC18" s="729">
        <f t="shared" si="6"/>
        <v>0</v>
      </c>
      <c r="AD18" s="1"/>
      <c r="AE18" s="1"/>
    </row>
    <row r="19" spans="8:34" ht="15.75" x14ac:dyDescent="0.25">
      <c r="H19" s="31"/>
      <c r="I19" s="38"/>
      <c r="J19" s="54" t="s">
        <v>15</v>
      </c>
      <c r="K19" s="38"/>
      <c r="L19" s="58">
        <f>IFERROR(L18/L$16,0)</f>
        <v>0</v>
      </c>
      <c r="N19" s="59">
        <f>IFERROR(N18/N16,)</f>
        <v>0</v>
      </c>
      <c r="O19" s="60">
        <f t="shared" ref="O19:AC19" si="7">IFERROR(O18/O16,)</f>
        <v>0</v>
      </c>
      <c r="P19" s="60">
        <f t="shared" si="7"/>
        <v>0</v>
      </c>
      <c r="Q19" s="60">
        <f t="shared" si="7"/>
        <v>0</v>
      </c>
      <c r="R19" s="60">
        <f t="shared" si="7"/>
        <v>0</v>
      </c>
      <c r="S19" s="60">
        <f t="shared" si="7"/>
        <v>0</v>
      </c>
      <c r="T19" s="60">
        <f t="shared" si="7"/>
        <v>0</v>
      </c>
      <c r="U19" s="60">
        <f t="shared" si="7"/>
        <v>0</v>
      </c>
      <c r="V19" s="60">
        <f t="shared" si="7"/>
        <v>0</v>
      </c>
      <c r="W19" s="60">
        <f t="shared" si="7"/>
        <v>0</v>
      </c>
      <c r="X19" s="60">
        <f t="shared" si="7"/>
        <v>0</v>
      </c>
      <c r="Y19" s="60">
        <f t="shared" si="7"/>
        <v>0</v>
      </c>
      <c r="Z19" s="60">
        <f t="shared" si="7"/>
        <v>0</v>
      </c>
      <c r="AA19" s="60">
        <f t="shared" si="7"/>
        <v>0</v>
      </c>
      <c r="AB19" s="60">
        <f t="shared" si="7"/>
        <v>0</v>
      </c>
      <c r="AC19" s="61">
        <f t="shared" si="7"/>
        <v>0</v>
      </c>
      <c r="AD19" s="1"/>
      <c r="AE19" s="1"/>
    </row>
    <row r="20" spans="8:34" ht="15.75" x14ac:dyDescent="0.25">
      <c r="H20" s="31"/>
      <c r="I20" s="38"/>
      <c r="J20" s="44" t="s">
        <v>16</v>
      </c>
      <c r="K20" s="38"/>
      <c r="L20" s="730">
        <f>SUM(N20:AC20)</f>
        <v>0</v>
      </c>
      <c r="M20" s="726"/>
      <c r="N20" s="731">
        <f>N162</f>
        <v>0</v>
      </c>
      <c r="O20" s="732">
        <f t="shared" ref="O20:AC20" si="8">O162</f>
        <v>0</v>
      </c>
      <c r="P20" s="732">
        <f t="shared" si="8"/>
        <v>0</v>
      </c>
      <c r="Q20" s="732">
        <f t="shared" si="8"/>
        <v>0</v>
      </c>
      <c r="R20" s="732">
        <f t="shared" si="8"/>
        <v>0</v>
      </c>
      <c r="S20" s="732">
        <f t="shared" si="8"/>
        <v>0</v>
      </c>
      <c r="T20" s="732">
        <f t="shared" si="8"/>
        <v>0</v>
      </c>
      <c r="U20" s="732">
        <f t="shared" si="8"/>
        <v>0</v>
      </c>
      <c r="V20" s="732">
        <f t="shared" si="8"/>
        <v>0</v>
      </c>
      <c r="W20" s="732">
        <f t="shared" si="8"/>
        <v>0</v>
      </c>
      <c r="X20" s="732">
        <f t="shared" si="8"/>
        <v>0</v>
      </c>
      <c r="Y20" s="732">
        <f t="shared" si="8"/>
        <v>0</v>
      </c>
      <c r="Z20" s="732">
        <f t="shared" si="8"/>
        <v>0</v>
      </c>
      <c r="AA20" s="732">
        <f t="shared" si="8"/>
        <v>0</v>
      </c>
      <c r="AB20" s="732">
        <f t="shared" si="8"/>
        <v>0</v>
      </c>
      <c r="AC20" s="733">
        <f t="shared" si="8"/>
        <v>0</v>
      </c>
      <c r="AD20" s="1"/>
      <c r="AE20" s="1"/>
    </row>
    <row r="21" spans="8:34" ht="15.75" x14ac:dyDescent="0.25">
      <c r="H21" s="31"/>
      <c r="I21" s="38"/>
      <c r="J21" s="566" t="s">
        <v>423</v>
      </c>
      <c r="K21" s="38"/>
      <c r="L21" s="62">
        <f>IFERROR(L20/(L16+K139),0)</f>
        <v>0</v>
      </c>
      <c r="N21" s="63">
        <f>IFERROR(N20/(N16+N139),0)</f>
        <v>0</v>
      </c>
      <c r="O21" s="64">
        <f t="shared" ref="O21:AC21" si="9">IFERROR(O20/(O16+O139),0)</f>
        <v>0</v>
      </c>
      <c r="P21" s="64">
        <f t="shared" si="9"/>
        <v>0</v>
      </c>
      <c r="Q21" s="64">
        <f t="shared" si="9"/>
        <v>0</v>
      </c>
      <c r="R21" s="64">
        <f t="shared" si="9"/>
        <v>0</v>
      </c>
      <c r="S21" s="64">
        <f t="shared" si="9"/>
        <v>0</v>
      </c>
      <c r="T21" s="64">
        <f t="shared" si="9"/>
        <v>0</v>
      </c>
      <c r="U21" s="64">
        <f t="shared" si="9"/>
        <v>0</v>
      </c>
      <c r="V21" s="64">
        <f t="shared" si="9"/>
        <v>0</v>
      </c>
      <c r="W21" s="64">
        <f t="shared" si="9"/>
        <v>0</v>
      </c>
      <c r="X21" s="64">
        <f t="shared" si="9"/>
        <v>0</v>
      </c>
      <c r="Y21" s="64">
        <f t="shared" si="9"/>
        <v>0</v>
      </c>
      <c r="Z21" s="64">
        <f t="shared" si="9"/>
        <v>0</v>
      </c>
      <c r="AA21" s="64">
        <f t="shared" si="9"/>
        <v>0</v>
      </c>
      <c r="AB21" s="64">
        <f t="shared" si="9"/>
        <v>0</v>
      </c>
      <c r="AC21" s="65">
        <f t="shared" si="9"/>
        <v>0</v>
      </c>
      <c r="AD21" s="1"/>
      <c r="AE21" s="1"/>
    </row>
    <row r="22" spans="8:34" ht="15.75" x14ac:dyDescent="0.25">
      <c r="H22" s="31"/>
      <c r="I22" s="38"/>
      <c r="J22" s="538" t="s">
        <v>424</v>
      </c>
      <c r="K22" s="734"/>
      <c r="L22" s="539">
        <f>K166</f>
        <v>0</v>
      </c>
      <c r="M22" s="633"/>
      <c r="N22" s="540">
        <f>N166</f>
        <v>0</v>
      </c>
      <c r="O22" s="541">
        <f t="shared" ref="O22:AC22" si="10">O166</f>
        <v>0</v>
      </c>
      <c r="P22" s="541">
        <f t="shared" si="10"/>
        <v>0</v>
      </c>
      <c r="Q22" s="541">
        <f t="shared" si="10"/>
        <v>0</v>
      </c>
      <c r="R22" s="541">
        <f t="shared" si="10"/>
        <v>0</v>
      </c>
      <c r="S22" s="541">
        <f t="shared" si="10"/>
        <v>0</v>
      </c>
      <c r="T22" s="541">
        <f t="shared" si="10"/>
        <v>0</v>
      </c>
      <c r="U22" s="541">
        <f t="shared" si="10"/>
        <v>0</v>
      </c>
      <c r="V22" s="541">
        <f t="shared" si="10"/>
        <v>0</v>
      </c>
      <c r="W22" s="541">
        <f t="shared" si="10"/>
        <v>0</v>
      </c>
      <c r="X22" s="541">
        <f t="shared" si="10"/>
        <v>0</v>
      </c>
      <c r="Y22" s="541">
        <f t="shared" si="10"/>
        <v>0</v>
      </c>
      <c r="Z22" s="541">
        <f t="shared" si="10"/>
        <v>0</v>
      </c>
      <c r="AA22" s="541">
        <f t="shared" si="10"/>
        <v>0</v>
      </c>
      <c r="AB22" s="541">
        <f t="shared" si="10"/>
        <v>0</v>
      </c>
      <c r="AC22" s="542">
        <f t="shared" si="10"/>
        <v>0</v>
      </c>
      <c r="AD22" s="1"/>
      <c r="AE22" s="1"/>
    </row>
    <row r="23" spans="8:34" s="543" customFormat="1" ht="20.25" customHeight="1" thickBot="1" x14ac:dyDescent="0.3">
      <c r="H23" s="535"/>
      <c r="I23" s="536"/>
      <c r="J23" s="535" t="s">
        <v>17</v>
      </c>
      <c r="K23" s="38"/>
      <c r="L23" s="735">
        <f>SUM(N23:AC23)</f>
        <v>0</v>
      </c>
      <c r="M23" s="726"/>
      <c r="N23" s="736">
        <f t="shared" ref="N23:AC23" si="11">N324</f>
        <v>0</v>
      </c>
      <c r="O23" s="737">
        <f t="shared" si="11"/>
        <v>0</v>
      </c>
      <c r="P23" s="737">
        <f t="shared" si="11"/>
        <v>0</v>
      </c>
      <c r="Q23" s="737">
        <f t="shared" si="11"/>
        <v>0</v>
      </c>
      <c r="R23" s="737">
        <f t="shared" si="11"/>
        <v>0</v>
      </c>
      <c r="S23" s="737">
        <f t="shared" si="11"/>
        <v>0</v>
      </c>
      <c r="T23" s="737">
        <f t="shared" si="11"/>
        <v>0</v>
      </c>
      <c r="U23" s="737">
        <f t="shared" si="11"/>
        <v>0</v>
      </c>
      <c r="V23" s="737">
        <f t="shared" si="11"/>
        <v>0</v>
      </c>
      <c r="W23" s="737">
        <f t="shared" si="11"/>
        <v>0</v>
      </c>
      <c r="X23" s="737">
        <f t="shared" si="11"/>
        <v>0</v>
      </c>
      <c r="Y23" s="737">
        <f t="shared" si="11"/>
        <v>0</v>
      </c>
      <c r="Z23" s="737">
        <f t="shared" si="11"/>
        <v>0</v>
      </c>
      <c r="AA23" s="737">
        <f t="shared" si="11"/>
        <v>0</v>
      </c>
      <c r="AB23" s="737">
        <f t="shared" si="11"/>
        <v>0</v>
      </c>
      <c r="AC23" s="738">
        <f t="shared" si="11"/>
        <v>0</v>
      </c>
    </row>
    <row r="24" spans="8:34" s="543" customFormat="1" ht="20.25" customHeight="1" x14ac:dyDescent="0.3">
      <c r="H24" s="535"/>
      <c r="I24" s="536"/>
      <c r="J24" s="544" t="s">
        <v>374</v>
      </c>
      <c r="K24" s="45" t="str">
        <f>"Useful Life@"&amp;ROUND(L94,2)&amp;"yrs"</f>
        <v>Useful Life@8yrs</v>
      </c>
      <c r="L24" s="739">
        <f>SUM(N24:AC24)</f>
        <v>0</v>
      </c>
      <c r="M24" s="726"/>
      <c r="N24" s="740">
        <f>N70</f>
        <v>0</v>
      </c>
      <c r="O24" s="741">
        <f t="shared" ref="O24:AC24" si="12">O70</f>
        <v>0</v>
      </c>
      <c r="P24" s="741">
        <f t="shared" si="12"/>
        <v>0</v>
      </c>
      <c r="Q24" s="741">
        <f t="shared" si="12"/>
        <v>0</v>
      </c>
      <c r="R24" s="741">
        <f t="shared" si="12"/>
        <v>0</v>
      </c>
      <c r="S24" s="741">
        <f t="shared" si="12"/>
        <v>0</v>
      </c>
      <c r="T24" s="741">
        <f t="shared" si="12"/>
        <v>0</v>
      </c>
      <c r="U24" s="741">
        <f t="shared" si="12"/>
        <v>0</v>
      </c>
      <c r="V24" s="741">
        <f t="shared" si="12"/>
        <v>0</v>
      </c>
      <c r="W24" s="741">
        <f t="shared" si="12"/>
        <v>0</v>
      </c>
      <c r="X24" s="741">
        <f t="shared" si="12"/>
        <v>0</v>
      </c>
      <c r="Y24" s="741">
        <f t="shared" si="12"/>
        <v>0</v>
      </c>
      <c r="Z24" s="741">
        <f t="shared" si="12"/>
        <v>0</v>
      </c>
      <c r="AA24" s="741">
        <f t="shared" si="12"/>
        <v>0</v>
      </c>
      <c r="AB24" s="741">
        <f t="shared" si="12"/>
        <v>0</v>
      </c>
      <c r="AC24" s="742">
        <f t="shared" si="12"/>
        <v>0</v>
      </c>
    </row>
    <row r="25" spans="8:34" s="543" customFormat="1" ht="20.25" customHeight="1" thickBot="1" x14ac:dyDescent="0.3">
      <c r="H25" s="535"/>
      <c r="I25" s="536"/>
      <c r="J25" s="544" t="s">
        <v>375</v>
      </c>
      <c r="K25" s="38"/>
      <c r="L25" s="743">
        <f>SUM(N25:AC25)</f>
        <v>0</v>
      </c>
      <c r="M25" s="726"/>
      <c r="N25" s="744">
        <f>SUM(N73,N74)</f>
        <v>0</v>
      </c>
      <c r="O25" s="745">
        <f t="shared" ref="O25:AC25" si="13">SUM(O73,O74)</f>
        <v>0</v>
      </c>
      <c r="P25" s="745">
        <f t="shared" si="13"/>
        <v>0</v>
      </c>
      <c r="Q25" s="745">
        <f t="shared" si="13"/>
        <v>0</v>
      </c>
      <c r="R25" s="745">
        <f t="shared" si="13"/>
        <v>0</v>
      </c>
      <c r="S25" s="745">
        <f t="shared" si="13"/>
        <v>0</v>
      </c>
      <c r="T25" s="745">
        <f t="shared" si="13"/>
        <v>0</v>
      </c>
      <c r="U25" s="745">
        <f t="shared" si="13"/>
        <v>0</v>
      </c>
      <c r="V25" s="745">
        <f t="shared" si="13"/>
        <v>0</v>
      </c>
      <c r="W25" s="745">
        <f t="shared" si="13"/>
        <v>0</v>
      </c>
      <c r="X25" s="745">
        <f t="shared" si="13"/>
        <v>0</v>
      </c>
      <c r="Y25" s="745">
        <f t="shared" si="13"/>
        <v>0</v>
      </c>
      <c r="Z25" s="745">
        <f t="shared" si="13"/>
        <v>0</v>
      </c>
      <c r="AA25" s="745">
        <f t="shared" si="13"/>
        <v>0</v>
      </c>
      <c r="AB25" s="745">
        <f t="shared" si="13"/>
        <v>0</v>
      </c>
      <c r="AC25" s="746">
        <f t="shared" si="13"/>
        <v>0</v>
      </c>
    </row>
    <row r="26" spans="8:34" s="66" customFormat="1" ht="20.25" customHeight="1" x14ac:dyDescent="0.25">
      <c r="H26" s="31"/>
      <c r="I26" s="38"/>
      <c r="J26" s="72" t="str">
        <f>IF(L75&gt;0,"Annual Funding Gap (including IC asset transfer)","Annual Funding Gap")</f>
        <v>Annual Funding Gap</v>
      </c>
      <c r="K26" s="38"/>
      <c r="L26" s="747">
        <f>SUM(N26:AC26)</f>
        <v>0</v>
      </c>
      <c r="M26" s="726"/>
      <c r="N26" s="740">
        <f>-N65</f>
        <v>0</v>
      </c>
      <c r="O26" s="741">
        <f t="shared" ref="O26:AC26" si="14">-O65</f>
        <v>0</v>
      </c>
      <c r="P26" s="741">
        <f t="shared" si="14"/>
        <v>0</v>
      </c>
      <c r="Q26" s="741">
        <f t="shared" si="14"/>
        <v>0</v>
      </c>
      <c r="R26" s="741">
        <f t="shared" si="14"/>
        <v>0</v>
      </c>
      <c r="S26" s="741">
        <f t="shared" si="14"/>
        <v>0</v>
      </c>
      <c r="T26" s="741">
        <f t="shared" si="14"/>
        <v>0</v>
      </c>
      <c r="U26" s="741">
        <f t="shared" si="14"/>
        <v>0</v>
      </c>
      <c r="V26" s="741">
        <f t="shared" si="14"/>
        <v>0</v>
      </c>
      <c r="W26" s="741">
        <f t="shared" si="14"/>
        <v>0</v>
      </c>
      <c r="X26" s="741">
        <f t="shared" si="14"/>
        <v>0</v>
      </c>
      <c r="Y26" s="741">
        <f t="shared" si="14"/>
        <v>0</v>
      </c>
      <c r="Z26" s="741">
        <f t="shared" si="14"/>
        <v>0</v>
      </c>
      <c r="AA26" s="741">
        <f t="shared" si="14"/>
        <v>0</v>
      </c>
      <c r="AB26" s="741">
        <f t="shared" si="14"/>
        <v>0</v>
      </c>
      <c r="AC26" s="742">
        <f t="shared" si="14"/>
        <v>0</v>
      </c>
    </row>
    <row r="27" spans="8:34" s="66" customFormat="1" ht="19.5" customHeight="1" thickBot="1" x14ac:dyDescent="0.3">
      <c r="H27" s="31"/>
      <c r="I27" s="38"/>
      <c r="J27" s="72" t="str">
        <f>IF(L75&gt;0,"Peak Funding Gap (including IC asset transfer)","Peak Funding Gap")</f>
        <v>Peak Funding Gap</v>
      </c>
      <c r="K27" s="38"/>
      <c r="L27" s="748">
        <f>MIN(N27:AC27)</f>
        <v>0</v>
      </c>
      <c r="M27" s="726"/>
      <c r="N27" s="744">
        <f>N274</f>
        <v>0</v>
      </c>
      <c r="O27" s="745">
        <f t="shared" ref="O27:AC27" si="15">O274</f>
        <v>0</v>
      </c>
      <c r="P27" s="745">
        <f t="shared" si="15"/>
        <v>0</v>
      </c>
      <c r="Q27" s="745">
        <f t="shared" si="15"/>
        <v>0</v>
      </c>
      <c r="R27" s="745">
        <f t="shared" si="15"/>
        <v>0</v>
      </c>
      <c r="S27" s="745">
        <f t="shared" si="15"/>
        <v>0</v>
      </c>
      <c r="T27" s="745">
        <f t="shared" si="15"/>
        <v>0</v>
      </c>
      <c r="U27" s="745">
        <f t="shared" si="15"/>
        <v>0</v>
      </c>
      <c r="V27" s="745">
        <f t="shared" si="15"/>
        <v>0</v>
      </c>
      <c r="W27" s="745">
        <f t="shared" si="15"/>
        <v>0</v>
      </c>
      <c r="X27" s="745">
        <f t="shared" si="15"/>
        <v>0</v>
      </c>
      <c r="Y27" s="745">
        <f t="shared" si="15"/>
        <v>0</v>
      </c>
      <c r="Z27" s="745">
        <f t="shared" si="15"/>
        <v>0</v>
      </c>
      <c r="AA27" s="745">
        <f t="shared" si="15"/>
        <v>0</v>
      </c>
      <c r="AB27" s="745">
        <f t="shared" si="15"/>
        <v>0</v>
      </c>
      <c r="AC27" s="746">
        <f t="shared" si="15"/>
        <v>0</v>
      </c>
    </row>
    <row r="28" spans="8:34" ht="10.5" customHeight="1" x14ac:dyDescent="0.2">
      <c r="I28" s="1"/>
      <c r="K28" s="1"/>
      <c r="AD28" s="1"/>
      <c r="AE28" s="1"/>
    </row>
    <row r="29" spans="8:34" ht="17.649999999999999" customHeight="1" outlineLevel="1" x14ac:dyDescent="0.4">
      <c r="I29" s="1"/>
      <c r="J29" s="73" t="s">
        <v>18</v>
      </c>
      <c r="K29" s="1"/>
      <c r="AD29" s="1"/>
      <c r="AE29" s="1"/>
    </row>
    <row r="30" spans="8:34" s="76" customFormat="1" outlineLevel="1" x14ac:dyDescent="0.3">
      <c r="H30" s="31"/>
      <c r="I30" s="38"/>
      <c r="J30" s="74" t="s">
        <v>19</v>
      </c>
      <c r="K30" s="75" t="s">
        <v>20</v>
      </c>
      <c r="L30" s="867">
        <f>SUM(N30:AC30)</f>
        <v>0</v>
      </c>
      <c r="M30" s="868"/>
      <c r="N30" s="869">
        <f t="shared" ref="N30:AC30" si="16">SUM(N123,N132)</f>
        <v>0</v>
      </c>
      <c r="O30" s="870">
        <f t="shared" si="16"/>
        <v>0</v>
      </c>
      <c r="P30" s="870">
        <f t="shared" si="16"/>
        <v>0</v>
      </c>
      <c r="Q30" s="870">
        <f t="shared" si="16"/>
        <v>0</v>
      </c>
      <c r="R30" s="870">
        <f t="shared" si="16"/>
        <v>0</v>
      </c>
      <c r="S30" s="870">
        <f t="shared" si="16"/>
        <v>0</v>
      </c>
      <c r="T30" s="870">
        <f t="shared" si="16"/>
        <v>0</v>
      </c>
      <c r="U30" s="870">
        <f t="shared" si="16"/>
        <v>0</v>
      </c>
      <c r="V30" s="870">
        <f t="shared" si="16"/>
        <v>0</v>
      </c>
      <c r="W30" s="870">
        <f t="shared" si="16"/>
        <v>0</v>
      </c>
      <c r="X30" s="870">
        <f t="shared" si="16"/>
        <v>0</v>
      </c>
      <c r="Y30" s="870">
        <f t="shared" si="16"/>
        <v>0</v>
      </c>
      <c r="Z30" s="870">
        <f t="shared" si="16"/>
        <v>0</v>
      </c>
      <c r="AA30" s="870">
        <f t="shared" si="16"/>
        <v>0</v>
      </c>
      <c r="AB30" s="870">
        <f t="shared" si="16"/>
        <v>0</v>
      </c>
      <c r="AC30" s="871">
        <f t="shared" si="16"/>
        <v>0</v>
      </c>
    </row>
    <row r="31" spans="8:34" s="76" customFormat="1" ht="19.899999999999999" customHeight="1" outlineLevel="1" x14ac:dyDescent="0.3">
      <c r="H31" s="31"/>
      <c r="I31" s="38"/>
      <c r="J31" s="77" t="s">
        <v>21</v>
      </c>
      <c r="K31" s="75" t="str">
        <f>IF(P107="Yes","Imputed in ROI","Not imputed in ROI")</f>
        <v>Not imputed in ROI</v>
      </c>
      <c r="L31" s="872">
        <f>SUM(N31:AC31)</f>
        <v>0</v>
      </c>
      <c r="M31" s="868"/>
      <c r="N31" s="873">
        <f t="shared" ref="N31:AC31" si="17">IF(N167&gt;0,0,N167)</f>
        <v>0</v>
      </c>
      <c r="O31" s="874">
        <f t="shared" si="17"/>
        <v>0</v>
      </c>
      <c r="P31" s="874">
        <f t="shared" si="17"/>
        <v>0</v>
      </c>
      <c r="Q31" s="874">
        <f t="shared" si="17"/>
        <v>0</v>
      </c>
      <c r="R31" s="874">
        <f t="shared" si="17"/>
        <v>0</v>
      </c>
      <c r="S31" s="874">
        <f t="shared" si="17"/>
        <v>0</v>
      </c>
      <c r="T31" s="874">
        <f t="shared" si="17"/>
        <v>0</v>
      </c>
      <c r="U31" s="874">
        <f t="shared" si="17"/>
        <v>0</v>
      </c>
      <c r="V31" s="874">
        <f t="shared" si="17"/>
        <v>0</v>
      </c>
      <c r="W31" s="874">
        <f t="shared" si="17"/>
        <v>0</v>
      </c>
      <c r="X31" s="874">
        <f t="shared" si="17"/>
        <v>0</v>
      </c>
      <c r="Y31" s="874">
        <f t="shared" si="17"/>
        <v>0</v>
      </c>
      <c r="Z31" s="874">
        <f t="shared" si="17"/>
        <v>0</v>
      </c>
      <c r="AA31" s="874">
        <f t="shared" si="17"/>
        <v>0</v>
      </c>
      <c r="AB31" s="874">
        <f t="shared" si="17"/>
        <v>0</v>
      </c>
      <c r="AC31" s="875">
        <f t="shared" si="17"/>
        <v>0</v>
      </c>
    </row>
    <row r="32" spans="8:34" outlineLevel="1" thickBot="1" x14ac:dyDescent="0.3">
      <c r="H32" s="31"/>
      <c r="I32" s="38"/>
      <c r="J32" s="67"/>
      <c r="K32" s="67"/>
      <c r="L32" s="67"/>
      <c r="N32" s="67"/>
      <c r="O32" s="67"/>
      <c r="P32" s="67"/>
      <c r="Q32" s="67"/>
      <c r="R32" s="67"/>
      <c r="S32" s="67"/>
      <c r="T32" s="67"/>
      <c r="U32" s="67"/>
      <c r="V32" s="67"/>
      <c r="W32" s="67"/>
      <c r="X32" s="67"/>
      <c r="Y32" s="67"/>
      <c r="Z32" s="67"/>
      <c r="AA32" s="67"/>
      <c r="AB32" s="67"/>
      <c r="AC32" s="67"/>
      <c r="AD32" s="67"/>
      <c r="AE32" s="67"/>
      <c r="AF32" s="67"/>
      <c r="AG32" s="67"/>
      <c r="AH32" s="67"/>
    </row>
    <row r="33" spans="8:31" ht="18" x14ac:dyDescent="0.4">
      <c r="H33" s="31"/>
      <c r="I33" s="38" t="s">
        <v>22</v>
      </c>
      <c r="J33" s="39" t="s">
        <v>23</v>
      </c>
      <c r="K33" s="31"/>
      <c r="L33" s="78"/>
      <c r="N33" s="79"/>
      <c r="O33" s="80"/>
      <c r="P33" s="80"/>
      <c r="Q33" s="80"/>
      <c r="R33" s="80"/>
      <c r="S33" s="80"/>
      <c r="T33" s="80"/>
      <c r="U33" s="80"/>
      <c r="V33" s="80"/>
      <c r="W33" s="80"/>
      <c r="X33" s="80"/>
      <c r="Y33" s="80"/>
      <c r="Z33" s="80"/>
      <c r="AA33" s="80"/>
      <c r="AB33" s="80"/>
      <c r="AC33" s="81"/>
      <c r="AD33" s="1"/>
      <c r="AE33" s="1"/>
    </row>
    <row r="34" spans="8:31" ht="15.75" x14ac:dyDescent="0.25">
      <c r="H34" s="31"/>
      <c r="I34" s="38"/>
      <c r="J34" s="31" t="s">
        <v>24</v>
      </c>
      <c r="K34" s="1188" t="str">
        <f>IFERROR(CONCATENATE("CPCF Multiple: ",ROUND(L34/L65,1),"x"),"MOIC Multiple")</f>
        <v>MOIC Multiple</v>
      </c>
      <c r="L34" s="749">
        <f>AC34</f>
        <v>0</v>
      </c>
      <c r="M34" s="750"/>
      <c r="N34" s="751">
        <f t="shared" ref="N34:AC34" si="18">N325</f>
        <v>0</v>
      </c>
      <c r="O34" s="752">
        <f t="shared" si="18"/>
        <v>0</v>
      </c>
      <c r="P34" s="752">
        <f t="shared" si="18"/>
        <v>0</v>
      </c>
      <c r="Q34" s="752">
        <f t="shared" si="18"/>
        <v>0</v>
      </c>
      <c r="R34" s="752">
        <f t="shared" si="18"/>
        <v>0</v>
      </c>
      <c r="S34" s="752">
        <f t="shared" si="18"/>
        <v>0</v>
      </c>
      <c r="T34" s="752">
        <f t="shared" si="18"/>
        <v>0</v>
      </c>
      <c r="U34" s="752">
        <f t="shared" si="18"/>
        <v>0</v>
      </c>
      <c r="V34" s="752">
        <f t="shared" si="18"/>
        <v>0</v>
      </c>
      <c r="W34" s="752">
        <f t="shared" si="18"/>
        <v>0</v>
      </c>
      <c r="X34" s="752">
        <f t="shared" si="18"/>
        <v>0</v>
      </c>
      <c r="Y34" s="752">
        <f t="shared" si="18"/>
        <v>0</v>
      </c>
      <c r="Z34" s="752">
        <f t="shared" si="18"/>
        <v>0</v>
      </c>
      <c r="AA34" s="752">
        <f t="shared" si="18"/>
        <v>0</v>
      </c>
      <c r="AB34" s="752">
        <f t="shared" si="18"/>
        <v>0</v>
      </c>
      <c r="AC34" s="753">
        <f t="shared" si="18"/>
        <v>0</v>
      </c>
      <c r="AD34" s="83"/>
      <c r="AE34" s="1"/>
    </row>
    <row r="35" spans="8:31" ht="15.75" x14ac:dyDescent="0.25">
      <c r="H35" s="31"/>
      <c r="I35" s="38"/>
      <c r="J35" s="31" t="s">
        <v>25</v>
      </c>
      <c r="K35" s="1188"/>
      <c r="L35" s="82" t="str">
        <f>IF($L$335="No Full Recovery","No Full Recovery",CONCATENATE(ROUND(SUM(N326:AC326),1)," yrs"))</f>
        <v>0 yrs</v>
      </c>
      <c r="N35" s="84" t="str">
        <f>IF($L$335="No Full Recovery","",ROUND(N326,2)&amp;" yrs")</f>
        <v>0 yrs</v>
      </c>
      <c r="O35" s="85" t="str">
        <f>IF($L$335="No Full Recovery","",ROUND(O326,2)&amp;" yrs")</f>
        <v>0 yrs</v>
      </c>
      <c r="P35" s="85" t="str">
        <f t="shared" ref="P35:AC35" si="19">IF($L$335="No Full Recovery","",ROUND(P326,2)&amp;" yrs")</f>
        <v>0 yrs</v>
      </c>
      <c r="Q35" s="85" t="str">
        <f t="shared" si="19"/>
        <v>0 yrs</v>
      </c>
      <c r="R35" s="85" t="str">
        <f t="shared" si="19"/>
        <v>0 yrs</v>
      </c>
      <c r="S35" s="85" t="str">
        <f t="shared" si="19"/>
        <v>0 yrs</v>
      </c>
      <c r="T35" s="85" t="str">
        <f t="shared" si="19"/>
        <v>0 yrs</v>
      </c>
      <c r="U35" s="85" t="str">
        <f t="shared" si="19"/>
        <v>0 yrs</v>
      </c>
      <c r="V35" s="85" t="str">
        <f t="shared" si="19"/>
        <v>0 yrs</v>
      </c>
      <c r="W35" s="85" t="str">
        <f t="shared" si="19"/>
        <v>0 yrs</v>
      </c>
      <c r="X35" s="85" t="str">
        <f t="shared" si="19"/>
        <v>0 yrs</v>
      </c>
      <c r="Y35" s="85" t="str">
        <f t="shared" si="19"/>
        <v>0 yrs</v>
      </c>
      <c r="Z35" s="85" t="str">
        <f t="shared" si="19"/>
        <v>0 yrs</v>
      </c>
      <c r="AA35" s="85" t="str">
        <f t="shared" si="19"/>
        <v>0 yrs</v>
      </c>
      <c r="AB35" s="85" t="str">
        <f t="shared" si="19"/>
        <v>0 yrs</v>
      </c>
      <c r="AC35" s="86" t="str">
        <f t="shared" si="19"/>
        <v>0 yrs</v>
      </c>
      <c r="AD35" s="83"/>
      <c r="AE35" s="1"/>
    </row>
    <row r="36" spans="8:31" ht="15.75" x14ac:dyDescent="0.25">
      <c r="H36" s="31"/>
      <c r="I36" s="38"/>
      <c r="J36" s="31" t="s">
        <v>26</v>
      </c>
      <c r="K36" s="87" t="str">
        <f>CONCATENATE("WACC@",$L$98*100,"%")</f>
        <v>WACC@15%</v>
      </c>
      <c r="L36" s="749">
        <f>AC36</f>
        <v>0</v>
      </c>
      <c r="M36" s="750"/>
      <c r="N36" s="751">
        <f>SUM($N327:N327)</f>
        <v>0</v>
      </c>
      <c r="O36" s="752">
        <f>SUM($N327:O327)</f>
        <v>0</v>
      </c>
      <c r="P36" s="752">
        <f>SUM($N327:P327)</f>
        <v>0</v>
      </c>
      <c r="Q36" s="752">
        <f>SUM($N327:Q327)</f>
        <v>0</v>
      </c>
      <c r="R36" s="752">
        <f>SUM($N327:R327)</f>
        <v>0</v>
      </c>
      <c r="S36" s="752">
        <f>SUM($N327:S327)</f>
        <v>0</v>
      </c>
      <c r="T36" s="752">
        <f>SUM($N327:T327)</f>
        <v>0</v>
      </c>
      <c r="U36" s="752">
        <f>SUM($N327:U327)</f>
        <v>0</v>
      </c>
      <c r="V36" s="752">
        <f>SUM($N327:V327)</f>
        <v>0</v>
      </c>
      <c r="W36" s="752">
        <f>SUM($N327:W327)</f>
        <v>0</v>
      </c>
      <c r="X36" s="752">
        <f>SUM($N327:X327)</f>
        <v>0</v>
      </c>
      <c r="Y36" s="752">
        <f>SUM($N327:Y327)</f>
        <v>0</v>
      </c>
      <c r="Z36" s="752">
        <f>SUM($N327:Z327)</f>
        <v>0</v>
      </c>
      <c r="AA36" s="752">
        <f>SUM($N327:AA327)</f>
        <v>0</v>
      </c>
      <c r="AB36" s="752">
        <f>SUM($N327:AB327)</f>
        <v>0</v>
      </c>
      <c r="AC36" s="753">
        <f>SUM($N327:AC327)</f>
        <v>0</v>
      </c>
      <c r="AD36" s="83"/>
      <c r="AE36" s="1"/>
    </row>
    <row r="37" spans="8:31" ht="15.75" x14ac:dyDescent="0.25">
      <c r="H37" s="31"/>
      <c r="I37" s="38"/>
      <c r="J37" s="31"/>
      <c r="K37" s="87" t="str">
        <f>CONCATENATE("IRR: ",ROUND($L$334*100,1),"%")</f>
        <v>IRR: 0%</v>
      </c>
      <c r="L37" s="88"/>
      <c r="N37" s="89"/>
      <c r="O37" s="90"/>
      <c r="P37" s="90"/>
      <c r="Q37" s="90"/>
      <c r="R37" s="90"/>
      <c r="S37" s="90"/>
      <c r="T37" s="90"/>
      <c r="U37" s="90"/>
      <c r="V37" s="90"/>
      <c r="W37" s="90"/>
      <c r="X37" s="90"/>
      <c r="Y37" s="90"/>
      <c r="Z37" s="90"/>
      <c r="AA37" s="90"/>
      <c r="AB37" s="90"/>
      <c r="AC37" s="91"/>
      <c r="AD37" s="83"/>
      <c r="AE37" s="1"/>
    </row>
    <row r="38" spans="8:31" ht="20.25" customHeight="1" x14ac:dyDescent="0.4">
      <c r="I38" s="38" t="s">
        <v>27</v>
      </c>
      <c r="J38" s="39" t="s">
        <v>28</v>
      </c>
      <c r="L38" s="754">
        <f>IFERROR(AVERAGEIF(O38:AC38,"&gt;100",O38:AC38),)</f>
        <v>0</v>
      </c>
      <c r="M38" s="750"/>
      <c r="N38" s="755">
        <f>SUM(N40:N48)-N41</f>
        <v>0</v>
      </c>
      <c r="O38" s="756">
        <f t="shared" ref="O38:AC38" si="20">SUM(O40:O48)-O41</f>
        <v>0</v>
      </c>
      <c r="P38" s="756">
        <f t="shared" si="20"/>
        <v>0</v>
      </c>
      <c r="Q38" s="756">
        <f t="shared" si="20"/>
        <v>0</v>
      </c>
      <c r="R38" s="756">
        <f t="shared" si="20"/>
        <v>0</v>
      </c>
      <c r="S38" s="756">
        <f t="shared" si="20"/>
        <v>0</v>
      </c>
      <c r="T38" s="756">
        <f t="shared" si="20"/>
        <v>0</v>
      </c>
      <c r="U38" s="756">
        <f t="shared" si="20"/>
        <v>0</v>
      </c>
      <c r="V38" s="756">
        <f t="shared" si="20"/>
        <v>0</v>
      </c>
      <c r="W38" s="756">
        <f t="shared" si="20"/>
        <v>0</v>
      </c>
      <c r="X38" s="756">
        <f t="shared" si="20"/>
        <v>0</v>
      </c>
      <c r="Y38" s="756">
        <f t="shared" si="20"/>
        <v>0</v>
      </c>
      <c r="Z38" s="756">
        <f t="shared" si="20"/>
        <v>0</v>
      </c>
      <c r="AA38" s="756">
        <f t="shared" si="20"/>
        <v>0</v>
      </c>
      <c r="AB38" s="756">
        <f t="shared" si="20"/>
        <v>0</v>
      </c>
      <c r="AC38" s="757">
        <f t="shared" si="20"/>
        <v>0</v>
      </c>
      <c r="AD38" s="83"/>
      <c r="AE38" s="1"/>
    </row>
    <row r="39" spans="8:31" ht="15.75" x14ac:dyDescent="0.25">
      <c r="H39" s="31"/>
      <c r="I39" s="38"/>
      <c r="J39" s="31" t="s">
        <v>29</v>
      </c>
      <c r="K39" s="38"/>
      <c r="L39" s="92" t="str">
        <f>IFERROR(SUM(N38:AC38)/SUM(N16:AC16),"")</f>
        <v/>
      </c>
      <c r="N39" s="93" t="str">
        <f t="shared" ref="N39:AC39" si="21">IFERROR(N38/N16*N78/365,"")</f>
        <v/>
      </c>
      <c r="O39" s="94" t="str">
        <f t="shared" si="21"/>
        <v/>
      </c>
      <c r="P39" s="94" t="str">
        <f t="shared" si="21"/>
        <v/>
      </c>
      <c r="Q39" s="94" t="str">
        <f t="shared" si="21"/>
        <v/>
      </c>
      <c r="R39" s="94" t="str">
        <f t="shared" si="21"/>
        <v/>
      </c>
      <c r="S39" s="94" t="str">
        <f t="shared" si="21"/>
        <v/>
      </c>
      <c r="T39" s="94" t="str">
        <f t="shared" si="21"/>
        <v/>
      </c>
      <c r="U39" s="94" t="str">
        <f t="shared" si="21"/>
        <v/>
      </c>
      <c r="V39" s="94" t="str">
        <f t="shared" si="21"/>
        <v/>
      </c>
      <c r="W39" s="94" t="str">
        <f t="shared" si="21"/>
        <v/>
      </c>
      <c r="X39" s="94" t="str">
        <f t="shared" si="21"/>
        <v/>
      </c>
      <c r="Y39" s="94" t="str">
        <f t="shared" si="21"/>
        <v/>
      </c>
      <c r="Z39" s="94" t="str">
        <f t="shared" si="21"/>
        <v/>
      </c>
      <c r="AA39" s="94" t="str">
        <f t="shared" si="21"/>
        <v/>
      </c>
      <c r="AB39" s="94" t="str">
        <f t="shared" si="21"/>
        <v/>
      </c>
      <c r="AC39" s="95" t="str">
        <f t="shared" si="21"/>
        <v/>
      </c>
      <c r="AD39" s="1"/>
      <c r="AE39" s="1"/>
    </row>
    <row r="40" spans="8:31" x14ac:dyDescent="0.3">
      <c r="I40" s="96"/>
      <c r="J40" s="97" t="s">
        <v>30</v>
      </c>
      <c r="L40" s="758">
        <f>IFERROR(AVERAGEIF(N40:AC40,"&gt;0",N40:AC40),)</f>
        <v>0</v>
      </c>
      <c r="M40" s="750"/>
      <c r="N40" s="751">
        <f t="shared" ref="N40:AC40" si="22">N200</f>
        <v>0</v>
      </c>
      <c r="O40" s="752">
        <f t="shared" si="22"/>
        <v>0</v>
      </c>
      <c r="P40" s="752">
        <f t="shared" si="22"/>
        <v>0</v>
      </c>
      <c r="Q40" s="752">
        <f t="shared" si="22"/>
        <v>0</v>
      </c>
      <c r="R40" s="752">
        <f t="shared" si="22"/>
        <v>0</v>
      </c>
      <c r="S40" s="752">
        <f t="shared" si="22"/>
        <v>0</v>
      </c>
      <c r="T40" s="752">
        <f t="shared" si="22"/>
        <v>0</v>
      </c>
      <c r="U40" s="752">
        <f t="shared" si="22"/>
        <v>0</v>
      </c>
      <c r="V40" s="752">
        <f t="shared" si="22"/>
        <v>0</v>
      </c>
      <c r="W40" s="752">
        <f t="shared" si="22"/>
        <v>0</v>
      </c>
      <c r="X40" s="752">
        <f t="shared" si="22"/>
        <v>0</v>
      </c>
      <c r="Y40" s="752">
        <f t="shared" si="22"/>
        <v>0</v>
      </c>
      <c r="Z40" s="752">
        <f t="shared" si="22"/>
        <v>0</v>
      </c>
      <c r="AA40" s="752">
        <f t="shared" si="22"/>
        <v>0</v>
      </c>
      <c r="AB40" s="752">
        <f t="shared" si="22"/>
        <v>0</v>
      </c>
      <c r="AC40" s="753">
        <f t="shared" si="22"/>
        <v>0</v>
      </c>
      <c r="AD40" s="83"/>
      <c r="AE40" s="1"/>
    </row>
    <row r="41" spans="8:31" x14ac:dyDescent="0.3">
      <c r="I41" s="96"/>
      <c r="J41" s="97" t="s">
        <v>299</v>
      </c>
      <c r="L41" s="758">
        <f>IFERROR(AVERAGEIF(N41:AC41,"&gt;0",N41:AC41),)</f>
        <v>0</v>
      </c>
      <c r="M41" s="750"/>
      <c r="N41" s="751">
        <f>SUM(N42:N45)</f>
        <v>0</v>
      </c>
      <c r="O41" s="752">
        <f t="shared" ref="O41:AC41" si="23">SUM(O42:O45)</f>
        <v>0</v>
      </c>
      <c r="P41" s="752">
        <f t="shared" si="23"/>
        <v>0</v>
      </c>
      <c r="Q41" s="752">
        <f t="shared" si="23"/>
        <v>0</v>
      </c>
      <c r="R41" s="752">
        <f t="shared" si="23"/>
        <v>0</v>
      </c>
      <c r="S41" s="752">
        <f t="shared" si="23"/>
        <v>0</v>
      </c>
      <c r="T41" s="752">
        <f t="shared" si="23"/>
        <v>0</v>
      </c>
      <c r="U41" s="752">
        <f t="shared" si="23"/>
        <v>0</v>
      </c>
      <c r="V41" s="752">
        <f t="shared" si="23"/>
        <v>0</v>
      </c>
      <c r="W41" s="752">
        <f t="shared" si="23"/>
        <v>0</v>
      </c>
      <c r="X41" s="752">
        <f t="shared" si="23"/>
        <v>0</v>
      </c>
      <c r="Y41" s="752">
        <f t="shared" si="23"/>
        <v>0</v>
      </c>
      <c r="Z41" s="752">
        <f t="shared" si="23"/>
        <v>0</v>
      </c>
      <c r="AA41" s="752">
        <f t="shared" si="23"/>
        <v>0</v>
      </c>
      <c r="AB41" s="752">
        <f t="shared" si="23"/>
        <v>0</v>
      </c>
      <c r="AC41" s="753">
        <f t="shared" si="23"/>
        <v>0</v>
      </c>
      <c r="AD41" s="83"/>
      <c r="AE41" s="1"/>
    </row>
    <row r="42" spans="8:31" x14ac:dyDescent="0.3">
      <c r="I42" s="96"/>
      <c r="J42" s="456" t="s">
        <v>295</v>
      </c>
      <c r="L42" s="759">
        <f>IFERROR(AVERAGEIF(N42:AC42,"&gt;0",N42:AC42),)</f>
        <v>0</v>
      </c>
      <c r="M42" s="760"/>
      <c r="N42" s="761">
        <f>N201</f>
        <v>0</v>
      </c>
      <c r="O42" s="762">
        <f t="shared" ref="O42:AC42" si="24">O201</f>
        <v>0</v>
      </c>
      <c r="P42" s="762">
        <f t="shared" si="24"/>
        <v>0</v>
      </c>
      <c r="Q42" s="762">
        <f t="shared" si="24"/>
        <v>0</v>
      </c>
      <c r="R42" s="762">
        <f t="shared" si="24"/>
        <v>0</v>
      </c>
      <c r="S42" s="762">
        <f t="shared" si="24"/>
        <v>0</v>
      </c>
      <c r="T42" s="762">
        <f t="shared" si="24"/>
        <v>0</v>
      </c>
      <c r="U42" s="762">
        <f t="shared" si="24"/>
        <v>0</v>
      </c>
      <c r="V42" s="762">
        <f t="shared" si="24"/>
        <v>0</v>
      </c>
      <c r="W42" s="762">
        <f t="shared" si="24"/>
        <v>0</v>
      </c>
      <c r="X42" s="762">
        <f t="shared" si="24"/>
        <v>0</v>
      </c>
      <c r="Y42" s="762">
        <f t="shared" si="24"/>
        <v>0</v>
      </c>
      <c r="Z42" s="762">
        <f t="shared" si="24"/>
        <v>0</v>
      </c>
      <c r="AA42" s="762">
        <f t="shared" si="24"/>
        <v>0</v>
      </c>
      <c r="AB42" s="762">
        <f t="shared" si="24"/>
        <v>0</v>
      </c>
      <c r="AC42" s="763">
        <f t="shared" si="24"/>
        <v>0</v>
      </c>
      <c r="AD42" s="83"/>
      <c r="AE42" s="1"/>
    </row>
    <row r="43" spans="8:31" x14ac:dyDescent="0.3">
      <c r="I43" s="96"/>
      <c r="J43" s="456" t="s">
        <v>296</v>
      </c>
      <c r="L43" s="759">
        <f t="shared" ref="L43:L45" si="25">IFERROR(AVERAGEIF(N43:AC43,"&gt;0",N43:AC43),)</f>
        <v>0</v>
      </c>
      <c r="M43" s="760"/>
      <c r="N43" s="761">
        <f t="shared" ref="N43:AC45" si="26">N202</f>
        <v>0</v>
      </c>
      <c r="O43" s="762">
        <f t="shared" si="26"/>
        <v>0</v>
      </c>
      <c r="P43" s="762">
        <f t="shared" si="26"/>
        <v>0</v>
      </c>
      <c r="Q43" s="762">
        <f t="shared" si="26"/>
        <v>0</v>
      </c>
      <c r="R43" s="762">
        <f t="shared" si="26"/>
        <v>0</v>
      </c>
      <c r="S43" s="762">
        <f t="shared" si="26"/>
        <v>0</v>
      </c>
      <c r="T43" s="762">
        <f t="shared" si="26"/>
        <v>0</v>
      </c>
      <c r="U43" s="762">
        <f t="shared" si="26"/>
        <v>0</v>
      </c>
      <c r="V43" s="762">
        <f t="shared" si="26"/>
        <v>0</v>
      </c>
      <c r="W43" s="762">
        <f t="shared" si="26"/>
        <v>0</v>
      </c>
      <c r="X43" s="762">
        <f t="shared" si="26"/>
        <v>0</v>
      </c>
      <c r="Y43" s="762">
        <f t="shared" si="26"/>
        <v>0</v>
      </c>
      <c r="Z43" s="762">
        <f t="shared" si="26"/>
        <v>0</v>
      </c>
      <c r="AA43" s="762">
        <f t="shared" si="26"/>
        <v>0</v>
      </c>
      <c r="AB43" s="762">
        <f t="shared" si="26"/>
        <v>0</v>
      </c>
      <c r="AC43" s="763">
        <f t="shared" si="26"/>
        <v>0</v>
      </c>
      <c r="AD43" s="83"/>
      <c r="AE43" s="1"/>
    </row>
    <row r="44" spans="8:31" x14ac:dyDescent="0.3">
      <c r="I44" s="96"/>
      <c r="J44" s="456" t="s">
        <v>458</v>
      </c>
      <c r="L44" s="759">
        <f t="shared" si="25"/>
        <v>0</v>
      </c>
      <c r="M44" s="760"/>
      <c r="N44" s="761">
        <f t="shared" si="26"/>
        <v>0</v>
      </c>
      <c r="O44" s="762">
        <f t="shared" si="26"/>
        <v>0</v>
      </c>
      <c r="P44" s="762">
        <f t="shared" si="26"/>
        <v>0</v>
      </c>
      <c r="Q44" s="762">
        <f t="shared" si="26"/>
        <v>0</v>
      </c>
      <c r="R44" s="762">
        <f t="shared" si="26"/>
        <v>0</v>
      </c>
      <c r="S44" s="762">
        <f t="shared" si="26"/>
        <v>0</v>
      </c>
      <c r="T44" s="762">
        <f t="shared" si="26"/>
        <v>0</v>
      </c>
      <c r="U44" s="762">
        <f t="shared" si="26"/>
        <v>0</v>
      </c>
      <c r="V44" s="762">
        <f t="shared" si="26"/>
        <v>0</v>
      </c>
      <c r="W44" s="762">
        <f t="shared" si="26"/>
        <v>0</v>
      </c>
      <c r="X44" s="762">
        <f t="shared" si="26"/>
        <v>0</v>
      </c>
      <c r="Y44" s="762">
        <f t="shared" si="26"/>
        <v>0</v>
      </c>
      <c r="Z44" s="762">
        <f t="shared" si="26"/>
        <v>0</v>
      </c>
      <c r="AA44" s="762">
        <f t="shared" si="26"/>
        <v>0</v>
      </c>
      <c r="AB44" s="762">
        <f t="shared" si="26"/>
        <v>0</v>
      </c>
      <c r="AC44" s="763">
        <f t="shared" si="26"/>
        <v>0</v>
      </c>
      <c r="AD44" s="83"/>
      <c r="AE44" s="1"/>
    </row>
    <row r="45" spans="8:31" x14ac:dyDescent="0.3">
      <c r="I45" s="96"/>
      <c r="J45" s="456" t="s">
        <v>298</v>
      </c>
      <c r="L45" s="759">
        <f t="shared" si="25"/>
        <v>0</v>
      </c>
      <c r="M45" s="760"/>
      <c r="N45" s="761">
        <f t="shared" si="26"/>
        <v>0</v>
      </c>
      <c r="O45" s="762">
        <f t="shared" si="26"/>
        <v>0</v>
      </c>
      <c r="P45" s="762">
        <f t="shared" si="26"/>
        <v>0</v>
      </c>
      <c r="Q45" s="762">
        <f t="shared" si="26"/>
        <v>0</v>
      </c>
      <c r="R45" s="762">
        <f t="shared" si="26"/>
        <v>0</v>
      </c>
      <c r="S45" s="762">
        <f t="shared" si="26"/>
        <v>0</v>
      </c>
      <c r="T45" s="762">
        <f t="shared" si="26"/>
        <v>0</v>
      </c>
      <c r="U45" s="762">
        <f t="shared" si="26"/>
        <v>0</v>
      </c>
      <c r="V45" s="762">
        <f t="shared" si="26"/>
        <v>0</v>
      </c>
      <c r="W45" s="762">
        <f t="shared" si="26"/>
        <v>0</v>
      </c>
      <c r="X45" s="762">
        <f t="shared" si="26"/>
        <v>0</v>
      </c>
      <c r="Y45" s="762">
        <f t="shared" si="26"/>
        <v>0</v>
      </c>
      <c r="Z45" s="762">
        <f t="shared" si="26"/>
        <v>0</v>
      </c>
      <c r="AA45" s="762">
        <f t="shared" si="26"/>
        <v>0</v>
      </c>
      <c r="AB45" s="762">
        <f t="shared" si="26"/>
        <v>0</v>
      </c>
      <c r="AC45" s="763">
        <f t="shared" si="26"/>
        <v>0</v>
      </c>
      <c r="AD45" s="83"/>
      <c r="AE45" s="1"/>
    </row>
    <row r="46" spans="8:31" x14ac:dyDescent="0.3">
      <c r="I46" s="96"/>
      <c r="J46" s="97" t="s">
        <v>31</v>
      </c>
      <c r="L46" s="758">
        <f>IFERROR(AVERAGEIF(N46:AC46,"&lt;0",N46:AC46),)</f>
        <v>0</v>
      </c>
      <c r="M46" s="750"/>
      <c r="N46" s="751">
        <f>-N211</f>
        <v>0</v>
      </c>
      <c r="O46" s="752">
        <f>-O211</f>
        <v>0</v>
      </c>
      <c r="P46" s="752">
        <f t="shared" ref="P46:AC46" si="27">-P211</f>
        <v>0</v>
      </c>
      <c r="Q46" s="752">
        <f t="shared" si="27"/>
        <v>0</v>
      </c>
      <c r="R46" s="752">
        <f t="shared" si="27"/>
        <v>0</v>
      </c>
      <c r="S46" s="752">
        <f t="shared" si="27"/>
        <v>0</v>
      </c>
      <c r="T46" s="752">
        <f t="shared" si="27"/>
        <v>0</v>
      </c>
      <c r="U46" s="752">
        <f t="shared" si="27"/>
        <v>0</v>
      </c>
      <c r="V46" s="752">
        <f t="shared" si="27"/>
        <v>0</v>
      </c>
      <c r="W46" s="752">
        <f t="shared" si="27"/>
        <v>0</v>
      </c>
      <c r="X46" s="752">
        <f t="shared" si="27"/>
        <v>0</v>
      </c>
      <c r="Y46" s="752">
        <f t="shared" si="27"/>
        <v>0</v>
      </c>
      <c r="Z46" s="752">
        <f t="shared" si="27"/>
        <v>0</v>
      </c>
      <c r="AA46" s="752">
        <f t="shared" si="27"/>
        <v>0</v>
      </c>
      <c r="AB46" s="752">
        <f t="shared" si="27"/>
        <v>0</v>
      </c>
      <c r="AC46" s="753">
        <f t="shared" si="27"/>
        <v>0</v>
      </c>
      <c r="AD46" s="83"/>
      <c r="AE46" s="1"/>
    </row>
    <row r="47" spans="8:31" x14ac:dyDescent="0.3">
      <c r="I47" s="96"/>
      <c r="J47" s="97" t="s">
        <v>32</v>
      </c>
      <c r="L47" s="758">
        <f>IFERROR(AVERAGEIF(N47:AC47,"&gt;0",N47:AC47),)</f>
        <v>0</v>
      </c>
      <c r="M47" s="750"/>
      <c r="N47" s="751">
        <f>N206</f>
        <v>0</v>
      </c>
      <c r="O47" s="752">
        <f t="shared" ref="O47:AC47" si="28">O206</f>
        <v>0</v>
      </c>
      <c r="P47" s="752">
        <f t="shared" si="28"/>
        <v>0</v>
      </c>
      <c r="Q47" s="752">
        <f t="shared" si="28"/>
        <v>0</v>
      </c>
      <c r="R47" s="752">
        <f t="shared" si="28"/>
        <v>0</v>
      </c>
      <c r="S47" s="752">
        <f t="shared" si="28"/>
        <v>0</v>
      </c>
      <c r="T47" s="752">
        <f t="shared" si="28"/>
        <v>0</v>
      </c>
      <c r="U47" s="752">
        <f t="shared" si="28"/>
        <v>0</v>
      </c>
      <c r="V47" s="752">
        <f t="shared" si="28"/>
        <v>0</v>
      </c>
      <c r="W47" s="752">
        <f t="shared" si="28"/>
        <v>0</v>
      </c>
      <c r="X47" s="752">
        <f t="shared" si="28"/>
        <v>0</v>
      </c>
      <c r="Y47" s="752">
        <f t="shared" si="28"/>
        <v>0</v>
      </c>
      <c r="Z47" s="752">
        <f t="shared" si="28"/>
        <v>0</v>
      </c>
      <c r="AA47" s="752">
        <f t="shared" si="28"/>
        <v>0</v>
      </c>
      <c r="AB47" s="752">
        <f t="shared" si="28"/>
        <v>0</v>
      </c>
      <c r="AC47" s="753">
        <f t="shared" si="28"/>
        <v>0</v>
      </c>
      <c r="AD47" s="83"/>
      <c r="AE47" s="1"/>
    </row>
    <row r="48" spans="8:31" x14ac:dyDescent="0.3">
      <c r="I48" s="96"/>
      <c r="J48" s="97" t="s">
        <v>33</v>
      </c>
      <c r="L48" s="764">
        <f>IFERROR(AVERAGEIF(N48:AC48,"&gt;&lt;0",N48:AC48),)</f>
        <v>0</v>
      </c>
      <c r="M48" s="750"/>
      <c r="N48" s="765">
        <f>N205-N212</f>
        <v>0</v>
      </c>
      <c r="O48" s="766">
        <f t="shared" ref="O48:AC48" si="29">O205-O212</f>
        <v>0</v>
      </c>
      <c r="P48" s="766">
        <f t="shared" si="29"/>
        <v>0</v>
      </c>
      <c r="Q48" s="766">
        <f t="shared" si="29"/>
        <v>0</v>
      </c>
      <c r="R48" s="766">
        <f t="shared" si="29"/>
        <v>0</v>
      </c>
      <c r="S48" s="766">
        <f t="shared" si="29"/>
        <v>0</v>
      </c>
      <c r="T48" s="766">
        <f t="shared" si="29"/>
        <v>0</v>
      </c>
      <c r="U48" s="766">
        <f t="shared" si="29"/>
        <v>0</v>
      </c>
      <c r="V48" s="766">
        <f t="shared" si="29"/>
        <v>0</v>
      </c>
      <c r="W48" s="766">
        <f t="shared" si="29"/>
        <v>0</v>
      </c>
      <c r="X48" s="766">
        <f t="shared" si="29"/>
        <v>0</v>
      </c>
      <c r="Y48" s="766">
        <f t="shared" si="29"/>
        <v>0</v>
      </c>
      <c r="Z48" s="766">
        <f t="shared" si="29"/>
        <v>0</v>
      </c>
      <c r="AA48" s="766">
        <f t="shared" si="29"/>
        <v>0</v>
      </c>
      <c r="AB48" s="766">
        <f t="shared" si="29"/>
        <v>0</v>
      </c>
      <c r="AC48" s="767">
        <f t="shared" si="29"/>
        <v>0</v>
      </c>
      <c r="AD48" s="83"/>
      <c r="AE48" s="1"/>
    </row>
    <row r="49" spans="8:31" ht="15.75" x14ac:dyDescent="0.25">
      <c r="I49" s="38"/>
      <c r="J49" s="31" t="s">
        <v>34</v>
      </c>
      <c r="K49" s="98" t="str">
        <f>K297</f>
        <v>OK,Fully Amortized</v>
      </c>
      <c r="L49" s="768">
        <f>IFERROR(AVERAGEIF(N49:AC49,"&gt;0",N49:AC49),)</f>
        <v>0</v>
      </c>
      <c r="M49" s="750"/>
      <c r="N49" s="769">
        <f>N207</f>
        <v>0</v>
      </c>
      <c r="O49" s="770">
        <f t="shared" ref="O49:AC49" si="30">O207</f>
        <v>0</v>
      </c>
      <c r="P49" s="770">
        <f t="shared" si="30"/>
        <v>0</v>
      </c>
      <c r="Q49" s="770">
        <f t="shared" si="30"/>
        <v>0</v>
      </c>
      <c r="R49" s="770">
        <f t="shared" si="30"/>
        <v>0</v>
      </c>
      <c r="S49" s="770">
        <f t="shared" si="30"/>
        <v>0</v>
      </c>
      <c r="T49" s="770">
        <f t="shared" si="30"/>
        <v>0</v>
      </c>
      <c r="U49" s="770">
        <f t="shared" si="30"/>
        <v>0</v>
      </c>
      <c r="V49" s="770">
        <f t="shared" si="30"/>
        <v>0</v>
      </c>
      <c r="W49" s="770">
        <f t="shared" si="30"/>
        <v>0</v>
      </c>
      <c r="X49" s="770">
        <f t="shared" si="30"/>
        <v>0</v>
      </c>
      <c r="Y49" s="770">
        <f t="shared" si="30"/>
        <v>0</v>
      </c>
      <c r="Z49" s="770">
        <f t="shared" si="30"/>
        <v>0</v>
      </c>
      <c r="AA49" s="770">
        <f t="shared" si="30"/>
        <v>0</v>
      </c>
      <c r="AB49" s="770">
        <f t="shared" si="30"/>
        <v>0</v>
      </c>
      <c r="AC49" s="771">
        <f t="shared" si="30"/>
        <v>0</v>
      </c>
      <c r="AD49" s="83"/>
      <c r="AE49" s="1"/>
    </row>
    <row r="50" spans="8:31" thickBot="1" x14ac:dyDescent="0.3">
      <c r="I50" s="99"/>
      <c r="J50" s="31"/>
      <c r="K50" s="31"/>
      <c r="L50" s="100"/>
      <c r="N50" s="876"/>
      <c r="O50" s="877"/>
      <c r="P50" s="877"/>
      <c r="Q50" s="877"/>
      <c r="R50" s="877"/>
      <c r="S50" s="877"/>
      <c r="T50" s="877"/>
      <c r="U50" s="877"/>
      <c r="V50" s="877"/>
      <c r="W50" s="877"/>
      <c r="X50" s="877"/>
      <c r="Y50" s="877"/>
      <c r="Z50" s="877"/>
      <c r="AA50" s="877"/>
      <c r="AB50" s="877"/>
      <c r="AC50" s="878"/>
      <c r="AD50" s="1"/>
      <c r="AE50" s="1"/>
    </row>
    <row r="51" spans="8:31" ht="18" outlineLevel="1" x14ac:dyDescent="0.2">
      <c r="I51" s="104" t="s">
        <v>35</v>
      </c>
      <c r="J51" s="105" t="s">
        <v>36</v>
      </c>
      <c r="K51" s="105"/>
      <c r="L51" s="105" t="s">
        <v>8</v>
      </c>
      <c r="M51" s="106"/>
      <c r="N51" s="107">
        <f>N$11</f>
        <v>2024</v>
      </c>
      <c r="O51" s="107">
        <f t="shared" ref="O51:AC51" si="31">O$11</f>
        <v>2025</v>
      </c>
      <c r="P51" s="107">
        <f t="shared" si="31"/>
        <v>2026</v>
      </c>
      <c r="Q51" s="107">
        <f t="shared" si="31"/>
        <v>2027</v>
      </c>
      <c r="R51" s="107">
        <f t="shared" si="31"/>
        <v>2028</v>
      </c>
      <c r="S51" s="107">
        <f t="shared" si="31"/>
        <v>2029</v>
      </c>
      <c r="T51" s="107">
        <f t="shared" si="31"/>
        <v>2030</v>
      </c>
      <c r="U51" s="107">
        <f t="shared" si="31"/>
        <v>2031</v>
      </c>
      <c r="V51" s="107">
        <f t="shared" si="31"/>
        <v>2032</v>
      </c>
      <c r="W51" s="107">
        <f t="shared" si="31"/>
        <v>2033</v>
      </c>
      <c r="X51" s="107">
        <f t="shared" si="31"/>
        <v>2034</v>
      </c>
      <c r="Y51" s="107">
        <f t="shared" si="31"/>
        <v>2035</v>
      </c>
      <c r="Z51" s="107">
        <f t="shared" si="31"/>
        <v>2036</v>
      </c>
      <c r="AA51" s="107">
        <f t="shared" si="31"/>
        <v>2037</v>
      </c>
      <c r="AB51" s="107">
        <f t="shared" si="31"/>
        <v>2038</v>
      </c>
      <c r="AC51" s="107">
        <f t="shared" si="31"/>
        <v>2039</v>
      </c>
      <c r="AD51" s="1"/>
      <c r="AE51" s="1"/>
    </row>
    <row r="52" spans="8:31" ht="25.5" customHeight="1" outlineLevel="1" x14ac:dyDescent="0.4">
      <c r="I52" s="99">
        <v>1</v>
      </c>
      <c r="J52" s="39" t="s">
        <v>37</v>
      </c>
      <c r="K52" s="31"/>
      <c r="L52" s="108" t="s">
        <v>11</v>
      </c>
      <c r="N52" s="109"/>
      <c r="O52" s="110"/>
      <c r="P52" s="110"/>
      <c r="Q52" s="110"/>
      <c r="R52" s="110"/>
      <c r="S52" s="110"/>
      <c r="T52" s="110"/>
      <c r="U52" s="110"/>
      <c r="V52" s="110"/>
      <c r="W52" s="110"/>
      <c r="X52" s="110"/>
      <c r="Y52" s="110"/>
      <c r="Z52" s="110"/>
      <c r="AA52" s="110"/>
      <c r="AB52" s="110"/>
      <c r="AC52" s="111"/>
      <c r="AD52" s="1"/>
      <c r="AE52" s="1"/>
    </row>
    <row r="53" spans="8:31" ht="18.75" customHeight="1" outlineLevel="1" x14ac:dyDescent="0.25">
      <c r="H53" s="31"/>
      <c r="I53" s="99"/>
      <c r="J53" s="31" t="s">
        <v>38</v>
      </c>
      <c r="K53" s="38"/>
      <c r="L53" s="879">
        <f>SUM(N53:AC53)</f>
        <v>0</v>
      </c>
      <c r="N53" s="880">
        <f t="shared" ref="N53:AC53" si="32">N228</f>
        <v>0</v>
      </c>
      <c r="O53" s="881">
        <f t="shared" si="32"/>
        <v>0</v>
      </c>
      <c r="P53" s="881">
        <f t="shared" si="32"/>
        <v>0</v>
      </c>
      <c r="Q53" s="881">
        <f t="shared" si="32"/>
        <v>0</v>
      </c>
      <c r="R53" s="881">
        <f t="shared" si="32"/>
        <v>0</v>
      </c>
      <c r="S53" s="881">
        <f t="shared" si="32"/>
        <v>0</v>
      </c>
      <c r="T53" s="881">
        <f t="shared" si="32"/>
        <v>0</v>
      </c>
      <c r="U53" s="881">
        <f t="shared" si="32"/>
        <v>0</v>
      </c>
      <c r="V53" s="881">
        <f t="shared" si="32"/>
        <v>0</v>
      </c>
      <c r="W53" s="881">
        <f t="shared" si="32"/>
        <v>0</v>
      </c>
      <c r="X53" s="881">
        <f t="shared" si="32"/>
        <v>0</v>
      </c>
      <c r="Y53" s="881">
        <f t="shared" si="32"/>
        <v>0</v>
      </c>
      <c r="Z53" s="881">
        <f t="shared" si="32"/>
        <v>0</v>
      </c>
      <c r="AA53" s="881">
        <f t="shared" si="32"/>
        <v>0</v>
      </c>
      <c r="AB53" s="881">
        <f t="shared" si="32"/>
        <v>0</v>
      </c>
      <c r="AC53" s="882">
        <f t="shared" si="32"/>
        <v>0</v>
      </c>
      <c r="AD53" s="1"/>
      <c r="AE53" s="1"/>
    </row>
    <row r="54" spans="8:31" ht="18.75" customHeight="1" outlineLevel="1" x14ac:dyDescent="0.25">
      <c r="H54" s="31"/>
      <c r="I54" s="99"/>
      <c r="J54" s="31" t="s">
        <v>39</v>
      </c>
      <c r="K54" s="38"/>
      <c r="L54" s="749">
        <f>SUM(N54:AC54)</f>
        <v>0</v>
      </c>
      <c r="N54" s="751">
        <f t="shared" ref="N54:AC54" si="33">-N232</f>
        <v>0</v>
      </c>
      <c r="O54" s="752">
        <f t="shared" si="33"/>
        <v>0</v>
      </c>
      <c r="P54" s="752">
        <f t="shared" si="33"/>
        <v>0</v>
      </c>
      <c r="Q54" s="752">
        <f t="shared" si="33"/>
        <v>0</v>
      </c>
      <c r="R54" s="752">
        <f t="shared" si="33"/>
        <v>0</v>
      </c>
      <c r="S54" s="752">
        <f t="shared" si="33"/>
        <v>0</v>
      </c>
      <c r="T54" s="752">
        <f t="shared" si="33"/>
        <v>0</v>
      </c>
      <c r="U54" s="752">
        <f t="shared" si="33"/>
        <v>0</v>
      </c>
      <c r="V54" s="752">
        <f t="shared" si="33"/>
        <v>0</v>
      </c>
      <c r="W54" s="752">
        <f t="shared" si="33"/>
        <v>0</v>
      </c>
      <c r="X54" s="752">
        <f t="shared" si="33"/>
        <v>0</v>
      </c>
      <c r="Y54" s="752">
        <f t="shared" si="33"/>
        <v>0</v>
      </c>
      <c r="Z54" s="752">
        <f t="shared" si="33"/>
        <v>0</v>
      </c>
      <c r="AA54" s="752">
        <f t="shared" si="33"/>
        <v>0</v>
      </c>
      <c r="AB54" s="752">
        <f t="shared" si="33"/>
        <v>0</v>
      </c>
      <c r="AC54" s="753">
        <f t="shared" si="33"/>
        <v>0</v>
      </c>
      <c r="AD54" s="1"/>
      <c r="AE54" s="1"/>
    </row>
    <row r="55" spans="8:31" ht="18.75" customHeight="1" outlineLevel="1" x14ac:dyDescent="0.25">
      <c r="H55" s="31"/>
      <c r="I55" s="99"/>
      <c r="J55" s="31" t="s">
        <v>40</v>
      </c>
      <c r="K55" s="38"/>
      <c r="L55" s="883">
        <f>SUM(N55:AC55)</f>
        <v>0</v>
      </c>
      <c r="N55" s="884">
        <f t="shared" ref="N55:AC55" si="34">SUM(N53:N54)</f>
        <v>0</v>
      </c>
      <c r="O55" s="885">
        <f t="shared" si="34"/>
        <v>0</v>
      </c>
      <c r="P55" s="885">
        <f t="shared" si="34"/>
        <v>0</v>
      </c>
      <c r="Q55" s="885">
        <f t="shared" si="34"/>
        <v>0</v>
      </c>
      <c r="R55" s="885">
        <f t="shared" si="34"/>
        <v>0</v>
      </c>
      <c r="S55" s="885">
        <f t="shared" si="34"/>
        <v>0</v>
      </c>
      <c r="T55" s="885">
        <f t="shared" si="34"/>
        <v>0</v>
      </c>
      <c r="U55" s="885">
        <f t="shared" si="34"/>
        <v>0</v>
      </c>
      <c r="V55" s="885">
        <f t="shared" si="34"/>
        <v>0</v>
      </c>
      <c r="W55" s="885">
        <f t="shared" si="34"/>
        <v>0</v>
      </c>
      <c r="X55" s="885">
        <f t="shared" si="34"/>
        <v>0</v>
      </c>
      <c r="Y55" s="885">
        <f t="shared" si="34"/>
        <v>0</v>
      </c>
      <c r="Z55" s="885">
        <f t="shared" si="34"/>
        <v>0</v>
      </c>
      <c r="AA55" s="885">
        <f t="shared" si="34"/>
        <v>0</v>
      </c>
      <c r="AB55" s="885">
        <f t="shared" si="34"/>
        <v>0</v>
      </c>
      <c r="AC55" s="886">
        <f t="shared" si="34"/>
        <v>0</v>
      </c>
      <c r="AD55" s="1"/>
      <c r="AE55" s="1"/>
    </row>
    <row r="56" spans="8:31" ht="18.75" customHeight="1" outlineLevel="1" x14ac:dyDescent="0.25">
      <c r="H56" s="31"/>
      <c r="I56" s="99"/>
      <c r="J56" s="31" t="s">
        <v>41</v>
      </c>
      <c r="K56" s="38"/>
      <c r="L56" s="749">
        <f>AC56</f>
        <v>0</v>
      </c>
      <c r="N56" s="751">
        <f>SUM($N55:N55)</f>
        <v>0</v>
      </c>
      <c r="O56" s="752">
        <f>SUM($N55:O55)</f>
        <v>0</v>
      </c>
      <c r="P56" s="752">
        <f>SUM($N55:P55)</f>
        <v>0</v>
      </c>
      <c r="Q56" s="752">
        <f>SUM($N55:Q55)</f>
        <v>0</v>
      </c>
      <c r="R56" s="752">
        <f>SUM($N55:R55)</f>
        <v>0</v>
      </c>
      <c r="S56" s="752">
        <f>SUM($N55:S55)</f>
        <v>0</v>
      </c>
      <c r="T56" s="752">
        <f>SUM($N55:T55)</f>
        <v>0</v>
      </c>
      <c r="U56" s="752">
        <f>SUM($N55:U55)</f>
        <v>0</v>
      </c>
      <c r="V56" s="752">
        <f>SUM($N55:V55)</f>
        <v>0</v>
      </c>
      <c r="W56" s="752">
        <f>SUM($N55:W55)</f>
        <v>0</v>
      </c>
      <c r="X56" s="752">
        <f>SUM($N55:X55)</f>
        <v>0</v>
      </c>
      <c r="Y56" s="752">
        <f>SUM($N55:Y55)</f>
        <v>0</v>
      </c>
      <c r="Z56" s="752">
        <f>SUM($N55:Z55)</f>
        <v>0</v>
      </c>
      <c r="AA56" s="752">
        <f>SUM($N55:AA55)</f>
        <v>0</v>
      </c>
      <c r="AB56" s="752">
        <f>SUM($N55:AB55)</f>
        <v>0</v>
      </c>
      <c r="AC56" s="753">
        <f>SUM($N55:AC55)</f>
        <v>0</v>
      </c>
      <c r="AD56" s="1"/>
      <c r="AE56" s="1"/>
    </row>
    <row r="57" spans="8:31" ht="18.75" customHeight="1" outlineLevel="1" x14ac:dyDescent="0.25">
      <c r="H57" s="31"/>
      <c r="I57" s="99"/>
      <c r="J57" s="31" t="s">
        <v>42</v>
      </c>
      <c r="K57" s="38"/>
      <c r="L57" s="749">
        <f>AC57</f>
        <v>0</v>
      </c>
      <c r="N57" s="751">
        <f>N199</f>
        <v>0</v>
      </c>
      <c r="O57" s="752">
        <f t="shared" ref="O57:AC57" si="35">O199</f>
        <v>0</v>
      </c>
      <c r="P57" s="752">
        <f t="shared" si="35"/>
        <v>0</v>
      </c>
      <c r="Q57" s="752">
        <f t="shared" si="35"/>
        <v>0</v>
      </c>
      <c r="R57" s="752">
        <f t="shared" si="35"/>
        <v>0</v>
      </c>
      <c r="S57" s="752">
        <f t="shared" si="35"/>
        <v>0</v>
      </c>
      <c r="T57" s="752">
        <f t="shared" si="35"/>
        <v>0</v>
      </c>
      <c r="U57" s="752">
        <f t="shared" si="35"/>
        <v>0</v>
      </c>
      <c r="V57" s="752">
        <f t="shared" si="35"/>
        <v>0</v>
      </c>
      <c r="W57" s="752">
        <f t="shared" si="35"/>
        <v>0</v>
      </c>
      <c r="X57" s="752">
        <f t="shared" si="35"/>
        <v>0</v>
      </c>
      <c r="Y57" s="752">
        <f t="shared" si="35"/>
        <v>0</v>
      </c>
      <c r="Z57" s="752">
        <f t="shared" si="35"/>
        <v>0</v>
      </c>
      <c r="AA57" s="752">
        <f t="shared" si="35"/>
        <v>0</v>
      </c>
      <c r="AB57" s="752">
        <f t="shared" si="35"/>
        <v>0</v>
      </c>
      <c r="AC57" s="753">
        <f t="shared" si="35"/>
        <v>0</v>
      </c>
      <c r="AD57" s="1"/>
      <c r="AE57" s="1"/>
    </row>
    <row r="58" spans="8:31" ht="28.5" customHeight="1" outlineLevel="1" x14ac:dyDescent="0.4">
      <c r="H58" s="31"/>
      <c r="I58" s="99">
        <v>2</v>
      </c>
      <c r="J58" s="39" t="s">
        <v>43</v>
      </c>
      <c r="K58" s="38"/>
      <c r="L58" s="887"/>
      <c r="N58" s="888"/>
      <c r="O58" s="889"/>
      <c r="P58" s="889"/>
      <c r="Q58" s="889"/>
      <c r="R58" s="889"/>
      <c r="S58" s="889"/>
      <c r="T58" s="889"/>
      <c r="U58" s="889"/>
      <c r="V58" s="889"/>
      <c r="W58" s="889"/>
      <c r="X58" s="889"/>
      <c r="Y58" s="889"/>
      <c r="Z58" s="889"/>
      <c r="AA58" s="889"/>
      <c r="AB58" s="889"/>
      <c r="AC58" s="890"/>
      <c r="AD58" s="1"/>
      <c r="AE58" s="1"/>
    </row>
    <row r="59" spans="8:31" ht="18.75" customHeight="1" outlineLevel="1" x14ac:dyDescent="0.25">
      <c r="H59" s="31"/>
      <c r="I59" s="99"/>
      <c r="J59" s="31" t="s">
        <v>44</v>
      </c>
      <c r="K59" s="38" t="s">
        <v>45</v>
      </c>
      <c r="L59" s="879">
        <f>IFERROR(SUM(N59:AC59)/COUNTIF(N59:AC59,"&gt;10000"),0)</f>
        <v>0</v>
      </c>
      <c r="N59" s="880">
        <f t="shared" ref="N59:AC59" si="36">N288</f>
        <v>0</v>
      </c>
      <c r="O59" s="881">
        <f t="shared" si="36"/>
        <v>0</v>
      </c>
      <c r="P59" s="881">
        <f t="shared" si="36"/>
        <v>0</v>
      </c>
      <c r="Q59" s="881">
        <f t="shared" si="36"/>
        <v>0</v>
      </c>
      <c r="R59" s="881">
        <f t="shared" si="36"/>
        <v>0</v>
      </c>
      <c r="S59" s="881">
        <f t="shared" si="36"/>
        <v>0</v>
      </c>
      <c r="T59" s="881">
        <f t="shared" si="36"/>
        <v>0</v>
      </c>
      <c r="U59" s="881">
        <f t="shared" si="36"/>
        <v>0</v>
      </c>
      <c r="V59" s="881">
        <f t="shared" si="36"/>
        <v>0</v>
      </c>
      <c r="W59" s="881">
        <f t="shared" si="36"/>
        <v>0</v>
      </c>
      <c r="X59" s="881">
        <f t="shared" si="36"/>
        <v>0</v>
      </c>
      <c r="Y59" s="881">
        <f t="shared" si="36"/>
        <v>0</v>
      </c>
      <c r="Z59" s="881">
        <f t="shared" si="36"/>
        <v>0</v>
      </c>
      <c r="AA59" s="881">
        <f t="shared" si="36"/>
        <v>0</v>
      </c>
      <c r="AB59" s="881">
        <f t="shared" si="36"/>
        <v>0</v>
      </c>
      <c r="AC59" s="882">
        <f t="shared" si="36"/>
        <v>0</v>
      </c>
      <c r="AD59" s="1"/>
      <c r="AE59" s="1"/>
    </row>
    <row r="60" spans="8:31" ht="18.75" customHeight="1" outlineLevel="1" x14ac:dyDescent="0.25">
      <c r="H60" s="31"/>
      <c r="I60" s="99"/>
      <c r="J60" s="31" t="s">
        <v>46</v>
      </c>
      <c r="K60" s="38" t="s">
        <v>45</v>
      </c>
      <c r="L60" s="749">
        <f>IFERROR(SUM(N60:AC60)/COUNTIF(N60:AC60,"&gt;1000"),0)</f>
        <v>0</v>
      </c>
      <c r="N60" s="751">
        <f t="shared" ref="N60:AC60" si="37">N295</f>
        <v>0</v>
      </c>
      <c r="O60" s="752">
        <f t="shared" si="37"/>
        <v>0</v>
      </c>
      <c r="P60" s="752">
        <f t="shared" si="37"/>
        <v>0</v>
      </c>
      <c r="Q60" s="752">
        <f t="shared" si="37"/>
        <v>0</v>
      </c>
      <c r="R60" s="752">
        <f t="shared" si="37"/>
        <v>0</v>
      </c>
      <c r="S60" s="752">
        <f t="shared" si="37"/>
        <v>0</v>
      </c>
      <c r="T60" s="752">
        <f t="shared" si="37"/>
        <v>0</v>
      </c>
      <c r="U60" s="752">
        <f t="shared" si="37"/>
        <v>0</v>
      </c>
      <c r="V60" s="752">
        <f t="shared" si="37"/>
        <v>0</v>
      </c>
      <c r="W60" s="752">
        <f t="shared" si="37"/>
        <v>0</v>
      </c>
      <c r="X60" s="752">
        <f t="shared" si="37"/>
        <v>0</v>
      </c>
      <c r="Y60" s="752">
        <f t="shared" si="37"/>
        <v>0</v>
      </c>
      <c r="Z60" s="752">
        <f t="shared" si="37"/>
        <v>0</v>
      </c>
      <c r="AA60" s="752">
        <f t="shared" si="37"/>
        <v>0</v>
      </c>
      <c r="AB60" s="752">
        <f t="shared" si="37"/>
        <v>0</v>
      </c>
      <c r="AC60" s="753">
        <f t="shared" si="37"/>
        <v>0</v>
      </c>
      <c r="AD60" s="1"/>
      <c r="AE60" s="1"/>
    </row>
    <row r="61" spans="8:31" ht="18.75" customHeight="1" outlineLevel="1" thickBot="1" x14ac:dyDescent="0.3">
      <c r="H61" s="31"/>
      <c r="I61" s="99"/>
      <c r="J61" s="120" t="s">
        <v>47</v>
      </c>
      <c r="K61" s="38" t="s">
        <v>45</v>
      </c>
      <c r="L61" s="891">
        <f>IFERROR(SUM(N61:AC61)/COUNTIF(N61:AC61,"&gt;10000"),0)</f>
        <v>0</v>
      </c>
      <c r="N61" s="892">
        <f t="shared" ref="N61:AC61" si="38">N314</f>
        <v>0</v>
      </c>
      <c r="O61" s="893">
        <f t="shared" si="38"/>
        <v>0</v>
      </c>
      <c r="P61" s="893">
        <f t="shared" si="38"/>
        <v>0</v>
      </c>
      <c r="Q61" s="893">
        <f t="shared" si="38"/>
        <v>0</v>
      </c>
      <c r="R61" s="893">
        <f t="shared" si="38"/>
        <v>0</v>
      </c>
      <c r="S61" s="893">
        <f t="shared" si="38"/>
        <v>0</v>
      </c>
      <c r="T61" s="893">
        <f t="shared" si="38"/>
        <v>0</v>
      </c>
      <c r="U61" s="893">
        <f t="shared" si="38"/>
        <v>0</v>
      </c>
      <c r="V61" s="893">
        <f t="shared" si="38"/>
        <v>0</v>
      </c>
      <c r="W61" s="893">
        <f t="shared" si="38"/>
        <v>0</v>
      </c>
      <c r="X61" s="893">
        <f t="shared" si="38"/>
        <v>0</v>
      </c>
      <c r="Y61" s="893">
        <f t="shared" si="38"/>
        <v>0</v>
      </c>
      <c r="Z61" s="893">
        <f t="shared" si="38"/>
        <v>0</v>
      </c>
      <c r="AA61" s="893">
        <f t="shared" si="38"/>
        <v>0</v>
      </c>
      <c r="AB61" s="893">
        <f t="shared" si="38"/>
        <v>0</v>
      </c>
      <c r="AC61" s="894">
        <f t="shared" si="38"/>
        <v>0</v>
      </c>
      <c r="AD61" s="1"/>
      <c r="AE61" s="1"/>
    </row>
    <row r="62" spans="8:31" ht="28.5" customHeight="1" outlineLevel="1" thickTop="1" x14ac:dyDescent="0.4">
      <c r="H62" s="31"/>
      <c r="I62" s="99">
        <v>3</v>
      </c>
      <c r="J62" s="39" t="s">
        <v>48</v>
      </c>
      <c r="K62" s="38"/>
      <c r="L62" s="895"/>
      <c r="N62" s="896"/>
      <c r="O62" s="897"/>
      <c r="P62" s="897"/>
      <c r="Q62" s="897"/>
      <c r="R62" s="897"/>
      <c r="S62" s="897"/>
      <c r="T62" s="897"/>
      <c r="U62" s="897"/>
      <c r="V62" s="897"/>
      <c r="W62" s="897"/>
      <c r="X62" s="897"/>
      <c r="Y62" s="897"/>
      <c r="Z62" s="897"/>
      <c r="AA62" s="897"/>
      <c r="AB62" s="897"/>
      <c r="AC62" s="898"/>
      <c r="AD62" s="1"/>
      <c r="AE62" s="1"/>
    </row>
    <row r="63" spans="8:31" ht="18.75" customHeight="1" outlineLevel="1" x14ac:dyDescent="0.25">
      <c r="I63" s="99"/>
      <c r="J63" s="31" t="s">
        <v>49</v>
      </c>
      <c r="K63" s="125" t="s">
        <v>50</v>
      </c>
      <c r="L63" s="749">
        <f>SUM(N63:AC63)</f>
        <v>0</v>
      </c>
      <c r="N63" s="751" t="str">
        <f t="shared" ref="N63:AC64" si="39">IF(N101&lt;=0,"Nil",N101)</f>
        <v>Nil</v>
      </c>
      <c r="O63" s="752" t="str">
        <f t="shared" si="39"/>
        <v>Nil</v>
      </c>
      <c r="P63" s="752" t="str">
        <f t="shared" si="39"/>
        <v>Nil</v>
      </c>
      <c r="Q63" s="752" t="str">
        <f t="shared" si="39"/>
        <v>Nil</v>
      </c>
      <c r="R63" s="752" t="str">
        <f t="shared" si="39"/>
        <v>Nil</v>
      </c>
      <c r="S63" s="752" t="str">
        <f t="shared" si="39"/>
        <v>Nil</v>
      </c>
      <c r="T63" s="752" t="str">
        <f t="shared" si="39"/>
        <v>Nil</v>
      </c>
      <c r="U63" s="752" t="str">
        <f t="shared" si="39"/>
        <v>Nil</v>
      </c>
      <c r="V63" s="752" t="str">
        <f t="shared" si="39"/>
        <v>Nil</v>
      </c>
      <c r="W63" s="752" t="str">
        <f t="shared" si="39"/>
        <v>Nil</v>
      </c>
      <c r="X63" s="752" t="str">
        <f t="shared" si="39"/>
        <v>Nil</v>
      </c>
      <c r="Y63" s="752" t="str">
        <f t="shared" si="39"/>
        <v>Nil</v>
      </c>
      <c r="Z63" s="752" t="str">
        <f t="shared" si="39"/>
        <v>Nil</v>
      </c>
      <c r="AA63" s="752" t="str">
        <f t="shared" si="39"/>
        <v>Nil</v>
      </c>
      <c r="AB63" s="752" t="str">
        <f t="shared" si="39"/>
        <v>Nil</v>
      </c>
      <c r="AC63" s="753" t="str">
        <f t="shared" si="39"/>
        <v>Nil</v>
      </c>
      <c r="AD63" s="1"/>
      <c r="AE63" s="1"/>
    </row>
    <row r="64" spans="8:31" ht="18.75" customHeight="1" outlineLevel="1" x14ac:dyDescent="0.25">
      <c r="H64" s="31"/>
      <c r="I64" s="99"/>
      <c r="J64" s="31" t="s">
        <v>51</v>
      </c>
      <c r="K64" s="125" t="s">
        <v>52</v>
      </c>
      <c r="L64" s="749">
        <f>SUM(N64:AC64)</f>
        <v>0</v>
      </c>
      <c r="N64" s="751" t="str">
        <f t="shared" si="39"/>
        <v>Nil</v>
      </c>
      <c r="O64" s="752" t="str">
        <f t="shared" si="39"/>
        <v>Nil</v>
      </c>
      <c r="P64" s="752" t="str">
        <f t="shared" si="39"/>
        <v>Nil</v>
      </c>
      <c r="Q64" s="752" t="str">
        <f t="shared" si="39"/>
        <v>Nil</v>
      </c>
      <c r="R64" s="752" t="str">
        <f t="shared" si="39"/>
        <v>Nil</v>
      </c>
      <c r="S64" s="752" t="str">
        <f t="shared" si="39"/>
        <v>Nil</v>
      </c>
      <c r="T64" s="752" t="str">
        <f t="shared" si="39"/>
        <v>Nil</v>
      </c>
      <c r="U64" s="752" t="str">
        <f t="shared" si="39"/>
        <v>Nil</v>
      </c>
      <c r="V64" s="752" t="str">
        <f t="shared" si="39"/>
        <v>Nil</v>
      </c>
      <c r="W64" s="752" t="str">
        <f t="shared" si="39"/>
        <v>Nil</v>
      </c>
      <c r="X64" s="752" t="str">
        <f t="shared" si="39"/>
        <v>Nil</v>
      </c>
      <c r="Y64" s="752" t="str">
        <f t="shared" si="39"/>
        <v>Nil</v>
      </c>
      <c r="Z64" s="752" t="str">
        <f t="shared" si="39"/>
        <v>Nil</v>
      </c>
      <c r="AA64" s="752" t="str">
        <f t="shared" si="39"/>
        <v>Nil</v>
      </c>
      <c r="AB64" s="752" t="str">
        <f t="shared" si="39"/>
        <v>Nil</v>
      </c>
      <c r="AC64" s="753" t="str">
        <f t="shared" si="39"/>
        <v>Nil</v>
      </c>
      <c r="AD64" s="1"/>
      <c r="AE64" s="1"/>
    </row>
    <row r="65" spans="8:46" ht="18.75" customHeight="1" outlineLevel="1" thickBot="1" x14ac:dyDescent="0.3">
      <c r="H65" s="31"/>
      <c r="I65" s="99"/>
      <c r="J65" s="31" t="s">
        <v>53</v>
      </c>
      <c r="K65" s="126"/>
      <c r="L65" s="891">
        <f>SUM(N65:AC65)</f>
        <v>0</v>
      </c>
      <c r="N65" s="892">
        <f>SUM(N63:N64)</f>
        <v>0</v>
      </c>
      <c r="O65" s="893">
        <f t="shared" ref="O65:AC65" si="40">SUM(O63:O64)</f>
        <v>0</v>
      </c>
      <c r="P65" s="893">
        <f t="shared" si="40"/>
        <v>0</v>
      </c>
      <c r="Q65" s="893">
        <f t="shared" si="40"/>
        <v>0</v>
      </c>
      <c r="R65" s="893">
        <f t="shared" si="40"/>
        <v>0</v>
      </c>
      <c r="S65" s="893">
        <f t="shared" si="40"/>
        <v>0</v>
      </c>
      <c r="T65" s="893">
        <f t="shared" si="40"/>
        <v>0</v>
      </c>
      <c r="U65" s="893">
        <f t="shared" si="40"/>
        <v>0</v>
      </c>
      <c r="V65" s="893">
        <f t="shared" si="40"/>
        <v>0</v>
      </c>
      <c r="W65" s="893">
        <f t="shared" si="40"/>
        <v>0</v>
      </c>
      <c r="X65" s="893">
        <f t="shared" si="40"/>
        <v>0</v>
      </c>
      <c r="Y65" s="893">
        <f t="shared" si="40"/>
        <v>0</v>
      </c>
      <c r="Z65" s="893">
        <f t="shared" si="40"/>
        <v>0</v>
      </c>
      <c r="AA65" s="893">
        <f t="shared" si="40"/>
        <v>0</v>
      </c>
      <c r="AB65" s="893">
        <f t="shared" si="40"/>
        <v>0</v>
      </c>
      <c r="AC65" s="894">
        <f t="shared" si="40"/>
        <v>0</v>
      </c>
      <c r="AD65" s="1"/>
      <c r="AE65" s="1"/>
    </row>
    <row r="66" spans="8:46" ht="18" outlineLevel="1" thickTop="1" thickBot="1" x14ac:dyDescent="0.35">
      <c r="H66" s="31"/>
      <c r="I66" s="99"/>
      <c r="J66" s="127"/>
      <c r="K66" s="127"/>
      <c r="L66" s="128"/>
      <c r="N66" s="129"/>
      <c r="O66" s="130"/>
      <c r="P66" s="130"/>
      <c r="Q66" s="130"/>
      <c r="R66" s="130"/>
      <c r="S66" s="130"/>
      <c r="T66" s="130"/>
      <c r="U66" s="130"/>
      <c r="V66" s="130"/>
      <c r="W66" s="130"/>
      <c r="X66" s="130"/>
      <c r="Y66" s="130"/>
      <c r="Z66" s="130"/>
      <c r="AA66" s="130"/>
      <c r="AB66" s="130"/>
      <c r="AC66" s="131"/>
      <c r="AD66" s="1"/>
      <c r="AE66" s="1"/>
    </row>
    <row r="67" spans="8:46" ht="18.75" x14ac:dyDescent="0.2">
      <c r="I67" s="132">
        <v>2</v>
      </c>
      <c r="J67" s="33" t="s">
        <v>54</v>
      </c>
      <c r="K67" s="33"/>
      <c r="L67" s="33"/>
      <c r="N67" s="133">
        <f>N$11</f>
        <v>2024</v>
      </c>
      <c r="O67" s="133">
        <f t="shared" ref="O67:AC67" si="41">O$11</f>
        <v>2025</v>
      </c>
      <c r="P67" s="133">
        <f t="shared" si="41"/>
        <v>2026</v>
      </c>
      <c r="Q67" s="133">
        <f t="shared" si="41"/>
        <v>2027</v>
      </c>
      <c r="R67" s="133">
        <f t="shared" si="41"/>
        <v>2028</v>
      </c>
      <c r="S67" s="133">
        <f t="shared" si="41"/>
        <v>2029</v>
      </c>
      <c r="T67" s="133">
        <f t="shared" si="41"/>
        <v>2030</v>
      </c>
      <c r="U67" s="133">
        <f t="shared" si="41"/>
        <v>2031</v>
      </c>
      <c r="V67" s="133">
        <f t="shared" si="41"/>
        <v>2032</v>
      </c>
      <c r="W67" s="133">
        <f t="shared" si="41"/>
        <v>2033</v>
      </c>
      <c r="X67" s="133">
        <f t="shared" si="41"/>
        <v>2034</v>
      </c>
      <c r="Y67" s="133">
        <f t="shared" si="41"/>
        <v>2035</v>
      </c>
      <c r="Z67" s="133">
        <f t="shared" si="41"/>
        <v>2036</v>
      </c>
      <c r="AA67" s="133">
        <f t="shared" si="41"/>
        <v>2037</v>
      </c>
      <c r="AB67" s="133">
        <f t="shared" si="41"/>
        <v>2038</v>
      </c>
      <c r="AC67" s="133">
        <f t="shared" si="41"/>
        <v>2039</v>
      </c>
      <c r="AD67" s="1"/>
      <c r="AE67" s="519" t="s">
        <v>353</v>
      </c>
      <c r="AF67" s="520"/>
      <c r="AG67" s="520"/>
      <c r="AH67" s="520"/>
      <c r="AI67" s="1233" t="s">
        <v>365</v>
      </c>
      <c r="AJ67" s="1234"/>
      <c r="AK67" s="1234"/>
      <c r="AL67" s="1235"/>
      <c r="AM67" s="484"/>
      <c r="AN67" s="521" t="s">
        <v>360</v>
      </c>
      <c r="AO67" s="521"/>
      <c r="AP67" s="522"/>
      <c r="AQ67" s="523"/>
      <c r="AR67" s="521" t="s">
        <v>361</v>
      </c>
      <c r="AS67" s="521"/>
      <c r="AT67" s="522"/>
    </row>
    <row r="68" spans="8:46" ht="15.4" customHeight="1" x14ac:dyDescent="0.3">
      <c r="I68" s="99"/>
      <c r="J68" s="66"/>
      <c r="K68" s="134" t="s">
        <v>55</v>
      </c>
      <c r="L68" s="135"/>
      <c r="N68" s="66"/>
      <c r="O68" s="66"/>
      <c r="P68" s="66"/>
      <c r="Q68" s="66"/>
      <c r="R68" s="66"/>
      <c r="S68" s="66"/>
      <c r="T68" s="66"/>
      <c r="U68" s="66"/>
      <c r="V68" s="66"/>
      <c r="W68" s="66"/>
      <c r="X68" s="66"/>
      <c r="Y68" s="66"/>
      <c r="Z68" s="66"/>
      <c r="AA68" s="66"/>
      <c r="AB68" s="66"/>
      <c r="AC68" s="66"/>
      <c r="AD68" s="66"/>
      <c r="AE68" s="1236" t="s">
        <v>354</v>
      </c>
      <c r="AF68" s="1237"/>
      <c r="AG68" s="1237"/>
      <c r="AH68" s="1238"/>
      <c r="AI68" s="1242" t="s">
        <v>355</v>
      </c>
      <c r="AJ68" s="1243"/>
      <c r="AK68" s="1242" t="s">
        <v>366</v>
      </c>
      <c r="AL68" s="1246"/>
      <c r="AM68" s="485"/>
      <c r="AN68" s="1214" t="s">
        <v>362</v>
      </c>
      <c r="AO68" s="1214" t="s">
        <v>363</v>
      </c>
      <c r="AP68" s="1214" t="s">
        <v>364</v>
      </c>
      <c r="AQ68" s="524"/>
      <c r="AR68" s="1205" t="s">
        <v>329</v>
      </c>
      <c r="AS68" s="1205" t="s">
        <v>367</v>
      </c>
      <c r="AT68" s="1207" t="s">
        <v>368</v>
      </c>
    </row>
    <row r="69" spans="8:46" ht="19.5" customHeight="1" x14ac:dyDescent="0.25">
      <c r="I69" s="38" t="s">
        <v>9</v>
      </c>
      <c r="J69" s="136" t="s">
        <v>384</v>
      </c>
      <c r="K69" s="137" t="s">
        <v>56</v>
      </c>
      <c r="L69" s="772">
        <f>SUM(N69:AC69)</f>
        <v>0</v>
      </c>
      <c r="M69" s="750"/>
      <c r="N69" s="773">
        <f>SUM(N70,N73,N74)</f>
        <v>0</v>
      </c>
      <c r="O69" s="774">
        <f t="shared" ref="O69:AC69" si="42">SUM(O70,O73,O74)</f>
        <v>0</v>
      </c>
      <c r="P69" s="774">
        <f t="shared" si="42"/>
        <v>0</v>
      </c>
      <c r="Q69" s="774">
        <f t="shared" si="42"/>
        <v>0</v>
      </c>
      <c r="R69" s="774">
        <f t="shared" si="42"/>
        <v>0</v>
      </c>
      <c r="S69" s="774">
        <f t="shared" si="42"/>
        <v>0</v>
      </c>
      <c r="T69" s="774">
        <f t="shared" si="42"/>
        <v>0</v>
      </c>
      <c r="U69" s="774">
        <f t="shared" si="42"/>
        <v>0</v>
      </c>
      <c r="V69" s="774">
        <f t="shared" si="42"/>
        <v>0</v>
      </c>
      <c r="W69" s="774">
        <f t="shared" si="42"/>
        <v>0</v>
      </c>
      <c r="X69" s="774">
        <f t="shared" si="42"/>
        <v>0</v>
      </c>
      <c r="Y69" s="774">
        <f t="shared" si="42"/>
        <v>0</v>
      </c>
      <c r="Z69" s="774">
        <f t="shared" si="42"/>
        <v>0</v>
      </c>
      <c r="AA69" s="774">
        <f t="shared" si="42"/>
        <v>0</v>
      </c>
      <c r="AB69" s="774">
        <f t="shared" si="42"/>
        <v>0</v>
      </c>
      <c r="AC69" s="775">
        <f t="shared" si="42"/>
        <v>0</v>
      </c>
      <c r="AD69" s="1"/>
      <c r="AE69" s="1239"/>
      <c r="AF69" s="1240"/>
      <c r="AG69" s="1240"/>
      <c r="AH69" s="1241"/>
      <c r="AI69" s="1244"/>
      <c r="AJ69" s="1245"/>
      <c r="AK69" s="1244"/>
      <c r="AL69" s="1247"/>
      <c r="AM69" s="485"/>
      <c r="AN69" s="1215"/>
      <c r="AO69" s="1215"/>
      <c r="AP69" s="1215"/>
      <c r="AQ69" s="524"/>
      <c r="AR69" s="1206"/>
      <c r="AS69" s="1206"/>
      <c r="AT69" s="1208"/>
    </row>
    <row r="70" spans="8:46" ht="19.5" customHeight="1" thickBot="1" x14ac:dyDescent="0.3">
      <c r="I70" s="38" t="s">
        <v>22</v>
      </c>
      <c r="J70" s="138" t="s">
        <v>57</v>
      </c>
      <c r="K70" s="137" t="s">
        <v>56</v>
      </c>
      <c r="L70" s="776">
        <f>SUM(N70:AC70)</f>
        <v>0</v>
      </c>
      <c r="M70" s="750"/>
      <c r="N70" s="777">
        <f>SUM(N71:N72)</f>
        <v>0</v>
      </c>
      <c r="O70" s="778">
        <f t="shared" ref="O70:AC70" si="43">SUM(O71:O72)</f>
        <v>0</v>
      </c>
      <c r="P70" s="778">
        <f t="shared" si="43"/>
        <v>0</v>
      </c>
      <c r="Q70" s="778">
        <f t="shared" si="43"/>
        <v>0</v>
      </c>
      <c r="R70" s="778">
        <f t="shared" si="43"/>
        <v>0</v>
      </c>
      <c r="S70" s="778">
        <f t="shared" si="43"/>
        <v>0</v>
      </c>
      <c r="T70" s="778">
        <f t="shared" si="43"/>
        <v>0</v>
      </c>
      <c r="U70" s="778">
        <f t="shared" si="43"/>
        <v>0</v>
      </c>
      <c r="V70" s="778">
        <f t="shared" si="43"/>
        <v>0</v>
      </c>
      <c r="W70" s="778">
        <f t="shared" si="43"/>
        <v>0</v>
      </c>
      <c r="X70" s="778">
        <f t="shared" si="43"/>
        <v>0</v>
      </c>
      <c r="Y70" s="778">
        <f t="shared" si="43"/>
        <v>0</v>
      </c>
      <c r="Z70" s="778">
        <f t="shared" si="43"/>
        <v>0</v>
      </c>
      <c r="AA70" s="778">
        <f t="shared" si="43"/>
        <v>0</v>
      </c>
      <c r="AB70" s="778">
        <f t="shared" si="43"/>
        <v>0</v>
      </c>
      <c r="AC70" s="779">
        <f t="shared" si="43"/>
        <v>0</v>
      </c>
      <c r="AD70" s="1"/>
      <c r="AE70" s="1216"/>
      <c r="AF70" s="1217"/>
      <c r="AG70" s="1218"/>
      <c r="AH70" s="1209" t="s">
        <v>356</v>
      </c>
      <c r="AI70" s="486" t="s">
        <v>330</v>
      </c>
      <c r="AJ70" s="487" t="s">
        <v>331</v>
      </c>
      <c r="AK70" s="486" t="s">
        <v>330</v>
      </c>
      <c r="AL70" s="487" t="s">
        <v>331</v>
      </c>
      <c r="AM70" s="463"/>
      <c r="AN70" s="1215"/>
      <c r="AO70" s="1215"/>
      <c r="AP70" s="1215"/>
      <c r="AQ70" s="524"/>
      <c r="AR70" s="1206"/>
      <c r="AS70" s="1206"/>
      <c r="AT70" s="1208"/>
    </row>
    <row r="71" spans="8:46" ht="19.5" customHeight="1" thickBot="1" x14ac:dyDescent="0.3">
      <c r="I71" s="38" t="s">
        <v>58</v>
      </c>
      <c r="J71" s="139" t="s">
        <v>59</v>
      </c>
      <c r="K71" s="137"/>
      <c r="L71" s="776">
        <f t="shared" ref="L71:L75" si="44">SUM(N71:AC71)</f>
        <v>0</v>
      </c>
      <c r="M71" s="750"/>
      <c r="N71" s="1011"/>
      <c r="O71" s="1012"/>
      <c r="P71" s="1012"/>
      <c r="Q71" s="1012"/>
      <c r="R71" s="1012"/>
      <c r="S71" s="1012"/>
      <c r="T71" s="1012"/>
      <c r="U71" s="1012"/>
      <c r="V71" s="1012"/>
      <c r="W71" s="1012"/>
      <c r="X71" s="1013"/>
      <c r="Y71" s="1013"/>
      <c r="Z71" s="1013"/>
      <c r="AA71" s="1013"/>
      <c r="AB71" s="1013"/>
      <c r="AC71" s="1014"/>
      <c r="AD71" s="1"/>
      <c r="AE71" s="1219" t="s">
        <v>357</v>
      </c>
      <c r="AF71" s="1220"/>
      <c r="AG71" s="1220"/>
      <c r="AH71" s="1210"/>
      <c r="AI71" s="489" t="s">
        <v>332</v>
      </c>
      <c r="AJ71" s="490"/>
      <c r="AK71" s="525" t="s">
        <v>369</v>
      </c>
      <c r="AL71" s="490"/>
      <c r="AM71" s="463"/>
      <c r="AN71" s="463"/>
      <c r="AO71" s="463"/>
      <c r="AP71" s="491"/>
      <c r="AQ71" s="516"/>
      <c r="AT71" s="351"/>
    </row>
    <row r="72" spans="8:46" ht="19.5" customHeight="1" x14ac:dyDescent="0.25">
      <c r="I72" s="38" t="s">
        <v>60</v>
      </c>
      <c r="J72" s="139" t="s">
        <v>61</v>
      </c>
      <c r="K72" s="137"/>
      <c r="L72" s="776">
        <f t="shared" si="44"/>
        <v>0</v>
      </c>
      <c r="M72" s="750"/>
      <c r="N72" s="1015"/>
      <c r="O72" s="1016"/>
      <c r="P72" s="1016"/>
      <c r="Q72" s="1016"/>
      <c r="R72" s="1016"/>
      <c r="S72" s="1016"/>
      <c r="T72" s="1016"/>
      <c r="U72" s="1016"/>
      <c r="V72" s="1016"/>
      <c r="W72" s="1016"/>
      <c r="X72" s="1016"/>
      <c r="Y72" s="1016"/>
      <c r="Z72" s="1016"/>
      <c r="AA72" s="1016"/>
      <c r="AB72" s="1016"/>
      <c r="AC72" s="1017"/>
      <c r="AD72" s="1"/>
      <c r="AE72" s="1248" t="s">
        <v>358</v>
      </c>
      <c r="AF72" s="1249"/>
      <c r="AG72" s="1249"/>
      <c r="AH72" s="492">
        <v>44927</v>
      </c>
      <c r="AI72" s="494">
        <v>0.1</v>
      </c>
      <c r="AJ72" s="493">
        <f>AI72*$AJ$71</f>
        <v>0</v>
      </c>
      <c r="AK72" s="494"/>
      <c r="AL72" s="495">
        <f>AK72*$AL$71</f>
        <v>0</v>
      </c>
      <c r="AM72" s="463"/>
      <c r="AN72" s="496">
        <f>MAX(YEAR(AH72),AN71)</f>
        <v>2023</v>
      </c>
      <c r="AO72" s="497">
        <f t="shared" ref="AO72:AO87" si="45">AJ72+AL72</f>
        <v>0</v>
      </c>
      <c r="AP72" s="498">
        <f>SUM(AO$71:AO72)</f>
        <v>0</v>
      </c>
      <c r="AQ72" s="516"/>
      <c r="AR72" s="496">
        <f>AN72</f>
        <v>2023</v>
      </c>
      <c r="AS72" s="497">
        <f>SUMIF($AN$72:$AN$88,AR72,$AO$72:$AO$88)+AS71</f>
        <v>0</v>
      </c>
      <c r="AT72" s="498">
        <f>IFERROR(IF(MATCH(AR72,$AN$72:$AN$87,0)&gt;0,MIN(_xlfn.MINIFS($AP$72:$AP$88,$AN$72:$AN$88,AR72)-IF(AS72&lt;0,AS72,0),0),0),0)</f>
        <v>0</v>
      </c>
    </row>
    <row r="73" spans="8:46" ht="19.5" customHeight="1" x14ac:dyDescent="0.25">
      <c r="I73" s="536" t="s">
        <v>349</v>
      </c>
      <c r="J73" s="138" t="s">
        <v>376</v>
      </c>
      <c r="K73" s="137" t="s">
        <v>377</v>
      </c>
      <c r="L73" s="776">
        <f t="shared" si="44"/>
        <v>0</v>
      </c>
      <c r="M73" s="750"/>
      <c r="N73" s="1018">
        <f>-IF(N142&lt;0,N142,0)</f>
        <v>0</v>
      </c>
      <c r="O73" s="1019">
        <f t="shared" ref="O73:AC73" si="46">-IF(O142&lt;0,O142,0)</f>
        <v>0</v>
      </c>
      <c r="P73" s="1019">
        <f t="shared" si="46"/>
        <v>0</v>
      </c>
      <c r="Q73" s="1019">
        <f t="shared" si="46"/>
        <v>0</v>
      </c>
      <c r="R73" s="1019">
        <f t="shared" si="46"/>
        <v>0</v>
      </c>
      <c r="S73" s="1019">
        <f t="shared" si="46"/>
        <v>0</v>
      </c>
      <c r="T73" s="1019">
        <f t="shared" si="46"/>
        <v>0</v>
      </c>
      <c r="U73" s="1019">
        <f t="shared" si="46"/>
        <v>0</v>
      </c>
      <c r="V73" s="1019">
        <f t="shared" si="46"/>
        <v>0</v>
      </c>
      <c r="W73" s="1019">
        <f t="shared" si="46"/>
        <v>0</v>
      </c>
      <c r="X73" s="1019">
        <f t="shared" si="46"/>
        <v>0</v>
      </c>
      <c r="Y73" s="1019">
        <f t="shared" si="46"/>
        <v>0</v>
      </c>
      <c r="Z73" s="1019">
        <f t="shared" si="46"/>
        <v>0</v>
      </c>
      <c r="AA73" s="1019">
        <f t="shared" si="46"/>
        <v>0</v>
      </c>
      <c r="AB73" s="1019">
        <f t="shared" si="46"/>
        <v>0</v>
      </c>
      <c r="AC73" s="1020">
        <f t="shared" si="46"/>
        <v>0</v>
      </c>
      <c r="AD73" s="1"/>
      <c r="AE73" s="1211" t="s">
        <v>359</v>
      </c>
      <c r="AF73" s="1212"/>
      <c r="AG73" s="1213"/>
      <c r="AH73" s="492">
        <v>45292</v>
      </c>
      <c r="AI73" s="499">
        <f>40%-AI72</f>
        <v>0.30000000000000004</v>
      </c>
      <c r="AJ73" s="493">
        <f t="shared" ref="AJ73:AJ79" si="47">AI73*$AJ$71</f>
        <v>0</v>
      </c>
      <c r="AK73" s="494"/>
      <c r="AL73" s="495">
        <f t="shared" ref="AL73:AL79" si="48">AK73*$AL$71</f>
        <v>0</v>
      </c>
      <c r="AM73" s="463"/>
      <c r="AN73" s="496">
        <f>MAX(YEAR(AH73),AN72)</f>
        <v>2024</v>
      </c>
      <c r="AO73" s="497">
        <f t="shared" si="45"/>
        <v>0</v>
      </c>
      <c r="AP73" s="498">
        <f>SUM(AO$71:AO73)</f>
        <v>0</v>
      </c>
      <c r="AR73" s="496">
        <f>AR72+1</f>
        <v>2024</v>
      </c>
      <c r="AS73" s="497">
        <f t="shared" ref="AS73:AS87" si="49">SUMIF($AN$72:$AN$88,AR73,$AO$72:$AO$88)+AS72</f>
        <v>0</v>
      </c>
      <c r="AT73" s="498">
        <f t="shared" ref="AT73:AT87" si="50">IFERROR(IF(MATCH(AR73,$AN$72:$AN$87,0)&gt;0,MIN(_xlfn.MINIFS($AP$72:$AP$88,$AN$72:$AN$88,AR73)-IF(AS73&lt;0,AS73,0),0),0),0)</f>
        <v>0</v>
      </c>
    </row>
    <row r="74" spans="8:46" ht="19.5" customHeight="1" x14ac:dyDescent="0.25">
      <c r="I74" s="536" t="s">
        <v>350</v>
      </c>
      <c r="J74" s="138" t="s">
        <v>378</v>
      </c>
      <c r="K74" s="137" t="s">
        <v>56</v>
      </c>
      <c r="L74" s="783">
        <f>SUM(N74:AC74)</f>
        <v>0</v>
      </c>
      <c r="M74" s="750"/>
      <c r="N74" s="1021">
        <f>-K131</f>
        <v>0</v>
      </c>
      <c r="O74" s="1022"/>
      <c r="P74" s="1022"/>
      <c r="Q74" s="1022"/>
      <c r="R74" s="1022"/>
      <c r="S74" s="1022"/>
      <c r="T74" s="1022"/>
      <c r="U74" s="1022"/>
      <c r="V74" s="1022"/>
      <c r="W74" s="1022"/>
      <c r="X74" s="1023"/>
      <c r="Y74" s="1023"/>
      <c r="Z74" s="1023"/>
      <c r="AA74" s="1023"/>
      <c r="AB74" s="1023"/>
      <c r="AC74" s="1024"/>
      <c r="AD74" s="1"/>
      <c r="AE74" s="1211" t="s">
        <v>333</v>
      </c>
      <c r="AF74" s="1212"/>
      <c r="AG74" s="1213"/>
      <c r="AH74" s="500">
        <v>45383</v>
      </c>
      <c r="AI74" s="499">
        <v>0.2</v>
      </c>
      <c r="AJ74" s="493">
        <f t="shared" si="47"/>
        <v>0</v>
      </c>
      <c r="AK74" s="494"/>
      <c r="AL74" s="495">
        <f t="shared" si="48"/>
        <v>0</v>
      </c>
      <c r="AM74" s="463"/>
      <c r="AN74" s="496">
        <f t="shared" ref="AN74:AN79" si="51">MAX(YEAR(AH74),AN73)</f>
        <v>2024</v>
      </c>
      <c r="AO74" s="497">
        <f t="shared" si="45"/>
        <v>0</v>
      </c>
      <c r="AP74" s="498">
        <f>SUM(AO$71:AO74)</f>
        <v>0</v>
      </c>
      <c r="AQ74" s="516"/>
      <c r="AR74" s="496">
        <f t="shared" ref="AR74:AR87" si="52">AR73+1</f>
        <v>2025</v>
      </c>
      <c r="AS74" s="497">
        <f t="shared" si="49"/>
        <v>0</v>
      </c>
      <c r="AT74" s="498">
        <f t="shared" si="50"/>
        <v>0</v>
      </c>
    </row>
    <row r="75" spans="8:46" ht="19.5" customHeight="1" x14ac:dyDescent="0.25">
      <c r="I75" s="536" t="s">
        <v>62</v>
      </c>
      <c r="J75" s="138" t="s">
        <v>63</v>
      </c>
      <c r="K75" s="137" t="s">
        <v>56</v>
      </c>
      <c r="L75" s="784">
        <f t="shared" si="44"/>
        <v>0</v>
      </c>
      <c r="M75" s="750"/>
      <c r="N75" s="1025"/>
      <c r="O75" s="1026"/>
      <c r="P75" s="1026"/>
      <c r="Q75" s="1026"/>
      <c r="R75" s="1026"/>
      <c r="S75" s="1026"/>
      <c r="T75" s="1026"/>
      <c r="U75" s="1026"/>
      <c r="V75" s="1026"/>
      <c r="W75" s="1026"/>
      <c r="X75" s="1026"/>
      <c r="Y75" s="1026"/>
      <c r="Z75" s="1026"/>
      <c r="AA75" s="1026"/>
      <c r="AB75" s="1026"/>
      <c r="AC75" s="1027"/>
      <c r="AD75" s="1"/>
      <c r="AE75" s="1211" t="s">
        <v>334</v>
      </c>
      <c r="AF75" s="1212"/>
      <c r="AG75" s="1213"/>
      <c r="AH75" s="500">
        <v>45383</v>
      </c>
      <c r="AI75" s="499">
        <v>0.2</v>
      </c>
      <c r="AJ75" s="493">
        <f t="shared" si="47"/>
        <v>0</v>
      </c>
      <c r="AK75" s="494"/>
      <c r="AL75" s="495">
        <f t="shared" si="48"/>
        <v>0</v>
      </c>
      <c r="AM75" s="463"/>
      <c r="AN75" s="496">
        <f t="shared" si="51"/>
        <v>2024</v>
      </c>
      <c r="AO75" s="497">
        <f t="shared" si="45"/>
        <v>0</v>
      </c>
      <c r="AP75" s="498">
        <f>SUM(AO$71:AO75)</f>
        <v>0</v>
      </c>
      <c r="AQ75" s="516"/>
      <c r="AR75" s="496">
        <f t="shared" si="52"/>
        <v>2026</v>
      </c>
      <c r="AS75" s="497">
        <f t="shared" si="49"/>
        <v>0</v>
      </c>
      <c r="AT75" s="498">
        <f t="shared" si="50"/>
        <v>0</v>
      </c>
    </row>
    <row r="76" spans="8:46" x14ac:dyDescent="0.25">
      <c r="I76" s="140"/>
      <c r="J76" s="110"/>
      <c r="K76" s="141"/>
      <c r="L76" s="141"/>
      <c r="N76" s="142"/>
      <c r="O76" s="142"/>
      <c r="P76" s="142"/>
      <c r="Q76" s="142"/>
      <c r="R76" s="142"/>
      <c r="S76" s="142"/>
      <c r="T76" s="142"/>
      <c r="U76" s="142"/>
      <c r="V76" s="142"/>
      <c r="W76" s="142"/>
      <c r="X76" s="142"/>
      <c r="Y76" s="142"/>
      <c r="Z76" s="142"/>
      <c r="AA76" s="142"/>
      <c r="AB76" s="142"/>
      <c r="AC76" s="142"/>
      <c r="AD76" s="1"/>
      <c r="AE76" s="1211" t="s">
        <v>335</v>
      </c>
      <c r="AF76" s="1212"/>
      <c r="AG76" s="1213"/>
      <c r="AH76" s="500">
        <v>45536</v>
      </c>
      <c r="AI76" s="499">
        <v>0.2</v>
      </c>
      <c r="AJ76" s="493">
        <f t="shared" si="47"/>
        <v>0</v>
      </c>
      <c r="AK76" s="494"/>
      <c r="AL76" s="495">
        <f t="shared" si="48"/>
        <v>0</v>
      </c>
      <c r="AM76" s="463"/>
      <c r="AN76" s="496">
        <f t="shared" si="51"/>
        <v>2024</v>
      </c>
      <c r="AO76" s="497">
        <f t="shared" si="45"/>
        <v>0</v>
      </c>
      <c r="AP76" s="498">
        <f>SUM(AO$71:AO76)</f>
        <v>0</v>
      </c>
      <c r="AQ76" s="516"/>
      <c r="AR76" s="496">
        <f t="shared" si="52"/>
        <v>2027</v>
      </c>
      <c r="AS76" s="497">
        <f t="shared" si="49"/>
        <v>0</v>
      </c>
      <c r="AT76" s="498">
        <f t="shared" si="50"/>
        <v>0</v>
      </c>
    </row>
    <row r="77" spans="8:46" ht="18" x14ac:dyDescent="0.4">
      <c r="I77" s="38"/>
      <c r="J77" s="143" t="s">
        <v>64</v>
      </c>
      <c r="K77" s="144"/>
      <c r="L77" s="135" t="s">
        <v>65</v>
      </c>
      <c r="N77" s="110"/>
      <c r="O77" s="110"/>
      <c r="P77" s="110"/>
      <c r="Q77" s="110"/>
      <c r="R77" s="110"/>
      <c r="S77" s="110"/>
      <c r="T77" s="110"/>
      <c r="U77" s="110"/>
      <c r="V77" s="110"/>
      <c r="W77" s="110"/>
      <c r="X77" s="110"/>
      <c r="Y77" s="110"/>
      <c r="Z77" s="110"/>
      <c r="AA77" s="110"/>
      <c r="AB77" s="110"/>
      <c r="AC77" s="110"/>
      <c r="AD77" s="1"/>
      <c r="AE77" s="1211" t="s">
        <v>336</v>
      </c>
      <c r="AF77" s="1212"/>
      <c r="AG77" s="1213"/>
      <c r="AH77" s="500">
        <v>45536</v>
      </c>
      <c r="AI77" s="499">
        <v>0</v>
      </c>
      <c r="AJ77" s="493">
        <f t="shared" si="47"/>
        <v>0</v>
      </c>
      <c r="AK77" s="494"/>
      <c r="AL77" s="495">
        <f t="shared" si="48"/>
        <v>0</v>
      </c>
      <c r="AM77" s="463"/>
      <c r="AN77" s="496">
        <f t="shared" si="51"/>
        <v>2024</v>
      </c>
      <c r="AO77" s="497">
        <f t="shared" si="45"/>
        <v>0</v>
      </c>
      <c r="AP77" s="498">
        <f>SUM(AO$71:AO77)</f>
        <v>0</v>
      </c>
      <c r="AQ77" s="516"/>
      <c r="AR77" s="496">
        <f t="shared" si="52"/>
        <v>2028</v>
      </c>
      <c r="AS77" s="497">
        <f t="shared" si="49"/>
        <v>0</v>
      </c>
      <c r="AT77" s="498">
        <f t="shared" si="50"/>
        <v>0</v>
      </c>
    </row>
    <row r="78" spans="8:46" x14ac:dyDescent="0.25">
      <c r="I78" s="38" t="s">
        <v>66</v>
      </c>
      <c r="J78" s="97" t="s">
        <v>444</v>
      </c>
      <c r="K78" s="137"/>
      <c r="N78" s="145">
        <v>1</v>
      </c>
      <c r="O78" s="531">
        <f>ROUND((13-$L$12)*365/12,0)</f>
        <v>213</v>
      </c>
      <c r="P78" s="146">
        <v>365</v>
      </c>
      <c r="Q78" s="146">
        <f t="shared" ref="Q78:AC85" si="53">P78</f>
        <v>365</v>
      </c>
      <c r="R78" s="146">
        <f t="shared" si="53"/>
        <v>365</v>
      </c>
      <c r="S78" s="146">
        <f t="shared" si="53"/>
        <v>365</v>
      </c>
      <c r="T78" s="146">
        <f t="shared" si="53"/>
        <v>365</v>
      </c>
      <c r="U78" s="146">
        <f t="shared" si="53"/>
        <v>365</v>
      </c>
      <c r="V78" s="146">
        <f t="shared" si="53"/>
        <v>365</v>
      </c>
      <c r="W78" s="146">
        <f t="shared" si="53"/>
        <v>365</v>
      </c>
      <c r="X78" s="146">
        <f t="shared" si="53"/>
        <v>365</v>
      </c>
      <c r="Y78" s="146">
        <f t="shared" si="53"/>
        <v>365</v>
      </c>
      <c r="Z78" s="146">
        <f t="shared" si="53"/>
        <v>365</v>
      </c>
      <c r="AA78" s="146">
        <f t="shared" si="53"/>
        <v>365</v>
      </c>
      <c r="AB78" s="146">
        <f t="shared" si="53"/>
        <v>365</v>
      </c>
      <c r="AC78" s="147">
        <f t="shared" si="53"/>
        <v>365</v>
      </c>
      <c r="AD78" s="1"/>
      <c r="AE78" s="1211" t="s">
        <v>337</v>
      </c>
      <c r="AF78" s="1212"/>
      <c r="AG78" s="1213"/>
      <c r="AH78" s="500"/>
      <c r="AI78" s="501"/>
      <c r="AJ78" s="493">
        <f t="shared" si="47"/>
        <v>0</v>
      </c>
      <c r="AK78" s="494"/>
      <c r="AL78" s="495">
        <f t="shared" si="48"/>
        <v>0</v>
      </c>
      <c r="AM78" s="463"/>
      <c r="AN78" s="496">
        <f t="shared" si="51"/>
        <v>2024</v>
      </c>
      <c r="AO78" s="497">
        <f t="shared" si="45"/>
        <v>0</v>
      </c>
      <c r="AP78" s="498">
        <f>SUM(AO$71:AO78)</f>
        <v>0</v>
      </c>
      <c r="AQ78" s="516"/>
      <c r="AR78" s="496">
        <f t="shared" si="52"/>
        <v>2029</v>
      </c>
      <c r="AS78" s="497">
        <f t="shared" si="49"/>
        <v>0</v>
      </c>
      <c r="AT78" s="498">
        <f t="shared" si="50"/>
        <v>0</v>
      </c>
    </row>
    <row r="79" spans="8:46" ht="17.25" thickBot="1" x14ac:dyDescent="0.3">
      <c r="I79" s="38" t="s">
        <v>67</v>
      </c>
      <c r="J79" s="97" t="s">
        <v>68</v>
      </c>
      <c r="K79" s="137" t="s">
        <v>56</v>
      </c>
      <c r="L79" s="149">
        <f>IFERROR(AVERAGEIF(N79:AC79,"&gt;0.001",N79:AC79),)</f>
        <v>0</v>
      </c>
      <c r="N79" s="150"/>
      <c r="O79" s="151">
        <f>N79</f>
        <v>0</v>
      </c>
      <c r="P79" s="151">
        <f>O79</f>
        <v>0</v>
      </c>
      <c r="Q79" s="151">
        <f t="shared" si="53"/>
        <v>0</v>
      </c>
      <c r="R79" s="151">
        <f t="shared" si="53"/>
        <v>0</v>
      </c>
      <c r="S79" s="151">
        <f t="shared" si="53"/>
        <v>0</v>
      </c>
      <c r="T79" s="151">
        <f t="shared" si="53"/>
        <v>0</v>
      </c>
      <c r="U79" s="151">
        <f t="shared" si="53"/>
        <v>0</v>
      </c>
      <c r="V79" s="151">
        <f t="shared" si="53"/>
        <v>0</v>
      </c>
      <c r="W79" s="151">
        <f t="shared" si="53"/>
        <v>0</v>
      </c>
      <c r="X79" s="151">
        <f t="shared" si="53"/>
        <v>0</v>
      </c>
      <c r="Y79" s="151">
        <f t="shared" si="53"/>
        <v>0</v>
      </c>
      <c r="Z79" s="151">
        <f t="shared" si="53"/>
        <v>0</v>
      </c>
      <c r="AA79" s="151">
        <f t="shared" si="53"/>
        <v>0</v>
      </c>
      <c r="AB79" s="151">
        <f t="shared" si="53"/>
        <v>0</v>
      </c>
      <c r="AC79" s="152">
        <f t="shared" si="53"/>
        <v>0</v>
      </c>
      <c r="AD79" s="1"/>
      <c r="AE79" s="1221" t="s">
        <v>338</v>
      </c>
      <c r="AF79" s="1222"/>
      <c r="AG79" s="1223"/>
      <c r="AH79" s="502"/>
      <c r="AI79" s="503"/>
      <c r="AJ79" s="493">
        <f t="shared" si="47"/>
        <v>0</v>
      </c>
      <c r="AK79" s="494"/>
      <c r="AL79" s="495">
        <f t="shared" si="48"/>
        <v>0</v>
      </c>
      <c r="AM79" s="463"/>
      <c r="AN79" s="496">
        <f t="shared" si="51"/>
        <v>2024</v>
      </c>
      <c r="AO79" s="497">
        <f t="shared" si="45"/>
        <v>0</v>
      </c>
      <c r="AP79" s="498">
        <f>SUM(AO$71:AO79)</f>
        <v>0</v>
      </c>
      <c r="AQ79" s="516"/>
      <c r="AR79" s="496">
        <f t="shared" si="52"/>
        <v>2030</v>
      </c>
      <c r="AS79" s="497">
        <f t="shared" si="49"/>
        <v>0</v>
      </c>
      <c r="AT79" s="498">
        <f t="shared" si="50"/>
        <v>0</v>
      </c>
    </row>
    <row r="80" spans="8:46" ht="17.25" thickBot="1" x14ac:dyDescent="0.3">
      <c r="I80" s="38" t="s">
        <v>69</v>
      </c>
      <c r="J80" s="97" t="s">
        <v>289</v>
      </c>
      <c r="K80" s="137"/>
      <c r="L80" s="137"/>
      <c r="N80" s="453"/>
      <c r="O80" s="454"/>
      <c r="P80" s="454"/>
      <c r="Q80" s="454"/>
      <c r="R80" s="454"/>
      <c r="S80" s="454"/>
      <c r="T80" s="454"/>
      <c r="U80" s="454"/>
      <c r="V80" s="454"/>
      <c r="W80" s="454"/>
      <c r="X80" s="454"/>
      <c r="Y80" s="454"/>
      <c r="Z80" s="454"/>
      <c r="AA80" s="454"/>
      <c r="AB80" s="454"/>
      <c r="AC80" s="455"/>
      <c r="AD80" s="1"/>
      <c r="AE80" s="1224" t="s">
        <v>339</v>
      </c>
      <c r="AF80" s="1225"/>
      <c r="AG80" s="1225"/>
      <c r="AH80" s="1226"/>
      <c r="AI80" s="504">
        <f>SUM(AI72:AI79)</f>
        <v>1</v>
      </c>
      <c r="AJ80" s="505">
        <f>SUM(AJ72:AJ79)</f>
        <v>0</v>
      </c>
      <c r="AK80" s="504">
        <f>SUM(AK72:AK79)</f>
        <v>0</v>
      </c>
      <c r="AL80" s="506">
        <f>SUM(AL72:AL79)</f>
        <v>0</v>
      </c>
      <c r="AM80" s="463"/>
      <c r="AN80" s="463"/>
      <c r="AO80" s="526">
        <f>(AJ80+AL80)-AP79</f>
        <v>0</v>
      </c>
      <c r="AP80" s="527" t="str">
        <f>IF(ABS(AO80)&lt;1,"OK","Check!")</f>
        <v>OK</v>
      </c>
      <c r="AQ80" s="516"/>
      <c r="AR80" s="496">
        <f t="shared" si="52"/>
        <v>2031</v>
      </c>
      <c r="AS80" s="497">
        <f t="shared" si="49"/>
        <v>0</v>
      </c>
      <c r="AT80" s="498">
        <f t="shared" si="50"/>
        <v>0</v>
      </c>
    </row>
    <row r="81" spans="9:46" ht="24.4" customHeight="1" thickBot="1" x14ac:dyDescent="0.35">
      <c r="I81" s="38" t="s">
        <v>290</v>
      </c>
      <c r="J81" s="456" t="s">
        <v>291</v>
      </c>
      <c r="K81" s="137" t="s">
        <v>56</v>
      </c>
      <c r="L81" s="153">
        <f>IFERROR(AVERAGEIF(N81:AC81,"&gt;0.001",N81:AC81),)</f>
        <v>0</v>
      </c>
      <c r="N81" s="150"/>
      <c r="O81" s="151">
        <f>N81</f>
        <v>0</v>
      </c>
      <c r="P81" s="151">
        <f t="shared" ref="P81:AC84" si="54">O81</f>
        <v>0</v>
      </c>
      <c r="Q81" s="151">
        <f t="shared" si="54"/>
        <v>0</v>
      </c>
      <c r="R81" s="151">
        <f t="shared" si="54"/>
        <v>0</v>
      </c>
      <c r="S81" s="151">
        <f t="shared" si="54"/>
        <v>0</v>
      </c>
      <c r="T81" s="151">
        <f t="shared" si="54"/>
        <v>0</v>
      </c>
      <c r="U81" s="151">
        <f t="shared" si="54"/>
        <v>0</v>
      </c>
      <c r="V81" s="151">
        <f t="shared" si="54"/>
        <v>0</v>
      </c>
      <c r="W81" s="151">
        <f t="shared" si="54"/>
        <v>0</v>
      </c>
      <c r="X81" s="151">
        <f t="shared" si="54"/>
        <v>0</v>
      </c>
      <c r="Y81" s="151">
        <f t="shared" si="54"/>
        <v>0</v>
      </c>
      <c r="Z81" s="151">
        <f t="shared" si="54"/>
        <v>0</v>
      </c>
      <c r="AA81" s="151">
        <f t="shared" si="54"/>
        <v>0</v>
      </c>
      <c r="AB81" s="151">
        <f t="shared" si="54"/>
        <v>0</v>
      </c>
      <c r="AC81" s="152">
        <f t="shared" si="54"/>
        <v>0</v>
      </c>
      <c r="AD81" s="1"/>
      <c r="AE81" s="1227" t="s">
        <v>340</v>
      </c>
      <c r="AF81" s="1228"/>
      <c r="AG81" s="1229"/>
      <c r="AH81" s="488"/>
      <c r="AI81" s="489" t="s">
        <v>332</v>
      </c>
      <c r="AJ81" s="490"/>
      <c r="AK81" s="525" t="s">
        <v>369</v>
      </c>
      <c r="AL81" s="490"/>
      <c r="AM81" s="463"/>
      <c r="AN81" s="463"/>
      <c r="AO81" s="463"/>
      <c r="AP81" s="491"/>
      <c r="AQ81" s="516"/>
      <c r="AR81" s="496">
        <f t="shared" si="52"/>
        <v>2032</v>
      </c>
      <c r="AS81" s="497">
        <f t="shared" si="49"/>
        <v>0</v>
      </c>
      <c r="AT81" s="498">
        <f t="shared" si="50"/>
        <v>0</v>
      </c>
    </row>
    <row r="82" spans="9:46" x14ac:dyDescent="0.3">
      <c r="I82" s="38" t="s">
        <v>292</v>
      </c>
      <c r="J82" s="456" t="str">
        <f>"WIP (Prod leadtime, level load), O/head absorptn @"&amp;(K82*100)&amp;"%"</f>
        <v>WIP (Prod leadtime, level load), O/head absorptn @50%</v>
      </c>
      <c r="K82" s="457">
        <v>0.5</v>
      </c>
      <c r="L82" s="153">
        <f t="shared" ref="L82:L84" si="55">IFERROR(AVERAGEIF(N82:AC82,"&gt;0.001",N82:AC82),)</f>
        <v>0</v>
      </c>
      <c r="N82" s="150"/>
      <c r="O82" s="151">
        <f>N82</f>
        <v>0</v>
      </c>
      <c r="P82" s="151">
        <f t="shared" si="54"/>
        <v>0</v>
      </c>
      <c r="Q82" s="151">
        <f t="shared" si="54"/>
        <v>0</v>
      </c>
      <c r="R82" s="151">
        <f t="shared" si="54"/>
        <v>0</v>
      </c>
      <c r="S82" s="151">
        <f t="shared" si="54"/>
        <v>0</v>
      </c>
      <c r="T82" s="151">
        <f t="shared" si="54"/>
        <v>0</v>
      </c>
      <c r="U82" s="151">
        <f t="shared" si="54"/>
        <v>0</v>
      </c>
      <c r="V82" s="151">
        <f t="shared" si="54"/>
        <v>0</v>
      </c>
      <c r="W82" s="151">
        <f t="shared" si="54"/>
        <v>0</v>
      </c>
      <c r="X82" s="151">
        <f t="shared" si="54"/>
        <v>0</v>
      </c>
      <c r="Y82" s="151">
        <f t="shared" si="54"/>
        <v>0</v>
      </c>
      <c r="Z82" s="151">
        <f t="shared" si="54"/>
        <v>0</v>
      </c>
      <c r="AA82" s="151">
        <f t="shared" si="54"/>
        <v>0</v>
      </c>
      <c r="AB82" s="151">
        <f t="shared" si="54"/>
        <v>0</v>
      </c>
      <c r="AC82" s="152">
        <f t="shared" si="54"/>
        <v>0</v>
      </c>
      <c r="AD82" s="1"/>
      <c r="AE82" s="1230" t="str">
        <f>AE73</f>
        <v>Tooling Vendor PO / Materials PO</v>
      </c>
      <c r="AF82" s="1231"/>
      <c r="AG82" s="1232"/>
      <c r="AH82" s="507">
        <v>45658</v>
      </c>
      <c r="AI82" s="494">
        <v>0.3</v>
      </c>
      <c r="AJ82" s="493">
        <f t="shared" ref="AJ82:AJ87" si="56">AI82*$AJ$81</f>
        <v>0</v>
      </c>
      <c r="AK82" s="494"/>
      <c r="AL82" s="495">
        <f t="shared" ref="AL82:AL87" si="57">AK82*$AL$81</f>
        <v>0</v>
      </c>
      <c r="AM82" s="463"/>
      <c r="AN82" s="496">
        <f>MAX(YEAR(AH82),AN81)</f>
        <v>2025</v>
      </c>
      <c r="AO82" s="497">
        <f t="shared" si="45"/>
        <v>0</v>
      </c>
      <c r="AP82" s="498">
        <f>SUM($AO$72:$AO$79)+SUM(AO$81:AO82)</f>
        <v>0</v>
      </c>
      <c r="AQ82" s="516"/>
      <c r="AR82" s="496">
        <f t="shared" si="52"/>
        <v>2033</v>
      </c>
      <c r="AS82" s="497">
        <f t="shared" si="49"/>
        <v>0</v>
      </c>
      <c r="AT82" s="498">
        <f t="shared" si="50"/>
        <v>0</v>
      </c>
    </row>
    <row r="83" spans="9:46" x14ac:dyDescent="0.3">
      <c r="I83" s="38" t="s">
        <v>293</v>
      </c>
      <c r="J83" s="462" t="s">
        <v>459</v>
      </c>
      <c r="K83" s="137" t="s">
        <v>56</v>
      </c>
      <c r="L83" s="153">
        <f t="shared" si="55"/>
        <v>0</v>
      </c>
      <c r="N83" s="150"/>
      <c r="O83" s="151">
        <f>N83</f>
        <v>0</v>
      </c>
      <c r="P83" s="151">
        <f t="shared" si="54"/>
        <v>0</v>
      </c>
      <c r="Q83" s="151">
        <f t="shared" si="54"/>
        <v>0</v>
      </c>
      <c r="R83" s="151">
        <f t="shared" si="54"/>
        <v>0</v>
      </c>
      <c r="S83" s="151">
        <f t="shared" si="54"/>
        <v>0</v>
      </c>
      <c r="T83" s="151">
        <f t="shared" si="54"/>
        <v>0</v>
      </c>
      <c r="U83" s="151">
        <f t="shared" si="54"/>
        <v>0</v>
      </c>
      <c r="V83" s="151">
        <f t="shared" si="54"/>
        <v>0</v>
      </c>
      <c r="W83" s="151">
        <f t="shared" si="54"/>
        <v>0</v>
      </c>
      <c r="X83" s="151">
        <f t="shared" si="54"/>
        <v>0</v>
      </c>
      <c r="Y83" s="151">
        <f t="shared" si="54"/>
        <v>0</v>
      </c>
      <c r="Z83" s="151">
        <f t="shared" si="54"/>
        <v>0</v>
      </c>
      <c r="AA83" s="151">
        <f t="shared" si="54"/>
        <v>0</v>
      </c>
      <c r="AB83" s="151">
        <f t="shared" si="54"/>
        <v>0</v>
      </c>
      <c r="AC83" s="152">
        <f t="shared" si="54"/>
        <v>0</v>
      </c>
      <c r="AD83" s="1"/>
      <c r="AE83" s="1211" t="str">
        <f>AE74</f>
        <v>Completion &amp; Testing</v>
      </c>
      <c r="AF83" s="1212"/>
      <c r="AG83" s="1213"/>
      <c r="AH83" s="500">
        <v>46023</v>
      </c>
      <c r="AI83" s="501">
        <f>60%-AI82</f>
        <v>0.3</v>
      </c>
      <c r="AJ83" s="493">
        <f t="shared" si="56"/>
        <v>0</v>
      </c>
      <c r="AK83" s="508"/>
      <c r="AL83" s="495">
        <f t="shared" si="57"/>
        <v>0</v>
      </c>
      <c r="AM83" s="463"/>
      <c r="AN83" s="496">
        <f t="shared" ref="AN83:AN87" si="58">MAX(YEAR(AH83),AN82)</f>
        <v>2026</v>
      </c>
      <c r="AO83" s="497">
        <f t="shared" si="45"/>
        <v>0</v>
      </c>
      <c r="AP83" s="498">
        <f>SUM($AO$72:$AO$79)+SUM(AO$81:AO83)</f>
        <v>0</v>
      </c>
      <c r="AQ83" s="516"/>
      <c r="AR83" s="496">
        <f t="shared" si="52"/>
        <v>2034</v>
      </c>
      <c r="AS83" s="497">
        <f t="shared" si="49"/>
        <v>0</v>
      </c>
      <c r="AT83" s="498">
        <f t="shared" si="50"/>
        <v>0</v>
      </c>
    </row>
    <row r="84" spans="9:46" x14ac:dyDescent="0.3">
      <c r="I84" s="38" t="s">
        <v>294</v>
      </c>
      <c r="J84" s="462" t="s">
        <v>297</v>
      </c>
      <c r="K84" s="137" t="s">
        <v>56</v>
      </c>
      <c r="L84" s="153">
        <f t="shared" si="55"/>
        <v>0</v>
      </c>
      <c r="N84" s="150"/>
      <c r="O84" s="151">
        <f>N84</f>
        <v>0</v>
      </c>
      <c r="P84" s="151">
        <f t="shared" si="54"/>
        <v>0</v>
      </c>
      <c r="Q84" s="151">
        <f t="shared" si="54"/>
        <v>0</v>
      </c>
      <c r="R84" s="151">
        <f t="shared" si="54"/>
        <v>0</v>
      </c>
      <c r="S84" s="151">
        <f t="shared" si="54"/>
        <v>0</v>
      </c>
      <c r="T84" s="151">
        <f t="shared" si="54"/>
        <v>0</v>
      </c>
      <c r="U84" s="151">
        <f t="shared" si="54"/>
        <v>0</v>
      </c>
      <c r="V84" s="151">
        <f t="shared" si="54"/>
        <v>0</v>
      </c>
      <c r="W84" s="151">
        <f t="shared" si="54"/>
        <v>0</v>
      </c>
      <c r="X84" s="151">
        <f t="shared" si="54"/>
        <v>0</v>
      </c>
      <c r="Y84" s="151">
        <f t="shared" si="54"/>
        <v>0</v>
      </c>
      <c r="Z84" s="151">
        <f t="shared" si="54"/>
        <v>0</v>
      </c>
      <c r="AA84" s="151">
        <f t="shared" si="54"/>
        <v>0</v>
      </c>
      <c r="AB84" s="151">
        <f t="shared" si="54"/>
        <v>0</v>
      </c>
      <c r="AC84" s="152">
        <f t="shared" si="54"/>
        <v>0</v>
      </c>
      <c r="AD84" s="1"/>
      <c r="AE84" s="1211" t="str">
        <f>AE75</f>
        <v>First of Tool</v>
      </c>
      <c r="AF84" s="1212"/>
      <c r="AG84" s="1213"/>
      <c r="AH84" s="500">
        <v>46388</v>
      </c>
      <c r="AI84" s="501">
        <v>0.2</v>
      </c>
      <c r="AJ84" s="493">
        <f t="shared" si="56"/>
        <v>0</v>
      </c>
      <c r="AK84" s="508"/>
      <c r="AL84" s="495">
        <f t="shared" si="57"/>
        <v>0</v>
      </c>
      <c r="AM84" s="463"/>
      <c r="AN84" s="496">
        <f t="shared" si="58"/>
        <v>2027</v>
      </c>
      <c r="AO84" s="497">
        <f t="shared" si="45"/>
        <v>0</v>
      </c>
      <c r="AP84" s="498">
        <f>SUM($AO$72:$AO$79)+SUM(AO$81:AO84)</f>
        <v>0</v>
      </c>
      <c r="AQ84" s="516"/>
      <c r="AR84" s="496">
        <f t="shared" si="52"/>
        <v>2035</v>
      </c>
      <c r="AS84" s="497">
        <f t="shared" si="49"/>
        <v>0</v>
      </c>
      <c r="AT84" s="498">
        <f t="shared" si="50"/>
        <v>0</v>
      </c>
    </row>
    <row r="85" spans="9:46" x14ac:dyDescent="0.25">
      <c r="I85" s="38" t="s">
        <v>70</v>
      </c>
      <c r="J85" s="97" t="s">
        <v>71</v>
      </c>
      <c r="K85" s="137" t="s">
        <v>56</v>
      </c>
      <c r="N85" s="154"/>
      <c r="O85" s="155">
        <f>N85</f>
        <v>0</v>
      </c>
      <c r="P85" s="155">
        <f>O85</f>
        <v>0</v>
      </c>
      <c r="Q85" s="155">
        <f t="shared" si="53"/>
        <v>0</v>
      </c>
      <c r="R85" s="155">
        <f t="shared" si="53"/>
        <v>0</v>
      </c>
      <c r="S85" s="155">
        <f t="shared" si="53"/>
        <v>0</v>
      </c>
      <c r="T85" s="155">
        <f t="shared" si="53"/>
        <v>0</v>
      </c>
      <c r="U85" s="155">
        <f t="shared" si="53"/>
        <v>0</v>
      </c>
      <c r="V85" s="155">
        <f t="shared" si="53"/>
        <v>0</v>
      </c>
      <c r="W85" s="155">
        <f t="shared" si="53"/>
        <v>0</v>
      </c>
      <c r="X85" s="155">
        <f t="shared" si="53"/>
        <v>0</v>
      </c>
      <c r="Y85" s="155">
        <f t="shared" si="53"/>
        <v>0</v>
      </c>
      <c r="Z85" s="155">
        <f t="shared" si="53"/>
        <v>0</v>
      </c>
      <c r="AA85" s="155">
        <f t="shared" si="53"/>
        <v>0</v>
      </c>
      <c r="AB85" s="155">
        <f t="shared" si="53"/>
        <v>0</v>
      </c>
      <c r="AC85" s="156">
        <f t="shared" si="53"/>
        <v>0</v>
      </c>
      <c r="AD85" s="1"/>
      <c r="AE85" s="1211" t="str">
        <f>AE76</f>
        <v>PPAP Submission</v>
      </c>
      <c r="AF85" s="1212"/>
      <c r="AG85" s="1213"/>
      <c r="AH85" s="500">
        <v>46753</v>
      </c>
      <c r="AI85" s="501">
        <v>0.2</v>
      </c>
      <c r="AJ85" s="493">
        <f t="shared" si="56"/>
        <v>0</v>
      </c>
      <c r="AK85" s="508"/>
      <c r="AL85" s="495">
        <f t="shared" si="57"/>
        <v>0</v>
      </c>
      <c r="AM85" s="463"/>
      <c r="AN85" s="496">
        <f t="shared" si="58"/>
        <v>2028</v>
      </c>
      <c r="AO85" s="497">
        <f t="shared" si="45"/>
        <v>0</v>
      </c>
      <c r="AP85" s="498">
        <f>SUM($AO$72:$AO$79)+SUM(AO$81:AO85)</f>
        <v>0</v>
      </c>
      <c r="AQ85" s="516"/>
      <c r="AR85" s="496">
        <f t="shared" si="52"/>
        <v>2036</v>
      </c>
      <c r="AS85" s="497">
        <f t="shared" si="49"/>
        <v>0</v>
      </c>
      <c r="AT85" s="498">
        <f t="shared" si="50"/>
        <v>0</v>
      </c>
    </row>
    <row r="86" spans="9:46" x14ac:dyDescent="0.25">
      <c r="I86" s="38" t="s">
        <v>344</v>
      </c>
      <c r="J86" s="565" t="s">
        <v>385</v>
      </c>
      <c r="K86" s="514" t="s">
        <v>345</v>
      </c>
      <c r="L86" s="899" t="s">
        <v>347</v>
      </c>
      <c r="N86" s="780">
        <f>IF($L$86="Milestone Calculation",IFERROR(-MIN((_xlfn.XLOOKUP(N67,$AR$72:$AR$87,$AS$72:$AS$87,0)-SUMIF($N$142:N142,"&lt;0",$N$142:N142)),0),),N87)</f>
        <v>0</v>
      </c>
      <c r="O86" s="781">
        <f>IF($L$86="Milestone Calculation",IFERROR(-MIN((_xlfn.XLOOKUP(O67,$AR$72:$AR$87,$AS$72:$AS$87,0)-SUMIF($N$142:O142,"&lt;0",$N$142:O142)),0),),O87)</f>
        <v>0</v>
      </c>
      <c r="P86" s="781">
        <f>IF($L$86="Milestone Calculation",IFERROR(-MIN((_xlfn.XLOOKUP(P67,$AR$72:$AR$87,$AS$72:$AS$87,0)-SUMIF($N$142:P142,"&lt;0",$N$142:P142)),0),),P87)</f>
        <v>0</v>
      </c>
      <c r="Q86" s="781">
        <f>IF($L$86="Milestone Calculation",IFERROR(-MIN((_xlfn.XLOOKUP(Q67,$AR$72:$AR$87,$AS$72:$AS$87,0)-SUMIF($N$142:Q142,"&lt;0",$N$142:Q142)),0),),Q87)</f>
        <v>0</v>
      </c>
      <c r="R86" s="781">
        <f>IF($L$86="Milestone Calculation",IFERROR(-MIN((_xlfn.XLOOKUP(R67,$AR$72:$AR$87,$AS$72:$AS$87,0)-SUMIF($N$142:R142,"&lt;0",$N$142:R142)),0),),R87)</f>
        <v>0</v>
      </c>
      <c r="S86" s="781">
        <f>IF($L$86="Milestone Calculation",IFERROR(-MIN((_xlfn.XLOOKUP(S67,$AR$72:$AR$87,$AS$72:$AS$87,0)-SUMIF($N$142:S142,"&lt;0",$N$142:S142)),0),),S87)</f>
        <v>0</v>
      </c>
      <c r="T86" s="781">
        <f>IF($L$86="Milestone Calculation",IFERROR(-MIN((_xlfn.XLOOKUP(T67,$AR$72:$AR$87,$AS$72:$AS$87,0)-SUMIF($N$142:T142,"&lt;0",$N$142:T142)),0),),T87)</f>
        <v>0</v>
      </c>
      <c r="U86" s="781">
        <f>IF($L$86="Milestone Calculation",IFERROR(-MIN((_xlfn.XLOOKUP(U67,$AR$72:$AR$87,$AS$72:$AS$87,0)-SUMIF($N$142:U142,"&lt;0",$N$142:U142)),0),),U87)</f>
        <v>0</v>
      </c>
      <c r="V86" s="781">
        <f>IF($L$86="Milestone Calculation",IFERROR(-MIN((_xlfn.XLOOKUP(V67,$AR$72:$AR$87,$AS$72:$AS$87,0)-SUMIF($N$142:V142,"&lt;0",$N$142:V142)),0),),V87)</f>
        <v>0</v>
      </c>
      <c r="W86" s="781">
        <f>IF($L$86="Milestone Calculation",IFERROR(-MIN((_xlfn.XLOOKUP(W67,$AR$72:$AR$87,$AS$72:$AS$87,0)-SUMIF($N$142:W142,"&lt;0",$N$142:W142)),0),),W87)</f>
        <v>0</v>
      </c>
      <c r="X86" s="781">
        <f>IF($L$86="Milestone Calculation",IFERROR(-MIN((_xlfn.XLOOKUP(X67,$AR$72:$AR$87,$AS$72:$AS$87,0)-SUMIF($N$142:X142,"&lt;0",$N$142:X142)),0),),X87)</f>
        <v>0</v>
      </c>
      <c r="Y86" s="781">
        <f>IF($L$86="Milestone Calculation",IFERROR(-MIN((_xlfn.XLOOKUP(Y67,$AR$72:$AR$87,$AS$72:$AS$87,0)-SUMIF($N$142:Y142,"&lt;0",$N$142:Y142)),0),),Y87)</f>
        <v>0</v>
      </c>
      <c r="Z86" s="781">
        <f>IF($L$86="Milestone Calculation",IFERROR(-MIN((_xlfn.XLOOKUP(Z67,$AR$72:$AR$87,$AS$72:$AS$87,0)-SUMIF($N$142:Z142,"&lt;0",$N$142:Z142)),0),),Z87)</f>
        <v>0</v>
      </c>
      <c r="AA86" s="781">
        <f>IF($L$86="Milestone Calculation",IFERROR(-MIN((_xlfn.XLOOKUP(AA67,$AR$72:$AR$87,$AS$72:$AS$87,0)-SUMIF($N$142:AA142,"&lt;0",$N$142:AA142)),0),),AA87)</f>
        <v>0</v>
      </c>
      <c r="AB86" s="781">
        <f>IF($L$86="Milestone Calculation",IFERROR(-MIN((_xlfn.XLOOKUP(AB67,$AR$72:$AR$87,$AS$72:$AS$87,0)-SUMIF($N$142:AB142,"&lt;0",$N$142:AB142)),0),),AB87)</f>
        <v>0</v>
      </c>
      <c r="AC86" s="782">
        <f>IF($L$86="Milestone Calculation",IFERROR(-MIN((_xlfn.XLOOKUP(AC67,$AR$72:$AR$87,$AS$72:$AS$87,0)-SUMIF($N$142:AC142,"&lt;0",$N$142:AC142)),0),),AC87)</f>
        <v>0</v>
      </c>
      <c r="AD86" s="1"/>
      <c r="AE86" s="1211" t="str">
        <f>AE77</f>
        <v>PPAP Approval</v>
      </c>
      <c r="AF86" s="1212"/>
      <c r="AG86" s="1213"/>
      <c r="AH86" s="500">
        <v>47088</v>
      </c>
      <c r="AI86" s="501"/>
      <c r="AJ86" s="493">
        <f t="shared" si="56"/>
        <v>0</v>
      </c>
      <c r="AK86" s="508"/>
      <c r="AL86" s="495">
        <f t="shared" si="57"/>
        <v>0</v>
      </c>
      <c r="AM86" s="463"/>
      <c r="AN86" s="496">
        <f t="shared" si="58"/>
        <v>2028</v>
      </c>
      <c r="AO86" s="497">
        <f t="shared" si="45"/>
        <v>0</v>
      </c>
      <c r="AP86" s="498">
        <f>SUM($AO$72:$AO$79)+SUM(AO$81:AO86)</f>
        <v>0</v>
      </c>
      <c r="AQ86" s="528"/>
      <c r="AR86" s="496">
        <f t="shared" si="52"/>
        <v>2037</v>
      </c>
      <c r="AS86" s="497">
        <f t="shared" si="49"/>
        <v>0</v>
      </c>
      <c r="AT86" s="498">
        <f t="shared" si="50"/>
        <v>0</v>
      </c>
    </row>
    <row r="87" spans="9:46" s="157" customFormat="1" ht="17.25" thickBot="1" x14ac:dyDescent="0.3">
      <c r="I87" s="38" t="s">
        <v>346</v>
      </c>
      <c r="J87" s="565" t="s">
        <v>370</v>
      </c>
      <c r="K87"/>
      <c r="L87" s="529"/>
      <c r="M87" s="900"/>
      <c r="N87" s="150"/>
      <c r="O87" s="151"/>
      <c r="P87" s="151"/>
      <c r="Q87" s="151"/>
      <c r="R87" s="151"/>
      <c r="S87" s="151"/>
      <c r="T87" s="151"/>
      <c r="U87" s="151"/>
      <c r="V87" s="151"/>
      <c r="W87" s="151"/>
      <c r="X87" s="151"/>
      <c r="Y87" s="151"/>
      <c r="Z87" s="151"/>
      <c r="AA87" s="151"/>
      <c r="AB87" s="151"/>
      <c r="AC87" s="152"/>
      <c r="AE87" s="1221" t="s">
        <v>341</v>
      </c>
      <c r="AF87" s="1222"/>
      <c r="AG87" s="1223"/>
      <c r="AH87" s="502"/>
      <c r="AI87" s="503"/>
      <c r="AJ87" s="493">
        <f t="shared" si="56"/>
        <v>0</v>
      </c>
      <c r="AK87" s="509"/>
      <c r="AL87" s="495">
        <f t="shared" si="57"/>
        <v>0</v>
      </c>
      <c r="AM87" s="463"/>
      <c r="AN87" s="496">
        <f t="shared" si="58"/>
        <v>2028</v>
      </c>
      <c r="AO87" s="497">
        <f t="shared" si="45"/>
        <v>0</v>
      </c>
      <c r="AP87" s="498">
        <f>SUM($AO$72:$AO$79)+SUM(AO$81:AO87)</f>
        <v>0</v>
      </c>
      <c r="AQ87" s="516"/>
      <c r="AR87" s="496">
        <f t="shared" si="52"/>
        <v>2038</v>
      </c>
      <c r="AS87" s="497">
        <f t="shared" si="49"/>
        <v>0</v>
      </c>
      <c r="AT87" s="498">
        <f t="shared" si="50"/>
        <v>0</v>
      </c>
    </row>
    <row r="88" spans="9:46" ht="17.25" thickBot="1" x14ac:dyDescent="0.3">
      <c r="I88" s="38" t="s">
        <v>74</v>
      </c>
      <c r="J88" s="97" t="s">
        <v>75</v>
      </c>
      <c r="K88" s="137" t="s">
        <v>56</v>
      </c>
      <c r="L88" s="153">
        <f>IFERROR(AVERAGEIF(N88:AC88,"&gt;0.001",N88:AC88),)</f>
        <v>0</v>
      </c>
      <c r="N88" s="150"/>
      <c r="O88" s="151">
        <f>N88</f>
        <v>0</v>
      </c>
      <c r="P88" s="151">
        <f>O88</f>
        <v>0</v>
      </c>
      <c r="Q88" s="151">
        <f t="shared" ref="Q88:AC89" si="59">P88</f>
        <v>0</v>
      </c>
      <c r="R88" s="151">
        <f t="shared" si="59"/>
        <v>0</v>
      </c>
      <c r="S88" s="151">
        <f t="shared" si="59"/>
        <v>0</v>
      </c>
      <c r="T88" s="151">
        <f t="shared" si="59"/>
        <v>0</v>
      </c>
      <c r="U88" s="151">
        <f t="shared" si="59"/>
        <v>0</v>
      </c>
      <c r="V88" s="151">
        <f t="shared" si="59"/>
        <v>0</v>
      </c>
      <c r="W88" s="151">
        <f t="shared" si="59"/>
        <v>0</v>
      </c>
      <c r="X88" s="151">
        <f t="shared" si="59"/>
        <v>0</v>
      </c>
      <c r="Y88" s="151">
        <f t="shared" si="59"/>
        <v>0</v>
      </c>
      <c r="Z88" s="151">
        <f t="shared" si="59"/>
        <v>0</v>
      </c>
      <c r="AA88" s="151">
        <f t="shared" si="59"/>
        <v>0</v>
      </c>
      <c r="AB88" s="151">
        <f t="shared" si="59"/>
        <v>0</v>
      </c>
      <c r="AC88" s="152">
        <f t="shared" si="59"/>
        <v>0</v>
      </c>
      <c r="AD88" s="1"/>
      <c r="AE88" s="1224" t="s">
        <v>342</v>
      </c>
      <c r="AF88" s="1225"/>
      <c r="AG88" s="1225"/>
      <c r="AH88" s="1226"/>
      <c r="AI88" s="504">
        <f>SUM(AI82:AI87)</f>
        <v>1</v>
      </c>
      <c r="AJ88" s="505">
        <f>SUM(AJ82:AJ87)</f>
        <v>0</v>
      </c>
      <c r="AK88" s="504">
        <f>SUM(AK82:AK87)</f>
        <v>0</v>
      </c>
      <c r="AL88" s="506">
        <f>SUM(AL82:AL87)</f>
        <v>0</v>
      </c>
      <c r="AM88" s="463"/>
      <c r="AN88" s="510"/>
      <c r="AO88" s="526">
        <f>(AJ80+AL80)+(AJ88+AL88)-AP87</f>
        <v>0</v>
      </c>
      <c r="AP88" s="527" t="str">
        <f>IF(ABS(AO88)&lt;1,"OK","Check!")</f>
        <v>OK</v>
      </c>
      <c r="AQ88" s="516"/>
      <c r="AT88" s="351"/>
    </row>
    <row r="89" spans="9:46" ht="17.25" thickBot="1" x14ac:dyDescent="0.3">
      <c r="I89" s="38" t="s">
        <v>76</v>
      </c>
      <c r="J89" s="97" t="s">
        <v>77</v>
      </c>
      <c r="K89" s="137" t="s">
        <v>78</v>
      </c>
      <c r="L89" s="159">
        <f>IFERROR(AVERAGEIF(N89:AC89,"&gt;0.001",N89:AC89),)</f>
        <v>0</v>
      </c>
      <c r="N89" s="160"/>
      <c r="O89" s="161">
        <f>N89</f>
        <v>0</v>
      </c>
      <c r="P89" s="161">
        <f>O89</f>
        <v>0</v>
      </c>
      <c r="Q89" s="161">
        <f t="shared" si="59"/>
        <v>0</v>
      </c>
      <c r="R89" s="161">
        <f t="shared" si="59"/>
        <v>0</v>
      </c>
      <c r="S89" s="161">
        <f t="shared" si="59"/>
        <v>0</v>
      </c>
      <c r="T89" s="161">
        <f t="shared" si="59"/>
        <v>0</v>
      </c>
      <c r="U89" s="161">
        <f t="shared" si="59"/>
        <v>0</v>
      </c>
      <c r="V89" s="161">
        <f t="shared" si="59"/>
        <v>0</v>
      </c>
      <c r="W89" s="161">
        <f t="shared" si="59"/>
        <v>0</v>
      </c>
      <c r="X89" s="161">
        <f t="shared" si="59"/>
        <v>0</v>
      </c>
      <c r="Y89" s="161">
        <f t="shared" si="59"/>
        <v>0</v>
      </c>
      <c r="Z89" s="161">
        <f t="shared" si="59"/>
        <v>0</v>
      </c>
      <c r="AA89" s="161">
        <f t="shared" si="59"/>
        <v>0</v>
      </c>
      <c r="AB89" s="161">
        <f t="shared" si="59"/>
        <v>0</v>
      </c>
      <c r="AC89" s="162">
        <f t="shared" si="59"/>
        <v>0</v>
      </c>
      <c r="AD89" s="1"/>
      <c r="AE89" s="511"/>
      <c r="AF89" s="512"/>
      <c r="AG89" s="512" t="s">
        <v>343</v>
      </c>
      <c r="AH89" s="512"/>
      <c r="AI89" s="512"/>
      <c r="AJ89" s="512"/>
      <c r="AK89" s="512"/>
      <c r="AL89" s="512"/>
      <c r="AM89" s="512"/>
      <c r="AN89" s="512"/>
      <c r="AO89" s="512"/>
      <c r="AP89" s="513"/>
      <c r="AQ89" s="517"/>
      <c r="AR89" s="358"/>
      <c r="AS89" s="358"/>
      <c r="AT89" s="518"/>
    </row>
    <row r="90" spans="9:46" ht="15.75" x14ac:dyDescent="0.25">
      <c r="I90" s="38"/>
      <c r="J90" s="97"/>
      <c r="K90" s="97"/>
      <c r="L90" s="97"/>
      <c r="M90" s="97"/>
      <c r="N90" s="97"/>
      <c r="O90" s="97"/>
      <c r="P90" s="97"/>
      <c r="Q90" s="97"/>
      <c r="R90" s="97"/>
      <c r="S90" s="97"/>
      <c r="T90" s="97"/>
      <c r="U90" s="97"/>
      <c r="V90" s="97"/>
      <c r="W90" s="97"/>
      <c r="X90" s="97"/>
      <c r="Y90" s="97"/>
      <c r="Z90" s="97"/>
      <c r="AA90" s="97"/>
      <c r="AB90" s="97"/>
      <c r="AC90" s="97"/>
      <c r="AD90" s="97"/>
      <c r="AE90" s="1"/>
    </row>
    <row r="91" spans="9:46" ht="18" x14ac:dyDescent="0.25">
      <c r="I91" s="132" t="s">
        <v>79</v>
      </c>
      <c r="J91" s="33" t="s">
        <v>80</v>
      </c>
      <c r="K91" s="195"/>
      <c r="L91" s="196"/>
      <c r="N91" s="197">
        <f>N$11</f>
        <v>2024</v>
      </c>
      <c r="O91" s="133">
        <f t="shared" ref="O91:AC91" si="60">O$11</f>
        <v>2025</v>
      </c>
      <c r="P91" s="133">
        <f t="shared" si="60"/>
        <v>2026</v>
      </c>
      <c r="Q91" s="133">
        <f t="shared" si="60"/>
        <v>2027</v>
      </c>
      <c r="R91" s="133">
        <f t="shared" si="60"/>
        <v>2028</v>
      </c>
      <c r="S91" s="133">
        <f t="shared" si="60"/>
        <v>2029</v>
      </c>
      <c r="T91" s="133">
        <f t="shared" si="60"/>
        <v>2030</v>
      </c>
      <c r="U91" s="133">
        <f t="shared" si="60"/>
        <v>2031</v>
      </c>
      <c r="V91" s="133">
        <f t="shared" si="60"/>
        <v>2032</v>
      </c>
      <c r="W91" s="133">
        <f t="shared" si="60"/>
        <v>2033</v>
      </c>
      <c r="X91" s="133">
        <f t="shared" si="60"/>
        <v>2034</v>
      </c>
      <c r="Y91" s="133">
        <f t="shared" si="60"/>
        <v>2035</v>
      </c>
      <c r="Z91" s="133">
        <f t="shared" si="60"/>
        <v>2036</v>
      </c>
      <c r="AA91" s="133">
        <f t="shared" si="60"/>
        <v>2037</v>
      </c>
      <c r="AB91" s="133">
        <f t="shared" si="60"/>
        <v>2038</v>
      </c>
      <c r="AC91" s="198">
        <f t="shared" si="60"/>
        <v>2039</v>
      </c>
      <c r="AD91" s="1"/>
      <c r="AE91" s="1"/>
      <c r="AH91" s="148"/>
    </row>
    <row r="92" spans="9:46" ht="15.75" x14ac:dyDescent="0.25">
      <c r="I92" s="38"/>
      <c r="J92" s="97"/>
      <c r="K92" s="97"/>
      <c r="L92" s="97"/>
      <c r="M92" s="97"/>
      <c r="N92" s="97"/>
      <c r="O92" s="97"/>
      <c r="P92" s="97"/>
      <c r="Q92" s="97"/>
      <c r="R92" s="97"/>
      <c r="S92" s="97"/>
      <c r="T92" s="97"/>
      <c r="U92" s="97"/>
      <c r="V92" s="97"/>
      <c r="W92" s="97"/>
      <c r="X92" s="97"/>
      <c r="Y92" s="97"/>
      <c r="Z92" s="97"/>
      <c r="AA92" s="97"/>
      <c r="AB92" s="97"/>
      <c r="AC92" s="97"/>
      <c r="AD92" s="97"/>
      <c r="AE92" s="1"/>
    </row>
    <row r="93" spans="9:46" ht="18" x14ac:dyDescent="0.4">
      <c r="I93" s="38"/>
      <c r="J93" s="39" t="s">
        <v>81</v>
      </c>
      <c r="K93" s="163"/>
      <c r="L93" s="163"/>
      <c r="M93" s="163"/>
      <c r="N93" s="163"/>
      <c r="O93" s="31"/>
      <c r="P93" s="31"/>
      <c r="Q93" s="31"/>
      <c r="R93" s="31"/>
      <c r="S93" s="31"/>
      <c r="T93" s="31"/>
      <c r="U93" s="31"/>
      <c r="V93" s="31"/>
      <c r="W93" s="31"/>
      <c r="X93" s="31"/>
      <c r="Y93" s="31"/>
      <c r="Z93" s="31"/>
      <c r="AA93" s="31"/>
      <c r="AB93" s="31"/>
      <c r="AC93" s="31"/>
      <c r="AD93" s="1"/>
      <c r="AE93" s="1"/>
    </row>
    <row r="94" spans="9:46" ht="15.75" x14ac:dyDescent="0.25">
      <c r="I94" s="38"/>
      <c r="J94" s="97" t="s">
        <v>82</v>
      </c>
      <c r="K94" s="164" t="s">
        <v>83</v>
      </c>
      <c r="L94" s="901">
        <f>IFERROR(AVERAGEIF(N94:AC94,"&gt;0.001",N94:AC94),)</f>
        <v>8</v>
      </c>
      <c r="N94" s="902">
        <v>8</v>
      </c>
      <c r="O94" s="903">
        <f t="shared" ref="O94:AC95" si="61">N94</f>
        <v>8</v>
      </c>
      <c r="P94" s="903">
        <f t="shared" si="61"/>
        <v>8</v>
      </c>
      <c r="Q94" s="903">
        <f t="shared" si="61"/>
        <v>8</v>
      </c>
      <c r="R94" s="903">
        <f t="shared" si="61"/>
        <v>8</v>
      </c>
      <c r="S94" s="903">
        <f t="shared" si="61"/>
        <v>8</v>
      </c>
      <c r="T94" s="903">
        <f t="shared" si="61"/>
        <v>8</v>
      </c>
      <c r="U94" s="903">
        <f t="shared" si="61"/>
        <v>8</v>
      </c>
      <c r="V94" s="903">
        <f t="shared" si="61"/>
        <v>8</v>
      </c>
      <c r="W94" s="903">
        <f t="shared" si="61"/>
        <v>8</v>
      </c>
      <c r="X94" s="903">
        <f t="shared" si="61"/>
        <v>8</v>
      </c>
      <c r="Y94" s="903">
        <f t="shared" si="61"/>
        <v>8</v>
      </c>
      <c r="Z94" s="903">
        <f t="shared" si="61"/>
        <v>8</v>
      </c>
      <c r="AA94" s="903">
        <f t="shared" si="61"/>
        <v>8</v>
      </c>
      <c r="AB94" s="903">
        <f t="shared" si="61"/>
        <v>8</v>
      </c>
      <c r="AC94" s="904">
        <f t="shared" si="61"/>
        <v>8</v>
      </c>
      <c r="AD94" s="1"/>
      <c r="AE94" s="1"/>
    </row>
    <row r="95" spans="9:46" ht="15.75" x14ac:dyDescent="0.25">
      <c r="I95" s="38"/>
      <c r="J95" s="97" t="s">
        <v>84</v>
      </c>
      <c r="K95" s="148" t="s">
        <v>56</v>
      </c>
      <c r="L95" s="165">
        <f>IFERROR(AVERAGEIF(N95:AC95,"&gt;0.001",N95:AC95),)</f>
        <v>0.20000000000000004</v>
      </c>
      <c r="N95" s="166">
        <v>0.2</v>
      </c>
      <c r="O95" s="167">
        <f>N95</f>
        <v>0.2</v>
      </c>
      <c r="P95" s="167">
        <f t="shared" si="61"/>
        <v>0.2</v>
      </c>
      <c r="Q95" s="167">
        <f t="shared" si="61"/>
        <v>0.2</v>
      </c>
      <c r="R95" s="167">
        <f t="shared" si="61"/>
        <v>0.2</v>
      </c>
      <c r="S95" s="167">
        <f t="shared" si="61"/>
        <v>0.2</v>
      </c>
      <c r="T95" s="167">
        <f t="shared" si="61"/>
        <v>0.2</v>
      </c>
      <c r="U95" s="167">
        <f t="shared" si="61"/>
        <v>0.2</v>
      </c>
      <c r="V95" s="167">
        <f t="shared" si="61"/>
        <v>0.2</v>
      </c>
      <c r="W95" s="167">
        <f t="shared" si="61"/>
        <v>0.2</v>
      </c>
      <c r="X95" s="167">
        <f t="shared" si="61"/>
        <v>0.2</v>
      </c>
      <c r="Y95" s="167">
        <f t="shared" si="61"/>
        <v>0.2</v>
      </c>
      <c r="Z95" s="167">
        <f t="shared" si="61"/>
        <v>0.2</v>
      </c>
      <c r="AA95" s="167">
        <f t="shared" si="61"/>
        <v>0.2</v>
      </c>
      <c r="AB95" s="167">
        <f t="shared" si="61"/>
        <v>0.2</v>
      </c>
      <c r="AC95" s="168">
        <f t="shared" si="61"/>
        <v>0.2</v>
      </c>
      <c r="AD95" s="1"/>
      <c r="AE95" s="148"/>
      <c r="AF95" s="148"/>
    </row>
    <row r="96" spans="9:46" ht="15.75" x14ac:dyDescent="0.25">
      <c r="I96" s="38"/>
      <c r="J96" s="97"/>
      <c r="K96" s="148"/>
      <c r="L96" s="148"/>
      <c r="M96" s="148"/>
      <c r="N96" s="148"/>
      <c r="Q96" s="148"/>
      <c r="R96" s="148"/>
      <c r="S96" s="148"/>
      <c r="T96" s="148"/>
      <c r="U96" s="148"/>
      <c r="V96" s="148"/>
      <c r="W96" s="148"/>
      <c r="X96" s="148"/>
      <c r="Y96" s="148"/>
      <c r="Z96" s="148"/>
      <c r="AA96" s="148"/>
      <c r="AB96" s="148"/>
      <c r="AC96" s="148"/>
      <c r="AD96" s="148"/>
      <c r="AE96" s="1"/>
    </row>
    <row r="97" spans="9:31" ht="18" outlineLevel="1" x14ac:dyDescent="0.4">
      <c r="I97" s="38"/>
      <c r="J97" s="39" t="s">
        <v>85</v>
      </c>
      <c r="K97" s="169"/>
      <c r="L97" s="31"/>
      <c r="N97" s="170" t="s">
        <v>86</v>
      </c>
      <c r="O97" s="171" t="str">
        <f>L39</f>
        <v/>
      </c>
      <c r="Q97" s="170" t="str">
        <f>"Proj NPV @"&amp;L98*100&amp;"%"</f>
        <v>Proj NPV @15%</v>
      </c>
      <c r="R97" s="172">
        <f>L36</f>
        <v>0</v>
      </c>
      <c r="T97" s="170" t="s">
        <v>87</v>
      </c>
      <c r="U97" s="173" t="str">
        <f>IFERROR(ROUND(L34/L65,1),"")</f>
        <v/>
      </c>
      <c r="V97" s="174"/>
      <c r="W97" s="174"/>
      <c r="X97" s="174"/>
      <c r="Y97" s="174"/>
      <c r="Z97" s="174"/>
      <c r="AA97" s="174"/>
      <c r="AB97" s="174"/>
      <c r="AC97" s="174"/>
      <c r="AD97" s="1"/>
      <c r="AE97" s="1"/>
    </row>
    <row r="98" spans="9:31" ht="15.75" outlineLevel="1" x14ac:dyDescent="0.25">
      <c r="I98" s="38"/>
      <c r="J98" s="97" t="s">
        <v>88</v>
      </c>
      <c r="K98" s="169"/>
      <c r="L98" s="175">
        <v>0.15</v>
      </c>
      <c r="W98" s="31"/>
      <c r="X98" s="31"/>
      <c r="Y98" s="31"/>
      <c r="Z98" s="31"/>
      <c r="AA98" s="31"/>
      <c r="AB98" s="31"/>
      <c r="AC98" s="31"/>
      <c r="AD98" s="1"/>
      <c r="AE98" s="1"/>
    </row>
    <row r="99" spans="9:31" ht="15.75" outlineLevel="1" x14ac:dyDescent="0.25">
      <c r="I99" s="38"/>
      <c r="J99" s="97" t="s">
        <v>89</v>
      </c>
      <c r="K99" s="169"/>
      <c r="L99" s="176" t="s">
        <v>90</v>
      </c>
      <c r="N99" s="31"/>
      <c r="O99" s="31"/>
      <c r="P99" s="31"/>
      <c r="Q99" s="31"/>
      <c r="R99" s="31"/>
      <c r="S99" s="31"/>
      <c r="T99" s="31"/>
      <c r="U99" s="31"/>
      <c r="V99" s="31"/>
      <c r="W99" s="31"/>
      <c r="X99" s="31"/>
      <c r="Y99" s="31"/>
      <c r="Z99" s="31"/>
      <c r="AA99" s="31"/>
      <c r="AB99" s="31"/>
      <c r="AC99" s="31"/>
      <c r="AD99" s="1"/>
      <c r="AE99" s="1"/>
    </row>
    <row r="100" spans="9:31" ht="15.75" outlineLevel="1" x14ac:dyDescent="0.25">
      <c r="I100" s="38"/>
      <c r="J100" s="97" t="s">
        <v>91</v>
      </c>
      <c r="K100" s="148" t="s">
        <v>56</v>
      </c>
      <c r="L100" s="177">
        <f>IFERROR(AVERAGEIF(N100:AC100,"&gt;0.001",N100:AC100),)</f>
        <v>7.0000000000000034E-2</v>
      </c>
      <c r="N100" s="178">
        <v>7.0000000000000007E-2</v>
      </c>
      <c r="O100" s="179">
        <f t="shared" ref="O100:AC100" si="62">N100</f>
        <v>7.0000000000000007E-2</v>
      </c>
      <c r="P100" s="179">
        <f t="shared" si="62"/>
        <v>7.0000000000000007E-2</v>
      </c>
      <c r="Q100" s="179">
        <f t="shared" si="62"/>
        <v>7.0000000000000007E-2</v>
      </c>
      <c r="R100" s="179">
        <f t="shared" si="62"/>
        <v>7.0000000000000007E-2</v>
      </c>
      <c r="S100" s="179">
        <f t="shared" si="62"/>
        <v>7.0000000000000007E-2</v>
      </c>
      <c r="T100" s="179">
        <f t="shared" si="62"/>
        <v>7.0000000000000007E-2</v>
      </c>
      <c r="U100" s="179">
        <f t="shared" si="62"/>
        <v>7.0000000000000007E-2</v>
      </c>
      <c r="V100" s="179">
        <f t="shared" si="62"/>
        <v>7.0000000000000007E-2</v>
      </c>
      <c r="W100" s="179">
        <f t="shared" si="62"/>
        <v>7.0000000000000007E-2</v>
      </c>
      <c r="X100" s="179">
        <f t="shared" si="62"/>
        <v>7.0000000000000007E-2</v>
      </c>
      <c r="Y100" s="179">
        <f t="shared" si="62"/>
        <v>7.0000000000000007E-2</v>
      </c>
      <c r="Z100" s="179">
        <f t="shared" si="62"/>
        <v>7.0000000000000007E-2</v>
      </c>
      <c r="AA100" s="179">
        <f t="shared" si="62"/>
        <v>7.0000000000000007E-2</v>
      </c>
      <c r="AB100" s="179">
        <f t="shared" si="62"/>
        <v>7.0000000000000007E-2</v>
      </c>
      <c r="AC100" s="180">
        <f t="shared" si="62"/>
        <v>7.0000000000000007E-2</v>
      </c>
      <c r="AD100" s="1"/>
      <c r="AE100" s="1"/>
    </row>
    <row r="101" spans="9:31" ht="15.75" outlineLevel="1" x14ac:dyDescent="0.25">
      <c r="I101" s="38"/>
      <c r="J101" s="97" t="s">
        <v>92</v>
      </c>
      <c r="K101" s="148" t="s">
        <v>93</v>
      </c>
      <c r="L101" s="98" t="str">
        <f>IF(ABS(SUM(N101:AC101))=0,"OK, fully repaid","Error, must fully repay")</f>
        <v>OK, fully repaid</v>
      </c>
      <c r="N101" s="181"/>
      <c r="O101" s="182"/>
      <c r="P101" s="182"/>
      <c r="Q101" s="182"/>
      <c r="R101" s="182"/>
      <c r="S101" s="182"/>
      <c r="T101" s="182"/>
      <c r="U101" s="182"/>
      <c r="V101" s="182"/>
      <c r="W101" s="182"/>
      <c r="X101" s="182"/>
      <c r="Y101" s="182"/>
      <c r="Z101" s="182"/>
      <c r="AA101" s="182"/>
      <c r="AB101" s="182"/>
      <c r="AC101" s="183"/>
      <c r="AD101" s="1"/>
      <c r="AE101" s="1"/>
    </row>
    <row r="102" spans="9:31" ht="15.75" outlineLevel="1" x14ac:dyDescent="0.25">
      <c r="I102" s="38"/>
      <c r="J102" s="97" t="s">
        <v>94</v>
      </c>
      <c r="K102" s="169"/>
      <c r="L102" s="184"/>
      <c r="N102" s="905">
        <f t="shared" ref="N102:AC102" si="63">N235</f>
        <v>0</v>
      </c>
      <c r="O102" s="906">
        <f t="shared" si="63"/>
        <v>0</v>
      </c>
      <c r="P102" s="906">
        <f t="shared" si="63"/>
        <v>0</v>
      </c>
      <c r="Q102" s="906">
        <f t="shared" si="63"/>
        <v>0</v>
      </c>
      <c r="R102" s="906">
        <f t="shared" si="63"/>
        <v>0</v>
      </c>
      <c r="S102" s="906">
        <f t="shared" si="63"/>
        <v>0</v>
      </c>
      <c r="T102" s="906">
        <f t="shared" si="63"/>
        <v>0</v>
      </c>
      <c r="U102" s="906">
        <f t="shared" si="63"/>
        <v>0</v>
      </c>
      <c r="V102" s="906">
        <f t="shared" si="63"/>
        <v>0</v>
      </c>
      <c r="W102" s="906">
        <f t="shared" si="63"/>
        <v>0</v>
      </c>
      <c r="X102" s="906">
        <f t="shared" si="63"/>
        <v>0</v>
      </c>
      <c r="Y102" s="906">
        <f t="shared" si="63"/>
        <v>0</v>
      </c>
      <c r="Z102" s="906">
        <f t="shared" si="63"/>
        <v>0</v>
      </c>
      <c r="AA102" s="906">
        <f t="shared" si="63"/>
        <v>0</v>
      </c>
      <c r="AB102" s="906">
        <f t="shared" si="63"/>
        <v>0</v>
      </c>
      <c r="AC102" s="907">
        <f t="shared" si="63"/>
        <v>0</v>
      </c>
      <c r="AD102" s="1"/>
      <c r="AE102" s="1"/>
    </row>
    <row r="103" spans="9:31" ht="15.75" outlineLevel="1" x14ac:dyDescent="0.25">
      <c r="I103" s="38"/>
      <c r="J103" s="97" t="s">
        <v>95</v>
      </c>
      <c r="K103" s="169"/>
      <c r="L103" s="184"/>
      <c r="N103" s="908">
        <f t="shared" ref="N103:AC103" si="64">N199</f>
        <v>0</v>
      </c>
      <c r="O103" s="909">
        <f t="shared" si="64"/>
        <v>0</v>
      </c>
      <c r="P103" s="909">
        <f t="shared" si="64"/>
        <v>0</v>
      </c>
      <c r="Q103" s="909">
        <f t="shared" si="64"/>
        <v>0</v>
      </c>
      <c r="R103" s="909">
        <f t="shared" si="64"/>
        <v>0</v>
      </c>
      <c r="S103" s="909">
        <f t="shared" si="64"/>
        <v>0</v>
      </c>
      <c r="T103" s="909">
        <f t="shared" si="64"/>
        <v>0</v>
      </c>
      <c r="U103" s="909">
        <f t="shared" si="64"/>
        <v>0</v>
      </c>
      <c r="V103" s="909">
        <f t="shared" si="64"/>
        <v>0</v>
      </c>
      <c r="W103" s="909">
        <f t="shared" si="64"/>
        <v>0</v>
      </c>
      <c r="X103" s="909">
        <f t="shared" si="64"/>
        <v>0</v>
      </c>
      <c r="Y103" s="909">
        <f t="shared" si="64"/>
        <v>0</v>
      </c>
      <c r="Z103" s="909">
        <f t="shared" si="64"/>
        <v>0</v>
      </c>
      <c r="AA103" s="909">
        <f t="shared" si="64"/>
        <v>0</v>
      </c>
      <c r="AB103" s="909">
        <f t="shared" si="64"/>
        <v>0</v>
      </c>
      <c r="AC103" s="910">
        <f t="shared" si="64"/>
        <v>0</v>
      </c>
      <c r="AD103" s="1"/>
      <c r="AE103" s="1"/>
    </row>
    <row r="104" spans="9:31" ht="15.75" outlineLevel="1" x14ac:dyDescent="0.25">
      <c r="I104" s="38"/>
      <c r="J104" s="97"/>
      <c r="K104" s="169"/>
      <c r="L104" s="184"/>
      <c r="N104" s="97"/>
      <c r="O104" s="97"/>
      <c r="P104" s="97"/>
      <c r="Q104" s="97"/>
      <c r="R104" s="97"/>
      <c r="S104" s="97"/>
      <c r="T104" s="97"/>
      <c r="U104" s="97"/>
      <c r="V104" s="97"/>
      <c r="W104" s="97"/>
      <c r="X104" s="97"/>
      <c r="Y104" s="97"/>
      <c r="Z104" s="97"/>
      <c r="AA104" s="97"/>
      <c r="AB104" s="97"/>
      <c r="AC104" s="97"/>
      <c r="AD104" s="1"/>
      <c r="AE104" s="1"/>
    </row>
    <row r="105" spans="9:31" ht="18" outlineLevel="1" x14ac:dyDescent="0.2">
      <c r="I105" s="104" t="s">
        <v>96</v>
      </c>
      <c r="J105" s="105" t="s">
        <v>97</v>
      </c>
      <c r="K105" s="105"/>
      <c r="L105" s="105"/>
      <c r="M105" s="106"/>
      <c r="N105" s="107"/>
      <c r="O105" s="107"/>
      <c r="P105" s="107"/>
      <c r="Q105" s="107"/>
      <c r="R105" s="107"/>
      <c r="S105" s="107"/>
      <c r="T105" s="107"/>
      <c r="U105" s="107"/>
      <c r="V105" s="107"/>
      <c r="W105" s="107"/>
      <c r="X105" s="107"/>
      <c r="Y105" s="107"/>
      <c r="Z105" s="107"/>
      <c r="AA105" s="107"/>
      <c r="AB105" s="107"/>
      <c r="AC105" s="107"/>
      <c r="AD105" s="1"/>
      <c r="AE105" s="1"/>
    </row>
    <row r="106" spans="9:31" ht="15.75" outlineLevel="1" x14ac:dyDescent="0.25">
      <c r="I106" s="38"/>
      <c r="J106" s="97"/>
      <c r="K106" s="169"/>
      <c r="L106"/>
      <c r="N106" s="97"/>
      <c r="O106" s="97"/>
      <c r="P106" s="97"/>
      <c r="Q106" s="97"/>
      <c r="R106" s="97"/>
      <c r="S106" s="97"/>
      <c r="T106" s="97"/>
      <c r="U106" s="97"/>
      <c r="V106" s="97"/>
      <c r="W106" s="97"/>
      <c r="X106" s="97"/>
      <c r="Y106" s="97"/>
      <c r="Z106" s="97"/>
      <c r="AA106" s="97"/>
      <c r="AB106" s="97"/>
      <c r="AC106" s="97"/>
      <c r="AD106" s="1"/>
      <c r="AE106" s="1"/>
    </row>
    <row r="107" spans="9:31" ht="21" customHeight="1" outlineLevel="1" x14ac:dyDescent="0.4">
      <c r="I107" s="38"/>
      <c r="J107" s="39" t="s">
        <v>98</v>
      </c>
      <c r="K107" s="169" t="s">
        <v>99</v>
      </c>
      <c r="L107"/>
      <c r="O107" s="47" t="s">
        <v>100</v>
      </c>
      <c r="P107" s="188" t="s">
        <v>90</v>
      </c>
      <c r="Q107" s="97"/>
      <c r="R107" s="97"/>
      <c r="S107" s="97"/>
      <c r="T107" s="97"/>
      <c r="U107" s="97"/>
      <c r="V107" s="97"/>
      <c r="W107" s="97"/>
      <c r="X107" s="97"/>
      <c r="Y107" s="97"/>
      <c r="Z107" s="97"/>
      <c r="AA107" s="97"/>
      <c r="AB107" s="97"/>
      <c r="AC107" s="97"/>
      <c r="AD107" s="1"/>
      <c r="AE107" s="1"/>
    </row>
    <row r="108" spans="9:31" ht="15.75" outlineLevel="1" x14ac:dyDescent="0.25">
      <c r="I108" s="38" t="s">
        <v>72</v>
      </c>
      <c r="J108" s="97" t="s">
        <v>101</v>
      </c>
      <c r="K108" s="189">
        <v>45</v>
      </c>
      <c r="L108"/>
      <c r="N108" s="911">
        <f t="shared" ref="N108:AC108" si="65">MAX(N200-N118*IF(N78&lt;$K$108,N78,$K$108)/N78,)</f>
        <v>0</v>
      </c>
      <c r="O108" s="912">
        <f t="shared" si="65"/>
        <v>0</v>
      </c>
      <c r="P108" s="912">
        <f t="shared" si="65"/>
        <v>0</v>
      </c>
      <c r="Q108" s="912">
        <f t="shared" si="65"/>
        <v>0</v>
      </c>
      <c r="R108" s="912">
        <f t="shared" si="65"/>
        <v>0</v>
      </c>
      <c r="S108" s="912">
        <f t="shared" si="65"/>
        <v>0</v>
      </c>
      <c r="T108" s="912">
        <f t="shared" si="65"/>
        <v>0</v>
      </c>
      <c r="U108" s="912">
        <f t="shared" si="65"/>
        <v>0</v>
      </c>
      <c r="V108" s="912">
        <f t="shared" si="65"/>
        <v>0</v>
      </c>
      <c r="W108" s="912">
        <f t="shared" si="65"/>
        <v>0</v>
      </c>
      <c r="X108" s="912">
        <f t="shared" si="65"/>
        <v>0</v>
      </c>
      <c r="Y108" s="912">
        <f t="shared" si="65"/>
        <v>0</v>
      </c>
      <c r="Z108" s="912">
        <f t="shared" si="65"/>
        <v>0</v>
      </c>
      <c r="AA108" s="912">
        <f t="shared" si="65"/>
        <v>0</v>
      </c>
      <c r="AB108" s="912">
        <f t="shared" si="65"/>
        <v>0</v>
      </c>
      <c r="AC108" s="913">
        <f t="shared" si="65"/>
        <v>0</v>
      </c>
      <c r="AD108" s="1"/>
      <c r="AE108" s="1"/>
    </row>
    <row r="109" spans="9:31" ht="15.75" outlineLevel="1" x14ac:dyDescent="0.25">
      <c r="I109" s="38" t="s">
        <v>74</v>
      </c>
      <c r="J109" s="97" t="s">
        <v>102</v>
      </c>
      <c r="K109" s="190">
        <v>30</v>
      </c>
      <c r="L109"/>
      <c r="N109" s="794">
        <f t="shared" ref="N109:AC109" si="66">MAX(SUM(N203,N201)-(-(SUM(N119:N123)+SUM(N126:N129)*50%)*IF(N78&lt;$K$109,N78,$K$109)/N78),0)</f>
        <v>0</v>
      </c>
      <c r="O109" s="914">
        <f t="shared" si="66"/>
        <v>0</v>
      </c>
      <c r="P109" s="914">
        <f t="shared" si="66"/>
        <v>0</v>
      </c>
      <c r="Q109" s="914">
        <f t="shared" si="66"/>
        <v>0</v>
      </c>
      <c r="R109" s="914">
        <f t="shared" si="66"/>
        <v>0</v>
      </c>
      <c r="S109" s="914">
        <f t="shared" si="66"/>
        <v>0</v>
      </c>
      <c r="T109" s="914">
        <f t="shared" si="66"/>
        <v>0</v>
      </c>
      <c r="U109" s="914">
        <f t="shared" si="66"/>
        <v>0</v>
      </c>
      <c r="V109" s="914">
        <f t="shared" si="66"/>
        <v>0</v>
      </c>
      <c r="W109" s="914">
        <f t="shared" si="66"/>
        <v>0</v>
      </c>
      <c r="X109" s="914">
        <f t="shared" si="66"/>
        <v>0</v>
      </c>
      <c r="Y109" s="914">
        <f t="shared" si="66"/>
        <v>0</v>
      </c>
      <c r="Z109" s="914">
        <f t="shared" si="66"/>
        <v>0</v>
      </c>
      <c r="AA109" s="914">
        <f t="shared" si="66"/>
        <v>0</v>
      </c>
      <c r="AB109" s="914">
        <f t="shared" si="66"/>
        <v>0</v>
      </c>
      <c r="AC109" s="915">
        <f t="shared" si="66"/>
        <v>0</v>
      </c>
      <c r="AD109" s="1"/>
      <c r="AE109" s="1"/>
    </row>
    <row r="110" spans="9:31" ht="15.75" outlineLevel="1" x14ac:dyDescent="0.25">
      <c r="I110" s="38" t="s">
        <v>76</v>
      </c>
      <c r="J110" s="97" t="s">
        <v>103</v>
      </c>
      <c r="K110" s="191">
        <v>60</v>
      </c>
      <c r="L110"/>
      <c r="N110" s="916">
        <f t="shared" ref="N110:AC110" si="67">IF(SUM(N108:N109)&gt;0,MAX(-N211-((SUM(N119:N123)+SUM(N127,N129))*IF(N78&lt;$K$110,N78,$K$110)/N78),-SUM(N108:N109)),0)</f>
        <v>0</v>
      </c>
      <c r="O110" s="917">
        <f t="shared" si="67"/>
        <v>0</v>
      </c>
      <c r="P110" s="917">
        <f t="shared" si="67"/>
        <v>0</v>
      </c>
      <c r="Q110" s="917">
        <f t="shared" si="67"/>
        <v>0</v>
      </c>
      <c r="R110" s="917">
        <f t="shared" si="67"/>
        <v>0</v>
      </c>
      <c r="S110" s="917">
        <f t="shared" si="67"/>
        <v>0</v>
      </c>
      <c r="T110" s="917">
        <f t="shared" si="67"/>
        <v>0</v>
      </c>
      <c r="U110" s="917">
        <f t="shared" si="67"/>
        <v>0</v>
      </c>
      <c r="V110" s="917">
        <f t="shared" si="67"/>
        <v>0</v>
      </c>
      <c r="W110" s="917">
        <f t="shared" si="67"/>
        <v>0</v>
      </c>
      <c r="X110" s="917">
        <f t="shared" si="67"/>
        <v>0</v>
      </c>
      <c r="Y110" s="917">
        <f t="shared" si="67"/>
        <v>0</v>
      </c>
      <c r="Z110" s="917">
        <f t="shared" si="67"/>
        <v>0</v>
      </c>
      <c r="AA110" s="917">
        <f t="shared" si="67"/>
        <v>0</v>
      </c>
      <c r="AB110" s="917">
        <f t="shared" si="67"/>
        <v>0</v>
      </c>
      <c r="AC110" s="918">
        <f t="shared" si="67"/>
        <v>0</v>
      </c>
      <c r="AD110" s="1"/>
      <c r="AE110" s="1"/>
    </row>
    <row r="111" spans="9:31" ht="15.75" outlineLevel="1" x14ac:dyDescent="0.25">
      <c r="I111" s="38" t="s">
        <v>62</v>
      </c>
      <c r="J111" s="192" t="s">
        <v>104</v>
      </c>
      <c r="K111" s="148"/>
      <c r="L111"/>
      <c r="N111" s="919">
        <f>MAX(SUM(N108:N110),0)</f>
        <v>0</v>
      </c>
      <c r="O111" s="920">
        <f t="shared" ref="O111:AC111" si="68">MAX(SUM(O108:O110),0)</f>
        <v>0</v>
      </c>
      <c r="P111" s="920">
        <f t="shared" si="68"/>
        <v>0</v>
      </c>
      <c r="Q111" s="920">
        <f t="shared" si="68"/>
        <v>0</v>
      </c>
      <c r="R111" s="920">
        <f t="shared" si="68"/>
        <v>0</v>
      </c>
      <c r="S111" s="920">
        <f t="shared" si="68"/>
        <v>0</v>
      </c>
      <c r="T111" s="920">
        <f t="shared" si="68"/>
        <v>0</v>
      </c>
      <c r="U111" s="920">
        <f t="shared" si="68"/>
        <v>0</v>
      </c>
      <c r="V111" s="920">
        <f t="shared" si="68"/>
        <v>0</v>
      </c>
      <c r="W111" s="920">
        <f t="shared" si="68"/>
        <v>0</v>
      </c>
      <c r="X111" s="920">
        <f t="shared" si="68"/>
        <v>0</v>
      </c>
      <c r="Y111" s="920">
        <f t="shared" si="68"/>
        <v>0</v>
      </c>
      <c r="Z111" s="920">
        <f t="shared" si="68"/>
        <v>0</v>
      </c>
      <c r="AA111" s="920">
        <f t="shared" si="68"/>
        <v>0</v>
      </c>
      <c r="AB111" s="920">
        <f t="shared" si="68"/>
        <v>0</v>
      </c>
      <c r="AC111" s="921">
        <f t="shared" si="68"/>
        <v>0</v>
      </c>
      <c r="AD111" s="1"/>
      <c r="AE111" s="1"/>
    </row>
    <row r="112" spans="9:31" outlineLevel="1" x14ac:dyDescent="0.3">
      <c r="I112" s="99"/>
      <c r="K112" s="193"/>
      <c r="N112" s="194"/>
      <c r="O112" s="194"/>
      <c r="P112" s="194"/>
      <c r="Q112" s="194"/>
      <c r="R112" s="194"/>
      <c r="S112" s="194"/>
      <c r="T112" s="194"/>
      <c r="U112" s="194"/>
      <c r="V112" s="194"/>
      <c r="W112" s="194"/>
      <c r="X112" s="194"/>
      <c r="Y112" s="194"/>
      <c r="Z112" s="194"/>
      <c r="AA112" s="194"/>
      <c r="AB112" s="194"/>
      <c r="AC112" s="194"/>
      <c r="AD112" s="1"/>
      <c r="AE112" s="1"/>
    </row>
    <row r="113" spans="8:58" ht="18" x14ac:dyDescent="0.2">
      <c r="I113" s="132">
        <v>3</v>
      </c>
      <c r="J113" s="33" t="s">
        <v>283</v>
      </c>
      <c r="K113" s="195" t="s">
        <v>8</v>
      </c>
      <c r="L113" s="196"/>
      <c r="N113" s="197">
        <f>N$11</f>
        <v>2024</v>
      </c>
      <c r="O113" s="133">
        <f t="shared" ref="O113:AC113" si="69">O$11</f>
        <v>2025</v>
      </c>
      <c r="P113" s="133">
        <f t="shared" si="69"/>
        <v>2026</v>
      </c>
      <c r="Q113" s="133">
        <f t="shared" si="69"/>
        <v>2027</v>
      </c>
      <c r="R113" s="133">
        <f t="shared" si="69"/>
        <v>2028</v>
      </c>
      <c r="S113" s="133">
        <f t="shared" si="69"/>
        <v>2029</v>
      </c>
      <c r="T113" s="133">
        <f t="shared" si="69"/>
        <v>2030</v>
      </c>
      <c r="U113" s="133">
        <f t="shared" si="69"/>
        <v>2031</v>
      </c>
      <c r="V113" s="133">
        <f t="shared" si="69"/>
        <v>2032</v>
      </c>
      <c r="W113" s="133">
        <f t="shared" si="69"/>
        <v>2033</v>
      </c>
      <c r="X113" s="133">
        <f t="shared" si="69"/>
        <v>2034</v>
      </c>
      <c r="Y113" s="133">
        <f t="shared" si="69"/>
        <v>2035</v>
      </c>
      <c r="Z113" s="133">
        <f t="shared" si="69"/>
        <v>2036</v>
      </c>
      <c r="AA113" s="133">
        <f t="shared" si="69"/>
        <v>2037</v>
      </c>
      <c r="AB113" s="133">
        <f t="shared" si="69"/>
        <v>2038</v>
      </c>
      <c r="AC113" s="198">
        <f t="shared" si="69"/>
        <v>2039</v>
      </c>
      <c r="AD113" s="1"/>
      <c r="AE113" s="1"/>
    </row>
    <row r="114" spans="8:58" ht="21.4" customHeight="1" x14ac:dyDescent="0.2">
      <c r="I114" s="199" t="e">
        <f>INDEX($J$118:$AC$171,MATCH(#REF!,$J$118:$J$171,0),MATCH($I$118,$J$118:$AC$118,0))</f>
        <v>#REF!</v>
      </c>
      <c r="J114" s="449" t="s">
        <v>105</v>
      </c>
      <c r="K114" s="1"/>
      <c r="AC114" s="201"/>
      <c r="AD114" s="1"/>
      <c r="AE114" s="1"/>
    </row>
    <row r="115" spans="8:58" s="4" customFormat="1" ht="15.75" x14ac:dyDescent="0.25">
      <c r="H115" s="1"/>
      <c r="I115" s="202"/>
      <c r="J115" s="447" t="s">
        <v>286</v>
      </c>
      <c r="K115" s="452">
        <f>SUM(N115:AC115)</f>
        <v>0</v>
      </c>
      <c r="L115" s="451" t="s">
        <v>287</v>
      </c>
      <c r="N115" s="1054"/>
      <c r="O115" s="1054"/>
      <c r="P115" s="1054"/>
      <c r="Q115" s="1054"/>
      <c r="R115" s="1054"/>
      <c r="S115" s="1054"/>
      <c r="T115" s="1054"/>
      <c r="U115" s="1054"/>
      <c r="V115" s="1054"/>
      <c r="W115" s="1054"/>
      <c r="X115" s="1054"/>
      <c r="Y115" s="1054"/>
      <c r="Z115" s="1054"/>
      <c r="AA115" s="1054"/>
      <c r="AB115" s="1054"/>
      <c r="AC115" s="1055"/>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row>
    <row r="116" spans="8:58" s="4" customFormat="1" ht="15.75" x14ac:dyDescent="0.25">
      <c r="H116" s="1"/>
      <c r="I116" s="202"/>
      <c r="J116" s="448" t="s">
        <v>386</v>
      </c>
      <c r="K116" s="922">
        <f>IFERROR(K118/K115,)</f>
        <v>0</v>
      </c>
      <c r="L116" s="923" t="s">
        <v>300</v>
      </c>
      <c r="M116" s="924"/>
      <c r="N116" s="1009"/>
      <c r="O116" s="1009"/>
      <c r="P116" s="1009"/>
      <c r="Q116" s="1009"/>
      <c r="R116" s="1009"/>
      <c r="S116" s="1009"/>
      <c r="T116" s="1009"/>
      <c r="U116" s="1009"/>
      <c r="V116" s="1009"/>
      <c r="W116" s="1009"/>
      <c r="X116" s="1009"/>
      <c r="Y116" s="1009"/>
      <c r="Z116" s="1009"/>
      <c r="AA116" s="1009"/>
      <c r="AB116" s="1009"/>
      <c r="AC116" s="1010"/>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row>
    <row r="117" spans="8:58" ht="7.9" customHeight="1" x14ac:dyDescent="0.2">
      <c r="I117" s="199"/>
      <c r="J117" s="200"/>
      <c r="K117" s="1"/>
      <c r="N117" s="750"/>
      <c r="O117" s="750"/>
      <c r="P117" s="750"/>
      <c r="Q117" s="750"/>
      <c r="R117" s="750"/>
      <c r="S117" s="750"/>
      <c r="T117" s="750"/>
      <c r="U117" s="750"/>
      <c r="V117" s="750"/>
      <c r="W117" s="750"/>
      <c r="X117" s="750"/>
      <c r="Y117" s="750"/>
      <c r="Z117" s="750"/>
      <c r="AA117" s="750"/>
      <c r="AB117" s="750"/>
      <c r="AC117" s="800"/>
      <c r="AD117" s="1"/>
      <c r="AE117" s="1"/>
    </row>
    <row r="118" spans="8:58" s="4" customFormat="1" ht="22.5" customHeight="1" x14ac:dyDescent="0.25">
      <c r="H118" s="1"/>
      <c r="I118" s="202">
        <f>MAX(N118:AC118)</f>
        <v>0</v>
      </c>
      <c r="J118" s="203" t="s">
        <v>12</v>
      </c>
      <c r="K118" s="810">
        <f>SUM(N118:AC118)</f>
        <v>0</v>
      </c>
      <c r="L118" s="204" t="s">
        <v>106</v>
      </c>
      <c r="N118" s="1052">
        <f>N116*N115</f>
        <v>0</v>
      </c>
      <c r="O118" s="1052">
        <f t="shared" ref="O118:V118" si="70">O116*O115</f>
        <v>0</v>
      </c>
      <c r="P118" s="1052">
        <f t="shared" si="70"/>
        <v>0</v>
      </c>
      <c r="Q118" s="1052">
        <f t="shared" si="70"/>
        <v>0</v>
      </c>
      <c r="R118" s="1052">
        <f t="shared" si="70"/>
        <v>0</v>
      </c>
      <c r="S118" s="1052">
        <f t="shared" si="70"/>
        <v>0</v>
      </c>
      <c r="T118" s="1052">
        <f t="shared" si="70"/>
        <v>0</v>
      </c>
      <c r="U118" s="1052">
        <f t="shared" si="70"/>
        <v>0</v>
      </c>
      <c r="V118" s="1052">
        <f t="shared" si="70"/>
        <v>0</v>
      </c>
      <c r="W118" s="1052">
        <f>W116*W115</f>
        <v>0</v>
      </c>
      <c r="X118" s="1052">
        <f t="shared" ref="X118:AB118" si="71">X116*X115</f>
        <v>0</v>
      </c>
      <c r="Y118" s="1052">
        <f t="shared" si="71"/>
        <v>0</v>
      </c>
      <c r="Z118" s="1052">
        <f t="shared" si="71"/>
        <v>0</v>
      </c>
      <c r="AA118" s="1052">
        <f t="shared" si="71"/>
        <v>0</v>
      </c>
      <c r="AB118" s="1052">
        <f t="shared" si="71"/>
        <v>0</v>
      </c>
      <c r="AC118" s="1053"/>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row>
    <row r="119" spans="8:58" s="4" customFormat="1" ht="15.75" x14ac:dyDescent="0.25">
      <c r="H119" s="1"/>
      <c r="I119" s="202">
        <f>INDEX($J$118:$AC$171,MATCH($J119,$J$118:$J$171,0),MATCH($I$118,$J$118:$AC$118,0))</f>
        <v>0</v>
      </c>
      <c r="J119" s="97" t="s">
        <v>107</v>
      </c>
      <c r="K119" s="811">
        <f>SUM(N119:AC119)</f>
        <v>0</v>
      </c>
      <c r="L119" s="221">
        <f t="shared" ref="L119:L124" si="72">IFERROR(K119/$K$118,)</f>
        <v>0</v>
      </c>
      <c r="N119" s="1004"/>
      <c r="O119" s="1005"/>
      <c r="P119" s="1005"/>
      <c r="Q119" s="1006"/>
      <c r="R119" s="1006"/>
      <c r="S119" s="1006"/>
      <c r="T119" s="1006"/>
      <c r="U119" s="1006"/>
      <c r="V119" s="1006"/>
      <c r="W119" s="1006"/>
      <c r="X119" s="1006"/>
      <c r="Y119" s="1006"/>
      <c r="Z119" s="1006"/>
      <c r="AA119" s="1006"/>
      <c r="AB119" s="1006"/>
      <c r="AC119" s="1007"/>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row>
    <row r="120" spans="8:58" s="4" customFormat="1" ht="15.75" x14ac:dyDescent="0.25">
      <c r="H120" s="1"/>
      <c r="I120" s="202"/>
      <c r="J120" s="97" t="s">
        <v>108</v>
      </c>
      <c r="K120" s="812">
        <f t="shared" ref="K120:K132" si="73">SUM(N120:AC120)</f>
        <v>0</v>
      </c>
      <c r="L120" s="221">
        <f t="shared" si="72"/>
        <v>0</v>
      </c>
      <c r="N120" s="1004"/>
      <c r="O120" s="1005"/>
      <c r="P120" s="1005"/>
      <c r="Q120" s="1006"/>
      <c r="R120" s="1006"/>
      <c r="S120" s="1006"/>
      <c r="T120" s="1006"/>
      <c r="U120" s="1006"/>
      <c r="V120" s="1006"/>
      <c r="W120" s="1006"/>
      <c r="X120" s="1006"/>
      <c r="Y120" s="1006"/>
      <c r="Z120" s="1006"/>
      <c r="AA120" s="1006"/>
      <c r="AB120" s="1006"/>
      <c r="AC120" s="1007"/>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row>
    <row r="121" spans="8:58" s="4" customFormat="1" ht="15.75" x14ac:dyDescent="0.25">
      <c r="H121" s="1"/>
      <c r="I121" s="202"/>
      <c r="J121" s="97" t="s">
        <v>109</v>
      </c>
      <c r="K121" s="812">
        <f t="shared" si="73"/>
        <v>0</v>
      </c>
      <c r="L121" s="221">
        <f t="shared" si="72"/>
        <v>0</v>
      </c>
      <c r="N121" s="1004"/>
      <c r="O121" s="1004"/>
      <c r="P121" s="1004"/>
      <c r="Q121" s="1004"/>
      <c r="R121" s="1004"/>
      <c r="S121" s="1004"/>
      <c r="T121" s="1004"/>
      <c r="U121" s="1004"/>
      <c r="V121" s="1004"/>
      <c r="W121" s="1004"/>
      <c r="X121" s="1004"/>
      <c r="Y121" s="1004"/>
      <c r="Z121" s="1004"/>
      <c r="AA121" s="1004"/>
      <c r="AB121" s="1004"/>
      <c r="AC121" s="1007"/>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row>
    <row r="122" spans="8:58" s="4" customFormat="1" ht="15.75" x14ac:dyDescent="0.25">
      <c r="H122" s="1"/>
      <c r="I122" s="202"/>
      <c r="J122" s="97" t="s">
        <v>110</v>
      </c>
      <c r="K122" s="812">
        <f t="shared" si="73"/>
        <v>0</v>
      </c>
      <c r="L122" s="221">
        <f t="shared" si="72"/>
        <v>0</v>
      </c>
      <c r="N122" s="1004"/>
      <c r="O122" s="1005"/>
      <c r="P122" s="1005"/>
      <c r="Q122" s="1006"/>
      <c r="R122" s="1006"/>
      <c r="S122" s="1006"/>
      <c r="T122" s="1006"/>
      <c r="U122" s="1006"/>
      <c r="V122" s="1006"/>
      <c r="W122" s="1006"/>
      <c r="X122" s="1006"/>
      <c r="Y122" s="1006"/>
      <c r="Z122" s="1006"/>
      <c r="AA122" s="1006"/>
      <c r="AB122" s="1006"/>
      <c r="AC122" s="1007"/>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row>
    <row r="123" spans="8:58" s="4" customFormat="1" ht="15.75" x14ac:dyDescent="0.25">
      <c r="H123" s="1"/>
      <c r="I123" s="202"/>
      <c r="J123" s="74" t="s">
        <v>111</v>
      </c>
      <c r="K123" s="813">
        <f t="shared" si="73"/>
        <v>0</v>
      </c>
      <c r="L123" s="209">
        <f t="shared" si="72"/>
        <v>0</v>
      </c>
      <c r="N123" s="1004"/>
      <c r="O123" s="1005"/>
      <c r="P123" s="1005"/>
      <c r="Q123" s="1006"/>
      <c r="R123" s="1006"/>
      <c r="S123" s="1006"/>
      <c r="T123" s="1006"/>
      <c r="U123" s="1006"/>
      <c r="V123" s="1006"/>
      <c r="W123" s="1006"/>
      <c r="X123" s="1006"/>
      <c r="Y123" s="1006"/>
      <c r="Z123" s="1006"/>
      <c r="AA123" s="1006"/>
      <c r="AB123" s="1006"/>
      <c r="AC123" s="1007"/>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row>
    <row r="124" spans="8:58" s="4" customFormat="1" ht="15.75" x14ac:dyDescent="0.25">
      <c r="H124" s="1"/>
      <c r="I124" s="202"/>
      <c r="J124" s="210" t="s">
        <v>112</v>
      </c>
      <c r="K124" s="823">
        <f>SUM(K118:K123)</f>
        <v>0</v>
      </c>
      <c r="L124" s="211">
        <f t="shared" si="72"/>
        <v>0</v>
      </c>
      <c r="N124" s="802">
        <f t="shared" ref="N124:AC124" si="74">SUM(N118:N123)</f>
        <v>0</v>
      </c>
      <c r="O124" s="802">
        <f t="shared" si="74"/>
        <v>0</v>
      </c>
      <c r="P124" s="802">
        <f t="shared" si="74"/>
        <v>0</v>
      </c>
      <c r="Q124" s="802">
        <f t="shared" si="74"/>
        <v>0</v>
      </c>
      <c r="R124" s="802">
        <f t="shared" si="74"/>
        <v>0</v>
      </c>
      <c r="S124" s="802">
        <f t="shared" si="74"/>
        <v>0</v>
      </c>
      <c r="T124" s="802">
        <f t="shared" si="74"/>
        <v>0</v>
      </c>
      <c r="U124" s="802">
        <f t="shared" si="74"/>
        <v>0</v>
      </c>
      <c r="V124" s="802">
        <f t="shared" si="74"/>
        <v>0</v>
      </c>
      <c r="W124" s="802">
        <f t="shared" si="74"/>
        <v>0</v>
      </c>
      <c r="X124" s="802">
        <f t="shared" si="74"/>
        <v>0</v>
      </c>
      <c r="Y124" s="802">
        <f t="shared" si="74"/>
        <v>0</v>
      </c>
      <c r="Z124" s="802">
        <f t="shared" si="74"/>
        <v>0</v>
      </c>
      <c r="AA124" s="802">
        <f t="shared" si="74"/>
        <v>0</v>
      </c>
      <c r="AB124" s="802">
        <f t="shared" si="74"/>
        <v>0</v>
      </c>
      <c r="AC124" s="802">
        <f t="shared" si="74"/>
        <v>0</v>
      </c>
      <c r="AD124" s="1"/>
      <c r="AE124" s="212"/>
      <c r="AF124" s="212"/>
      <c r="AG124" s="212"/>
      <c r="AH124" s="212"/>
      <c r="AI124" s="212"/>
      <c r="AJ124" s="212"/>
      <c r="AK124" s="212"/>
      <c r="AL124" s="212"/>
      <c r="AM124" s="212"/>
      <c r="AN124" s="212"/>
      <c r="AO124" s="212"/>
      <c r="AP124" s="212"/>
      <c r="AQ124" s="212"/>
      <c r="AR124" s="212"/>
      <c r="AS124" s="212"/>
      <c r="AT124" s="212"/>
      <c r="AU124" s="1"/>
      <c r="AV124" s="1"/>
      <c r="AW124" s="1"/>
      <c r="AX124" s="1"/>
      <c r="AY124" s="1"/>
      <c r="AZ124" s="1"/>
      <c r="BA124" s="1"/>
      <c r="BB124" s="1"/>
      <c r="BC124" s="1"/>
      <c r="BD124" s="1"/>
      <c r="BE124" s="1"/>
      <c r="BF124" s="1"/>
    </row>
    <row r="125" spans="8:58" s="217" customFormat="1" ht="13.5" customHeight="1" x14ac:dyDescent="0.2">
      <c r="H125" s="212"/>
      <c r="I125" s="213"/>
      <c r="J125" s="214" t="s">
        <v>113</v>
      </c>
      <c r="K125" s="215">
        <f>IFERROR(K124/K$118,)</f>
        <v>0</v>
      </c>
      <c r="L125" s="216"/>
      <c r="N125" s="272">
        <f t="shared" ref="N125:AC125" si="75">IFERROR(N124/N$118,)</f>
        <v>0</v>
      </c>
      <c r="O125" s="272">
        <f t="shared" si="75"/>
        <v>0</v>
      </c>
      <c r="P125" s="272">
        <f t="shared" si="75"/>
        <v>0</v>
      </c>
      <c r="Q125" s="272">
        <f t="shared" si="75"/>
        <v>0</v>
      </c>
      <c r="R125" s="272">
        <f t="shared" si="75"/>
        <v>0</v>
      </c>
      <c r="S125" s="272">
        <f t="shared" si="75"/>
        <v>0</v>
      </c>
      <c r="T125" s="272">
        <f t="shared" si="75"/>
        <v>0</v>
      </c>
      <c r="U125" s="272">
        <f t="shared" si="75"/>
        <v>0</v>
      </c>
      <c r="V125" s="272">
        <f t="shared" si="75"/>
        <v>0</v>
      </c>
      <c r="W125" s="272">
        <f t="shared" si="75"/>
        <v>0</v>
      </c>
      <c r="X125" s="272">
        <f t="shared" si="75"/>
        <v>0</v>
      </c>
      <c r="Y125" s="272">
        <f t="shared" si="75"/>
        <v>0</v>
      </c>
      <c r="Z125" s="272">
        <f t="shared" si="75"/>
        <v>0</v>
      </c>
      <c r="AA125" s="272">
        <f t="shared" si="75"/>
        <v>0</v>
      </c>
      <c r="AB125" s="272">
        <f t="shared" si="75"/>
        <v>0</v>
      </c>
      <c r="AC125" s="272">
        <f t="shared" si="75"/>
        <v>0</v>
      </c>
      <c r="AD125" s="212"/>
      <c r="AE125" s="1"/>
      <c r="AF125" s="1"/>
      <c r="AG125" s="1"/>
      <c r="AH125" s="1"/>
      <c r="AI125" s="1"/>
      <c r="AJ125" s="1"/>
      <c r="AK125" s="1"/>
      <c r="AL125" s="1"/>
      <c r="AM125" s="1"/>
      <c r="AN125" s="1"/>
      <c r="AO125" s="1"/>
      <c r="AP125" s="1"/>
      <c r="AQ125" s="1"/>
      <c r="AR125" s="1"/>
      <c r="AS125" s="1"/>
      <c r="AT125" s="1"/>
      <c r="AU125" s="212"/>
      <c r="AV125" s="212"/>
      <c r="AW125" s="212"/>
      <c r="AX125" s="212"/>
      <c r="AY125" s="212"/>
      <c r="AZ125" s="212"/>
      <c r="BA125" s="212"/>
      <c r="BB125" s="212"/>
      <c r="BC125" s="212"/>
      <c r="BD125" s="212"/>
      <c r="BE125" s="212"/>
      <c r="BF125" s="212"/>
    </row>
    <row r="126" spans="8:58" s="4" customFormat="1" ht="15.75" x14ac:dyDescent="0.25">
      <c r="H126" s="1"/>
      <c r="I126" s="202"/>
      <c r="J126" s="97" t="s">
        <v>114</v>
      </c>
      <c r="K126" s="812">
        <f t="shared" si="73"/>
        <v>0</v>
      </c>
      <c r="L126" s="221">
        <f>IFERROR(K126/$K$118,)</f>
        <v>0</v>
      </c>
      <c r="N126" s="1004"/>
      <c r="O126" s="1005"/>
      <c r="P126" s="1005"/>
      <c r="Q126" s="1006"/>
      <c r="R126" s="1006"/>
      <c r="S126" s="1006"/>
      <c r="T126" s="1006"/>
      <c r="U126" s="1006"/>
      <c r="V126" s="1006"/>
      <c r="W126" s="1006"/>
      <c r="X126" s="1006"/>
      <c r="Y126" s="1006"/>
      <c r="Z126" s="1006"/>
      <c r="AA126" s="1006"/>
      <c r="AB126" s="1006"/>
      <c r="AC126" s="1007"/>
      <c r="AD126" s="219"/>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8:58" s="4" customFormat="1" ht="15.75" x14ac:dyDescent="0.25">
      <c r="H127" s="1"/>
      <c r="I127" s="202"/>
      <c r="J127" s="97" t="s">
        <v>115</v>
      </c>
      <c r="K127" s="812">
        <f t="shared" si="73"/>
        <v>0</v>
      </c>
      <c r="L127" s="221">
        <f t="shared" ref="L127:L132" si="76">IFERROR(K127/$K$118,)</f>
        <v>0</v>
      </c>
      <c r="N127" s="1004"/>
      <c r="O127" s="1005"/>
      <c r="P127" s="1005"/>
      <c r="Q127" s="1006"/>
      <c r="R127" s="1006"/>
      <c r="S127" s="1006"/>
      <c r="T127" s="1006"/>
      <c r="U127" s="1006"/>
      <c r="V127" s="1006"/>
      <c r="W127" s="1006"/>
      <c r="X127" s="1006"/>
      <c r="Y127" s="1006"/>
      <c r="Z127" s="1006"/>
      <c r="AA127" s="1006"/>
      <c r="AB127" s="1006"/>
      <c r="AC127" s="1007"/>
      <c r="AD127" s="219"/>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row>
    <row r="128" spans="8:58" s="4" customFormat="1" ht="15.75" x14ac:dyDescent="0.25">
      <c r="H128" s="1"/>
      <c r="I128" s="202"/>
      <c r="J128" s="97" t="s">
        <v>116</v>
      </c>
      <c r="K128" s="812">
        <f t="shared" si="73"/>
        <v>0</v>
      </c>
      <c r="L128" s="221">
        <f t="shared" si="76"/>
        <v>0</v>
      </c>
      <c r="N128" s="1004"/>
      <c r="O128" s="1005"/>
      <c r="P128" s="1005"/>
      <c r="Q128" s="1006"/>
      <c r="R128" s="1006"/>
      <c r="S128" s="1006"/>
      <c r="T128" s="1006"/>
      <c r="U128" s="1006"/>
      <c r="V128" s="1006"/>
      <c r="W128" s="1006"/>
      <c r="X128" s="1006"/>
      <c r="Y128" s="1006"/>
      <c r="Z128" s="1006"/>
      <c r="AA128" s="1006"/>
      <c r="AB128" s="1006"/>
      <c r="AC128" s="1007"/>
      <c r="AD128" s="219"/>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row>
    <row r="129" spans="8:58" s="4" customFormat="1" ht="15.75" x14ac:dyDescent="0.25">
      <c r="H129" s="1"/>
      <c r="I129" s="202"/>
      <c r="J129" s="97" t="s">
        <v>117</v>
      </c>
      <c r="K129" s="812">
        <f t="shared" si="73"/>
        <v>0</v>
      </c>
      <c r="L129" s="221">
        <f t="shared" si="76"/>
        <v>0</v>
      </c>
      <c r="N129" s="1004"/>
      <c r="O129" s="1005"/>
      <c r="P129" s="1005"/>
      <c r="Q129" s="1006"/>
      <c r="R129" s="1006"/>
      <c r="S129" s="1006"/>
      <c r="T129" s="1006"/>
      <c r="U129" s="1006"/>
      <c r="V129" s="1006"/>
      <c r="W129" s="1006"/>
      <c r="X129" s="1006"/>
      <c r="Y129" s="1006"/>
      <c r="Z129" s="1006"/>
      <c r="AA129" s="1006"/>
      <c r="AB129" s="1006"/>
      <c r="AC129" s="1007"/>
      <c r="AD129" s="219"/>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8:58" s="4" customFormat="1" ht="15.75" x14ac:dyDescent="0.25">
      <c r="H130" s="1"/>
      <c r="I130" s="202">
        <f>INDEX($J$118:$AC$171,MATCH($J130,$J$118:$J$171,0),MATCH($I$118,$J$118:$AC$118,0))</f>
        <v>0</v>
      </c>
      <c r="J130" s="97" t="s">
        <v>118</v>
      </c>
      <c r="K130" s="812">
        <f t="shared" si="73"/>
        <v>0</v>
      </c>
      <c r="L130" s="221">
        <f t="shared" si="76"/>
        <v>0</v>
      </c>
      <c r="N130" s="1004"/>
      <c r="O130" s="1005"/>
      <c r="P130" s="1005"/>
      <c r="Q130" s="1006"/>
      <c r="R130" s="1006"/>
      <c r="S130" s="1006"/>
      <c r="T130" s="1006"/>
      <c r="U130" s="1006"/>
      <c r="V130" s="1006"/>
      <c r="W130" s="1006"/>
      <c r="X130" s="1006"/>
      <c r="Y130" s="1006"/>
      <c r="Z130" s="1006"/>
      <c r="AA130" s="1006"/>
      <c r="AB130" s="1006"/>
      <c r="AC130" s="1007"/>
      <c r="AD130" s="219"/>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8:58" s="4" customFormat="1" ht="15.75" x14ac:dyDescent="0.25">
      <c r="H131" s="1"/>
      <c r="I131" s="202"/>
      <c r="J131" s="97" t="s">
        <v>119</v>
      </c>
      <c r="K131" s="812">
        <f t="shared" si="73"/>
        <v>0</v>
      </c>
      <c r="L131" s="221">
        <f t="shared" si="76"/>
        <v>0</v>
      </c>
      <c r="N131" s="1004"/>
      <c r="O131" s="1005"/>
      <c r="P131" s="1005"/>
      <c r="Q131" s="1006"/>
      <c r="R131" s="1006"/>
      <c r="S131" s="1006"/>
      <c r="T131" s="1006"/>
      <c r="U131" s="1006"/>
      <c r="V131" s="1006"/>
      <c r="W131" s="1006"/>
      <c r="X131" s="1006"/>
      <c r="Y131" s="1006"/>
      <c r="Z131" s="1006"/>
      <c r="AA131" s="1006"/>
      <c r="AB131" s="1006"/>
      <c r="AC131" s="1007"/>
      <c r="AD131" s="219"/>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row>
    <row r="132" spans="8:58" s="4" customFormat="1" ht="15.75" x14ac:dyDescent="0.25">
      <c r="H132" s="1"/>
      <c r="I132" s="202"/>
      <c r="J132" s="74" t="s">
        <v>120</v>
      </c>
      <c r="K132" s="812">
        <f t="shared" si="73"/>
        <v>0</v>
      </c>
      <c r="L132" s="221">
        <f t="shared" si="76"/>
        <v>0</v>
      </c>
      <c r="N132" s="1004"/>
      <c r="O132" s="1005"/>
      <c r="P132" s="1005"/>
      <c r="Q132" s="1006"/>
      <c r="R132" s="1006"/>
      <c r="S132" s="1006"/>
      <c r="T132" s="1006"/>
      <c r="U132" s="1006"/>
      <c r="V132" s="1006"/>
      <c r="W132" s="1006"/>
      <c r="X132" s="1006"/>
      <c r="Y132" s="1006"/>
      <c r="Z132" s="1006"/>
      <c r="AA132" s="1006"/>
      <c r="AB132" s="1006"/>
      <c r="AC132" s="1007"/>
      <c r="AD132" s="219"/>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row>
    <row r="133" spans="8:58" s="4" customFormat="1" ht="15.75" x14ac:dyDescent="0.25">
      <c r="H133" s="1"/>
      <c r="I133" s="202">
        <f>INDEX($J$118:$AC$171,MATCH($J133,$J$118:$J$171,0),MATCH($I$118,$J$118:$AC$118,0))</f>
        <v>0</v>
      </c>
      <c r="J133" s="210" t="s">
        <v>121</v>
      </c>
      <c r="K133" s="814">
        <f>K124+SUM(K126:K132)</f>
        <v>0</v>
      </c>
      <c r="L133" s="220">
        <f>IFERROR(K133/$K$118,)</f>
        <v>0</v>
      </c>
      <c r="N133" s="804">
        <f>N124+SUM(N126:N132)</f>
        <v>0</v>
      </c>
      <c r="O133" s="804">
        <f t="shared" ref="O133:AC133" si="77">O124+SUM(O126:O132)</f>
        <v>0</v>
      </c>
      <c r="P133" s="804">
        <f t="shared" si="77"/>
        <v>0</v>
      </c>
      <c r="Q133" s="804">
        <f t="shared" si="77"/>
        <v>0</v>
      </c>
      <c r="R133" s="804">
        <f t="shared" si="77"/>
        <v>0</v>
      </c>
      <c r="S133" s="804">
        <f t="shared" si="77"/>
        <v>0</v>
      </c>
      <c r="T133" s="804">
        <f t="shared" si="77"/>
        <v>0</v>
      </c>
      <c r="U133" s="804">
        <f t="shared" si="77"/>
        <v>0</v>
      </c>
      <c r="V133" s="804">
        <f t="shared" si="77"/>
        <v>0</v>
      </c>
      <c r="W133" s="804">
        <f t="shared" si="77"/>
        <v>0</v>
      </c>
      <c r="X133" s="804">
        <f t="shared" si="77"/>
        <v>0</v>
      </c>
      <c r="Y133" s="804">
        <f t="shared" si="77"/>
        <v>0</v>
      </c>
      <c r="Z133" s="804">
        <f t="shared" si="77"/>
        <v>0</v>
      </c>
      <c r="AA133" s="804">
        <f t="shared" si="77"/>
        <v>0</v>
      </c>
      <c r="AB133" s="804">
        <f t="shared" si="77"/>
        <v>0</v>
      </c>
      <c r="AC133" s="804">
        <f t="shared" si="77"/>
        <v>0</v>
      </c>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row>
    <row r="134" spans="8:58" s="4" customFormat="1" ht="15.75" x14ac:dyDescent="0.25">
      <c r="H134" s="1"/>
      <c r="I134" s="202">
        <f>INDEX($J$118:$AC$171,MATCH($J134,$J$118:$J$171,0),MATCH($I$118,$J$118:$AC$118,0))</f>
        <v>0</v>
      </c>
      <c r="J134" s="97" t="s">
        <v>122</v>
      </c>
      <c r="K134" s="812">
        <f>SUM(N134:AC134)</f>
        <v>0</v>
      </c>
      <c r="L134" s="221">
        <f>IFERROR(K134/$K$118,)</f>
        <v>0</v>
      </c>
      <c r="N134" s="1004"/>
      <c r="O134" s="1005"/>
      <c r="P134" s="1005"/>
      <c r="Q134" s="1006"/>
      <c r="R134" s="1006"/>
      <c r="S134" s="1006"/>
      <c r="T134" s="1006"/>
      <c r="U134" s="1006"/>
      <c r="V134" s="1006"/>
      <c r="W134" s="1006"/>
      <c r="X134" s="1006"/>
      <c r="Y134" s="1006"/>
      <c r="Z134" s="1006"/>
      <c r="AA134" s="1006"/>
      <c r="AB134" s="1006"/>
      <c r="AC134" s="1007"/>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8:58" s="4" customFormat="1" ht="15.75" x14ac:dyDescent="0.25">
      <c r="H135" s="1"/>
      <c r="I135" s="202"/>
      <c r="J135" s="97" t="s">
        <v>284</v>
      </c>
      <c r="K135" s="815">
        <f>SUM(N135:AC135)</f>
        <v>0</v>
      </c>
      <c r="L135" s="221">
        <f>IFERROR(K135/$K$118,)</f>
        <v>0</v>
      </c>
      <c r="N135" s="1004"/>
      <c r="O135" s="1004"/>
      <c r="P135" s="1004"/>
      <c r="Q135" s="1004"/>
      <c r="R135" s="1004"/>
      <c r="S135" s="1004"/>
      <c r="T135" s="1004"/>
      <c r="U135" s="1004"/>
      <c r="V135" s="1004"/>
      <c r="W135" s="1004"/>
      <c r="X135" s="1004"/>
      <c r="Y135" s="1004"/>
      <c r="Z135" s="1004"/>
      <c r="AA135" s="1004"/>
      <c r="AB135" s="1004"/>
      <c r="AC135" s="1004"/>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8:58" s="4" customFormat="1" ht="15.75" x14ac:dyDescent="0.25">
      <c r="H136" s="1"/>
      <c r="I136" s="202"/>
      <c r="J136" s="97" t="s">
        <v>123</v>
      </c>
      <c r="K136" s="812">
        <f>SUM(N136:AC136)</f>
        <v>0</v>
      </c>
      <c r="L136" s="221">
        <f t="shared" ref="L136:L143" si="78">IFERROR(K136/$K$118,)</f>
        <v>0</v>
      </c>
      <c r="N136" s="1004"/>
      <c r="O136" s="1005"/>
      <c r="P136" s="1005"/>
      <c r="Q136" s="1006"/>
      <c r="R136" s="1006"/>
      <c r="S136" s="1006"/>
      <c r="T136" s="1006"/>
      <c r="U136" s="1006"/>
      <c r="V136" s="1006"/>
      <c r="W136" s="1006"/>
      <c r="X136" s="1006"/>
      <c r="Y136" s="1006"/>
      <c r="Z136" s="1006"/>
      <c r="AA136" s="1006"/>
      <c r="AB136" s="1006"/>
      <c r="AC136" s="1007"/>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row>
    <row r="137" spans="8:58" ht="15.75" x14ac:dyDescent="0.25">
      <c r="I137" s="202">
        <f>INDEX($J$118:$AC$171,MATCH($J137,$J$118:$J$171,0),MATCH($I$118,$J$118:$AC$118,0))</f>
        <v>0</v>
      </c>
      <c r="J137" s="31" t="s">
        <v>124</v>
      </c>
      <c r="K137" s="816">
        <f>SUM(N137:AC137)</f>
        <v>0</v>
      </c>
      <c r="L137" s="221">
        <f t="shared" si="78"/>
        <v>0</v>
      </c>
      <c r="N137" s="1004"/>
      <c r="O137" s="1005"/>
      <c r="P137" s="1005"/>
      <c r="Q137" s="1006"/>
      <c r="R137" s="1006"/>
      <c r="S137" s="1006"/>
      <c r="T137" s="1006"/>
      <c r="U137" s="1006"/>
      <c r="V137" s="1006"/>
      <c r="W137" s="1006"/>
      <c r="X137" s="1006"/>
      <c r="Y137" s="1006"/>
      <c r="Z137" s="1006"/>
      <c r="AA137" s="1006"/>
      <c r="AB137" s="1006"/>
      <c r="AC137" s="1007"/>
      <c r="AD137" s="1"/>
      <c r="AE137" s="1"/>
    </row>
    <row r="138" spans="8:58" ht="15.75" x14ac:dyDescent="0.25">
      <c r="I138" s="202">
        <f>INDEX($J$118:$AC$171,MATCH($J138,$J$118:$J$171,0),MATCH($I$118,$J$118:$AC$118,0))</f>
        <v>0</v>
      </c>
      <c r="J138" s="222" t="s">
        <v>125</v>
      </c>
      <c r="K138" s="817">
        <f>K133+SUM(K134:K137)</f>
        <v>0</v>
      </c>
      <c r="L138" s="223">
        <f t="shared" si="78"/>
        <v>0</v>
      </c>
      <c r="N138" s="805">
        <f t="shared" ref="N138:AC138" si="79">N133+SUM(N134:N137)</f>
        <v>0</v>
      </c>
      <c r="O138" s="805">
        <f t="shared" si="79"/>
        <v>0</v>
      </c>
      <c r="P138" s="805">
        <f t="shared" si="79"/>
        <v>0</v>
      </c>
      <c r="Q138" s="805">
        <f t="shared" si="79"/>
        <v>0</v>
      </c>
      <c r="R138" s="805">
        <f t="shared" si="79"/>
        <v>0</v>
      </c>
      <c r="S138" s="805">
        <f t="shared" si="79"/>
        <v>0</v>
      </c>
      <c r="T138" s="805">
        <f t="shared" si="79"/>
        <v>0</v>
      </c>
      <c r="U138" s="805">
        <f t="shared" si="79"/>
        <v>0</v>
      </c>
      <c r="V138" s="805">
        <f t="shared" si="79"/>
        <v>0</v>
      </c>
      <c r="W138" s="805">
        <f t="shared" si="79"/>
        <v>0</v>
      </c>
      <c r="X138" s="805">
        <f t="shared" si="79"/>
        <v>0</v>
      </c>
      <c r="Y138" s="805">
        <f t="shared" si="79"/>
        <v>0</v>
      </c>
      <c r="Z138" s="805">
        <f t="shared" si="79"/>
        <v>0</v>
      </c>
      <c r="AA138" s="805">
        <f t="shared" si="79"/>
        <v>0</v>
      </c>
      <c r="AB138" s="805">
        <f t="shared" si="79"/>
        <v>0</v>
      </c>
      <c r="AC138" s="805">
        <f t="shared" si="79"/>
        <v>0</v>
      </c>
      <c r="AD138" s="1"/>
      <c r="AE138" s="1"/>
    </row>
    <row r="139" spans="8:58" ht="15.75" x14ac:dyDescent="0.25">
      <c r="I139" s="202">
        <f>INDEX($J$118:$AC$171,MATCH($J139,$J$118:$J$171,0),MATCH($I$118,$J$118:$AC$118,0))</f>
        <v>0</v>
      </c>
      <c r="J139" s="565" t="s">
        <v>126</v>
      </c>
      <c r="K139" s="815">
        <f>SUM(N139:AC139)</f>
        <v>0</v>
      </c>
      <c r="L139" s="205">
        <f t="shared" si="78"/>
        <v>0</v>
      </c>
      <c r="N139" s="1004"/>
      <c r="O139" s="1005"/>
      <c r="P139" s="1005"/>
      <c r="Q139" s="1006"/>
      <c r="R139" s="1006"/>
      <c r="S139" s="1006"/>
      <c r="T139" s="1006"/>
      <c r="U139" s="1006"/>
      <c r="V139" s="1006"/>
      <c r="W139" s="1006"/>
      <c r="X139" s="1006"/>
      <c r="Y139" s="1006"/>
      <c r="Z139" s="1006"/>
      <c r="AA139" s="1006"/>
      <c r="AB139" s="1006"/>
      <c r="AC139" s="1007"/>
      <c r="AD139" s="1"/>
      <c r="AE139" s="1"/>
    </row>
    <row r="140" spans="8:58" ht="15.75" x14ac:dyDescent="0.25">
      <c r="I140" s="202">
        <f>INDEX($J$118:$AC$171,MATCH($J140,$J$118:$J$171,0),MATCH($I$118,$J$118:$AC$118,0))</f>
        <v>0</v>
      </c>
      <c r="J140" s="565" t="s">
        <v>416</v>
      </c>
      <c r="K140" s="816">
        <f>SUM(N140:AC140)</f>
        <v>0</v>
      </c>
      <c r="L140" s="221">
        <f t="shared" si="78"/>
        <v>0</v>
      </c>
      <c r="N140" s="1008"/>
      <c r="O140" s="1008"/>
      <c r="P140" s="1008"/>
      <c r="Q140" s="1008"/>
      <c r="R140" s="1008"/>
      <c r="S140" s="1008"/>
      <c r="T140" s="1008"/>
      <c r="U140" s="1008"/>
      <c r="V140" s="1008"/>
      <c r="W140" s="1008"/>
      <c r="X140" s="1008"/>
      <c r="Y140" s="1008"/>
      <c r="Z140" s="1008"/>
      <c r="AA140" s="1008"/>
      <c r="AB140" s="1008"/>
      <c r="AC140" s="1008"/>
      <c r="AD140" s="1"/>
      <c r="AE140" s="1"/>
    </row>
    <row r="141" spans="8:58" ht="15.75" x14ac:dyDescent="0.25">
      <c r="I141" s="202"/>
      <c r="J141" s="565" t="s">
        <v>460</v>
      </c>
      <c r="K141" s="816">
        <f>SUM(N141:AC141)</f>
        <v>0</v>
      </c>
      <c r="L141" s="221">
        <f t="shared" si="78"/>
        <v>0</v>
      </c>
      <c r="M141" s="4"/>
      <c r="N141" s="1008"/>
      <c r="O141" s="1008"/>
      <c r="P141" s="1008"/>
      <c r="Q141" s="1008"/>
      <c r="R141" s="1008"/>
      <c r="S141" s="1008"/>
      <c r="T141" s="1008"/>
      <c r="U141" s="1008"/>
      <c r="V141" s="1008"/>
      <c r="W141" s="1008"/>
      <c r="X141" s="1008"/>
      <c r="Y141" s="1008"/>
      <c r="Z141" s="1008"/>
      <c r="AA141" s="1008"/>
      <c r="AB141" s="1008"/>
      <c r="AC141" s="1008"/>
      <c r="AD141" s="1"/>
      <c r="AE141" s="1"/>
    </row>
    <row r="142" spans="8:58" ht="15.75" x14ac:dyDescent="0.25">
      <c r="I142" s="202">
        <f>INDEX($J$118:$AC$171,MATCH($J142,$J$118:$J$171,0),MATCH($I$118,$J$118:$AC$118,0))</f>
        <v>0</v>
      </c>
      <c r="J142" s="560" t="s">
        <v>127</v>
      </c>
      <c r="K142" s="925">
        <f>SUM(K139:K141)</f>
        <v>0</v>
      </c>
      <c r="L142" s="561">
        <f t="shared" si="78"/>
        <v>0</v>
      </c>
      <c r="M142" s="4"/>
      <c r="N142" s="926">
        <f>SUM(N139:N141)</f>
        <v>0</v>
      </c>
      <c r="O142" s="926">
        <f t="shared" ref="O142:AC142" si="80">SUM(O139:O141)</f>
        <v>0</v>
      </c>
      <c r="P142" s="926">
        <f t="shared" si="80"/>
        <v>0</v>
      </c>
      <c r="Q142" s="926">
        <f t="shared" si="80"/>
        <v>0</v>
      </c>
      <c r="R142" s="926">
        <f t="shared" si="80"/>
        <v>0</v>
      </c>
      <c r="S142" s="926">
        <f t="shared" si="80"/>
        <v>0</v>
      </c>
      <c r="T142" s="926">
        <f t="shared" si="80"/>
        <v>0</v>
      </c>
      <c r="U142" s="926">
        <f t="shared" si="80"/>
        <v>0</v>
      </c>
      <c r="V142" s="926">
        <f t="shared" si="80"/>
        <v>0</v>
      </c>
      <c r="W142" s="926">
        <f t="shared" si="80"/>
        <v>0</v>
      </c>
      <c r="X142" s="926">
        <f t="shared" si="80"/>
        <v>0</v>
      </c>
      <c r="Y142" s="926">
        <f t="shared" si="80"/>
        <v>0</v>
      </c>
      <c r="Z142" s="926">
        <f t="shared" si="80"/>
        <v>0</v>
      </c>
      <c r="AA142" s="926">
        <f t="shared" si="80"/>
        <v>0</v>
      </c>
      <c r="AB142" s="926">
        <f t="shared" si="80"/>
        <v>0</v>
      </c>
      <c r="AC142" s="926">
        <f t="shared" si="80"/>
        <v>0</v>
      </c>
      <c r="AD142" s="1"/>
      <c r="AE142" s="1"/>
    </row>
    <row r="143" spans="8:58" ht="21.75" customHeight="1" x14ac:dyDescent="0.25">
      <c r="I143" s="202">
        <f>INDEX($J$118:$AC$171,MATCH($J143,$J$118:$J$171,0),MATCH($I$118,$J$118:$AC$118,0))</f>
        <v>0</v>
      </c>
      <c r="J143" s="549" t="s">
        <v>128</v>
      </c>
      <c r="K143" s="820">
        <f>K138+SUM(K139:K141)</f>
        <v>0</v>
      </c>
      <c r="L143" s="228">
        <f t="shared" si="78"/>
        <v>0</v>
      </c>
      <c r="N143" s="802">
        <f>N138+SUM(N139:N141)</f>
        <v>0</v>
      </c>
      <c r="O143" s="802">
        <f t="shared" ref="O143:AC143" si="81">O138+SUM(O139:O141)</f>
        <v>0</v>
      </c>
      <c r="P143" s="802">
        <f t="shared" si="81"/>
        <v>0</v>
      </c>
      <c r="Q143" s="802">
        <f t="shared" si="81"/>
        <v>0</v>
      </c>
      <c r="R143" s="802">
        <f t="shared" si="81"/>
        <v>0</v>
      </c>
      <c r="S143" s="802">
        <f t="shared" si="81"/>
        <v>0</v>
      </c>
      <c r="T143" s="802">
        <f t="shared" si="81"/>
        <v>0</v>
      </c>
      <c r="U143" s="802">
        <f t="shared" si="81"/>
        <v>0</v>
      </c>
      <c r="V143" s="802">
        <f t="shared" si="81"/>
        <v>0</v>
      </c>
      <c r="W143" s="802">
        <f t="shared" si="81"/>
        <v>0</v>
      </c>
      <c r="X143" s="802">
        <f t="shared" si="81"/>
        <v>0</v>
      </c>
      <c r="Y143" s="802">
        <f t="shared" si="81"/>
        <v>0</v>
      </c>
      <c r="Z143" s="802">
        <f t="shared" si="81"/>
        <v>0</v>
      </c>
      <c r="AA143" s="802">
        <f t="shared" si="81"/>
        <v>0</v>
      </c>
      <c r="AB143" s="802">
        <f t="shared" si="81"/>
        <v>0</v>
      </c>
      <c r="AC143" s="802">
        <f t="shared" si="81"/>
        <v>0</v>
      </c>
      <c r="AD143" s="1"/>
      <c r="AE143" s="229"/>
      <c r="AF143" s="229"/>
      <c r="AG143" s="229"/>
      <c r="AH143" s="229"/>
      <c r="AI143" s="229"/>
      <c r="AJ143" s="229"/>
      <c r="AK143" s="229"/>
      <c r="AL143" s="229"/>
      <c r="AM143" s="229"/>
      <c r="AN143" s="229"/>
      <c r="AO143" s="229"/>
      <c r="AP143" s="229"/>
      <c r="AQ143" s="229"/>
      <c r="AR143" s="229"/>
      <c r="AS143" s="229"/>
      <c r="AT143" s="229"/>
    </row>
    <row r="144" spans="8:58" s="229" customFormat="1" ht="18" customHeight="1" thickBot="1" x14ac:dyDescent="0.25">
      <c r="I144" s="230"/>
      <c r="J144" s="551" t="s">
        <v>129</v>
      </c>
      <c r="K144" s="232">
        <f>IFERROR(K143/(K$118+K$139),)</f>
        <v>0</v>
      </c>
      <c r="L144" s="233"/>
      <c r="M144" s="234"/>
      <c r="N144" s="235">
        <f t="shared" ref="N144:AC144" si="82">IFERROR(N143/(N$118+N$139),)</f>
        <v>0</v>
      </c>
      <c r="O144" s="235">
        <f t="shared" si="82"/>
        <v>0</v>
      </c>
      <c r="P144" s="235">
        <f t="shared" si="82"/>
        <v>0</v>
      </c>
      <c r="Q144" s="235">
        <f t="shared" si="82"/>
        <v>0</v>
      </c>
      <c r="R144" s="235">
        <f t="shared" si="82"/>
        <v>0</v>
      </c>
      <c r="S144" s="235">
        <f t="shared" si="82"/>
        <v>0</v>
      </c>
      <c r="T144" s="235">
        <f t="shared" si="82"/>
        <v>0</v>
      </c>
      <c r="U144" s="235">
        <f t="shared" si="82"/>
        <v>0</v>
      </c>
      <c r="V144" s="235">
        <f t="shared" si="82"/>
        <v>0</v>
      </c>
      <c r="W144" s="235">
        <f t="shared" si="82"/>
        <v>0</v>
      </c>
      <c r="X144" s="235">
        <f t="shared" si="82"/>
        <v>0</v>
      </c>
      <c r="Y144" s="235">
        <f t="shared" si="82"/>
        <v>0</v>
      </c>
      <c r="Z144" s="235">
        <f t="shared" si="82"/>
        <v>0</v>
      </c>
      <c r="AA144" s="235">
        <f t="shared" si="82"/>
        <v>0</v>
      </c>
      <c r="AB144" s="235">
        <f t="shared" si="82"/>
        <v>0</v>
      </c>
      <c r="AC144" s="235">
        <f t="shared" si="82"/>
        <v>0</v>
      </c>
    </row>
    <row r="145" spans="8:58" s="229" customFormat="1" ht="18" customHeight="1" outlineLevel="1" thickTop="1" x14ac:dyDescent="0.2">
      <c r="I145" s="230"/>
      <c r="J145" s="230"/>
      <c r="K145" s="236"/>
      <c r="L145" s="237"/>
      <c r="M145" s="230"/>
      <c r="N145" s="230"/>
      <c r="O145" s="230"/>
      <c r="P145" s="230"/>
      <c r="Q145" s="230"/>
      <c r="R145" s="230"/>
      <c r="S145" s="230"/>
      <c r="T145" s="230"/>
      <c r="U145" s="230"/>
      <c r="V145" s="230"/>
      <c r="W145" s="230"/>
      <c r="X145" s="230"/>
      <c r="Y145" s="230"/>
      <c r="Z145" s="230"/>
      <c r="AA145" s="230"/>
      <c r="AB145" s="230"/>
      <c r="AC145" s="230"/>
      <c r="AD145" s="230"/>
      <c r="AE145" s="1"/>
      <c r="AF145" s="1"/>
      <c r="AG145" s="1"/>
      <c r="AH145" s="1"/>
      <c r="AI145" s="1"/>
      <c r="AJ145" s="1"/>
      <c r="AK145" s="1"/>
      <c r="AL145" s="1"/>
      <c r="AM145" s="1"/>
      <c r="AN145" s="1"/>
      <c r="AO145" s="1"/>
      <c r="AP145" s="1"/>
      <c r="AQ145" s="1"/>
      <c r="AR145" s="1"/>
      <c r="AS145" s="1"/>
      <c r="AT145" s="1"/>
    </row>
    <row r="146" spans="8:58" ht="18" outlineLevel="1" x14ac:dyDescent="0.2">
      <c r="I146" s="104" t="s">
        <v>130</v>
      </c>
      <c r="J146" s="105" t="s">
        <v>131</v>
      </c>
      <c r="K146" s="927"/>
      <c r="L146" s="928"/>
      <c r="M146" s="106"/>
      <c r="N146" s="107"/>
      <c r="O146" s="107"/>
      <c r="P146" s="107"/>
      <c r="Q146" s="107"/>
      <c r="R146" s="107"/>
      <c r="S146" s="107"/>
      <c r="T146" s="107"/>
      <c r="U146" s="107"/>
      <c r="V146" s="107"/>
      <c r="W146" s="107"/>
      <c r="X146" s="107"/>
      <c r="Y146" s="107"/>
      <c r="Z146" s="107"/>
      <c r="AA146" s="107"/>
      <c r="AB146" s="107"/>
      <c r="AC146" s="107"/>
      <c r="AD146" s="1"/>
      <c r="AE146" s="1"/>
    </row>
    <row r="147" spans="8:58" ht="14.25" outlineLevel="1" x14ac:dyDescent="0.2">
      <c r="I147" s="199"/>
      <c r="J147" s="240" t="s">
        <v>132</v>
      </c>
      <c r="K147" s="241"/>
      <c r="L147" s="242"/>
      <c r="AD147" s="1"/>
      <c r="AE147" s="1"/>
    </row>
    <row r="148" spans="8:58" s="4" customFormat="1" ht="15.75" outlineLevel="1" x14ac:dyDescent="0.25">
      <c r="H148" s="1"/>
      <c r="I148" s="202"/>
      <c r="J148" s="97" t="s">
        <v>352</v>
      </c>
      <c r="K148" s="206">
        <f>SUM(N148:AC148)</f>
        <v>0</v>
      </c>
      <c r="L148" s="207">
        <f t="shared" ref="L148:L153" si="83">IFERROR(K148/$K$118,)</f>
        <v>0</v>
      </c>
      <c r="N148" s="1028"/>
      <c r="O148" s="1029"/>
      <c r="P148" s="1029"/>
      <c r="Q148" s="1029"/>
      <c r="R148" s="1029"/>
      <c r="S148" s="1029"/>
      <c r="T148" s="1029"/>
      <c r="U148" s="1029"/>
      <c r="V148" s="1029"/>
      <c r="W148" s="1029"/>
      <c r="X148" s="1030"/>
      <c r="Y148" s="1030"/>
      <c r="Z148" s="1030"/>
      <c r="AA148" s="1030"/>
      <c r="AB148" s="1030"/>
      <c r="AC148" s="103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row>
    <row r="149" spans="8:58" s="4" customFormat="1" ht="15.75" outlineLevel="1" x14ac:dyDescent="0.25">
      <c r="H149" s="1"/>
      <c r="I149" s="202"/>
      <c r="J149" s="97" t="s">
        <v>133</v>
      </c>
      <c r="K149" s="206">
        <f>SUM(N149:AC149)</f>
        <v>0</v>
      </c>
      <c r="L149" s="207">
        <f t="shared" si="83"/>
        <v>0</v>
      </c>
      <c r="N149" s="1028"/>
      <c r="O149" s="1029"/>
      <c r="P149" s="1029"/>
      <c r="Q149" s="1029"/>
      <c r="R149" s="1029"/>
      <c r="S149" s="1029"/>
      <c r="T149" s="1029"/>
      <c r="U149" s="1029"/>
      <c r="V149" s="1029"/>
      <c r="W149" s="1029"/>
      <c r="X149" s="1030"/>
      <c r="Y149" s="1030"/>
      <c r="Z149" s="1030"/>
      <c r="AA149" s="1030"/>
      <c r="AB149" s="1030"/>
      <c r="AC149" s="103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row>
    <row r="150" spans="8:58" s="4" customFormat="1" ht="15.75" outlineLevel="1" x14ac:dyDescent="0.25">
      <c r="H150" s="1"/>
      <c r="I150" s="202"/>
      <c r="J150" s="97" t="s">
        <v>134</v>
      </c>
      <c r="K150" s="206">
        <f>SUM(N150:AC150)</f>
        <v>0</v>
      </c>
      <c r="L150" s="207">
        <f t="shared" si="83"/>
        <v>0</v>
      </c>
      <c r="N150" s="1028"/>
      <c r="O150" s="1029"/>
      <c r="P150" s="1029"/>
      <c r="Q150" s="1029"/>
      <c r="R150" s="1029"/>
      <c r="S150" s="1029"/>
      <c r="T150" s="1029"/>
      <c r="U150" s="1029"/>
      <c r="V150" s="1029"/>
      <c r="W150" s="1029"/>
      <c r="X150" s="1030"/>
      <c r="Y150" s="1030"/>
      <c r="Z150" s="1030"/>
      <c r="AA150" s="1030"/>
      <c r="AB150" s="1030"/>
      <c r="AC150" s="103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row>
    <row r="151" spans="8:58" s="4" customFormat="1" outlineLevel="1" x14ac:dyDescent="0.3">
      <c r="H151" s="1"/>
      <c r="I151" s="202"/>
      <c r="J151" s="243" t="s">
        <v>135</v>
      </c>
      <c r="K151" s="206">
        <f>SUM(N151:AC151)</f>
        <v>0</v>
      </c>
      <c r="L151" s="207">
        <f t="shared" si="83"/>
        <v>0</v>
      </c>
      <c r="N151" s="1028"/>
      <c r="O151" s="1028"/>
      <c r="P151" s="1028"/>
      <c r="Q151" s="1028"/>
      <c r="R151" s="1028"/>
      <c r="S151" s="1029"/>
      <c r="T151" s="1029"/>
      <c r="U151" s="1029"/>
      <c r="V151" s="1029"/>
      <c r="W151" s="1029"/>
      <c r="X151" s="1030"/>
      <c r="Y151" s="1030"/>
      <c r="Z151" s="1030"/>
      <c r="AA151" s="1030"/>
      <c r="AB151" s="1030"/>
      <c r="AC151" s="103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row>
    <row r="152" spans="8:58" s="4" customFormat="1" ht="19.149999999999999" customHeight="1" outlineLevel="1" x14ac:dyDescent="0.25">
      <c r="H152" s="1"/>
      <c r="I152" s="202"/>
      <c r="J152" s="244" t="s">
        <v>136</v>
      </c>
      <c r="K152" s="206">
        <f>SUM(N152:AC152)</f>
        <v>0</v>
      </c>
      <c r="L152" s="207">
        <f t="shared" si="83"/>
        <v>0</v>
      </c>
      <c r="N152" s="1028"/>
      <c r="O152" s="1029"/>
      <c r="P152" s="1029"/>
      <c r="Q152" s="1029"/>
      <c r="R152" s="1029"/>
      <c r="S152" s="1029"/>
      <c r="T152" s="1029"/>
      <c r="U152" s="1029"/>
      <c r="V152" s="1029"/>
      <c r="W152" s="1029"/>
      <c r="X152" s="1030"/>
      <c r="Y152" s="1030"/>
      <c r="Z152" s="1030"/>
      <c r="AA152" s="1030"/>
      <c r="AB152" s="1030"/>
      <c r="AC152" s="103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row>
    <row r="153" spans="8:58" s="4" customFormat="1" ht="15.75" outlineLevel="1" x14ac:dyDescent="0.25">
      <c r="H153" s="1"/>
      <c r="I153" s="202">
        <f>INDEX($J$118:$AC$171,MATCH($J153,$J$118:$J$171,0),MATCH($I$118,$J$118:$AC$118,0))</f>
        <v>0</v>
      </c>
      <c r="J153" s="210" t="s">
        <v>137</v>
      </c>
      <c r="K153" s="814">
        <f>K133+SUM(K148:K152)</f>
        <v>0</v>
      </c>
      <c r="L153" s="220">
        <f t="shared" si="83"/>
        <v>0</v>
      </c>
      <c r="N153" s="1032">
        <f>N133+SUM(N148:N152)</f>
        <v>0</v>
      </c>
      <c r="O153" s="1033">
        <f t="shared" ref="O153:AC153" si="84">O133+SUM(O148:O152)</f>
        <v>0</v>
      </c>
      <c r="P153" s="1033">
        <f t="shared" si="84"/>
        <v>0</v>
      </c>
      <c r="Q153" s="1033">
        <f t="shared" si="84"/>
        <v>0</v>
      </c>
      <c r="R153" s="1033">
        <f t="shared" si="84"/>
        <v>0</v>
      </c>
      <c r="S153" s="1033">
        <f t="shared" si="84"/>
        <v>0</v>
      </c>
      <c r="T153" s="1033">
        <f t="shared" si="84"/>
        <v>0</v>
      </c>
      <c r="U153" s="1033">
        <f t="shared" si="84"/>
        <v>0</v>
      </c>
      <c r="V153" s="1033">
        <f t="shared" si="84"/>
        <v>0</v>
      </c>
      <c r="W153" s="1033">
        <f t="shared" si="84"/>
        <v>0</v>
      </c>
      <c r="X153" s="1033">
        <f t="shared" si="84"/>
        <v>0</v>
      </c>
      <c r="Y153" s="1033">
        <f t="shared" si="84"/>
        <v>0</v>
      </c>
      <c r="Z153" s="1033">
        <f t="shared" si="84"/>
        <v>0</v>
      </c>
      <c r="AA153" s="1033">
        <f t="shared" si="84"/>
        <v>0</v>
      </c>
      <c r="AB153" s="1033">
        <f t="shared" si="84"/>
        <v>0</v>
      </c>
      <c r="AC153" s="1034">
        <f t="shared" si="84"/>
        <v>0</v>
      </c>
      <c r="AD153" s="1"/>
      <c r="AE153" s="212"/>
      <c r="AF153" s="212"/>
      <c r="AG153" s="212"/>
      <c r="AH153" s="212"/>
      <c r="AI153" s="212"/>
      <c r="AJ153" s="212"/>
      <c r="AK153" s="212"/>
      <c r="AL153" s="212"/>
      <c r="AM153" s="212"/>
      <c r="AN153" s="212"/>
      <c r="AO153" s="212"/>
      <c r="AP153" s="212"/>
      <c r="AQ153" s="212"/>
      <c r="AR153" s="212"/>
      <c r="AS153" s="212"/>
      <c r="AT153" s="212"/>
      <c r="AU153" s="1"/>
      <c r="AV153" s="1"/>
      <c r="AW153" s="1"/>
      <c r="AX153" s="1"/>
      <c r="AY153" s="1"/>
      <c r="AZ153" s="1"/>
      <c r="BA153" s="1"/>
      <c r="BB153" s="1"/>
      <c r="BC153" s="1"/>
      <c r="BD153" s="1"/>
      <c r="BE153" s="1"/>
      <c r="BF153" s="1"/>
    </row>
    <row r="154" spans="8:58" s="217" customFormat="1" ht="13.5" customHeight="1" outlineLevel="1" x14ac:dyDescent="0.2">
      <c r="H154" s="212"/>
      <c r="I154" s="213"/>
      <c r="J154" s="214" t="s">
        <v>138</v>
      </c>
      <c r="K154" s="215">
        <f>IFERROR(K153/K$118,)</f>
        <v>0</v>
      </c>
      <c r="L154" s="216"/>
      <c r="N154" s="245">
        <f t="shared" ref="N154:AC154" si="85">IFERROR(N153/N$118,)</f>
        <v>0</v>
      </c>
      <c r="O154" s="218">
        <f t="shared" si="85"/>
        <v>0</v>
      </c>
      <c r="P154" s="218">
        <f t="shared" si="85"/>
        <v>0</v>
      </c>
      <c r="Q154" s="218">
        <f t="shared" si="85"/>
        <v>0</v>
      </c>
      <c r="R154" s="218">
        <f t="shared" si="85"/>
        <v>0</v>
      </c>
      <c r="S154" s="218">
        <f t="shared" si="85"/>
        <v>0</v>
      </c>
      <c r="T154" s="218">
        <f t="shared" si="85"/>
        <v>0</v>
      </c>
      <c r="U154" s="218">
        <f t="shared" si="85"/>
        <v>0</v>
      </c>
      <c r="V154" s="218">
        <f t="shared" si="85"/>
        <v>0</v>
      </c>
      <c r="W154" s="218">
        <f t="shared" si="85"/>
        <v>0</v>
      </c>
      <c r="X154" s="218">
        <f t="shared" si="85"/>
        <v>0</v>
      </c>
      <c r="Y154" s="218">
        <f t="shared" si="85"/>
        <v>0</v>
      </c>
      <c r="Z154" s="218">
        <f t="shared" si="85"/>
        <v>0</v>
      </c>
      <c r="AA154" s="218">
        <f t="shared" si="85"/>
        <v>0</v>
      </c>
      <c r="AB154" s="218">
        <f t="shared" si="85"/>
        <v>0</v>
      </c>
      <c r="AC154" s="246">
        <f t="shared" si="85"/>
        <v>0</v>
      </c>
      <c r="AD154" s="212"/>
      <c r="AE154" s="212"/>
      <c r="AF154" s="212"/>
      <c r="AG154" s="212"/>
      <c r="AH154" s="212"/>
      <c r="AI154" s="212"/>
      <c r="AJ154" s="212"/>
      <c r="AK154" s="212"/>
      <c r="AL154" s="212"/>
      <c r="AM154" s="212"/>
      <c r="AN154" s="212"/>
      <c r="AO154" s="212"/>
      <c r="AP154" s="212"/>
      <c r="AQ154" s="212"/>
      <c r="AR154" s="212"/>
      <c r="AS154" s="212"/>
      <c r="AT154" s="212"/>
      <c r="AU154" s="212"/>
      <c r="AV154" s="212"/>
      <c r="AW154" s="212"/>
      <c r="AX154" s="212"/>
      <c r="AY154" s="212"/>
      <c r="AZ154" s="212"/>
      <c r="BA154" s="212"/>
      <c r="BB154" s="212"/>
      <c r="BC154" s="212"/>
      <c r="BD154" s="212"/>
      <c r="BE154" s="212"/>
      <c r="BF154" s="212"/>
    </row>
    <row r="155" spans="8:58" s="217" customFormat="1" ht="13.5" customHeight="1" outlineLevel="1" x14ac:dyDescent="0.2">
      <c r="H155" s="212"/>
      <c r="I155" s="213"/>
      <c r="J155" s="240" t="s">
        <v>139</v>
      </c>
      <c r="K155" s="215"/>
      <c r="L155" s="216"/>
      <c r="N155" s="247"/>
      <c r="O155" s="248"/>
      <c r="P155" s="248"/>
      <c r="Q155" s="248"/>
      <c r="R155" s="248"/>
      <c r="S155" s="248"/>
      <c r="T155" s="248"/>
      <c r="U155" s="248"/>
      <c r="V155" s="248"/>
      <c r="W155" s="248"/>
      <c r="X155" s="248"/>
      <c r="Y155" s="248"/>
      <c r="Z155" s="248"/>
      <c r="AA155" s="248"/>
      <c r="AB155" s="248"/>
      <c r="AC155" s="249"/>
      <c r="AD155" s="212"/>
      <c r="AE155" s="1"/>
      <c r="AF155" s="1"/>
      <c r="AG155" s="1"/>
      <c r="AH155" s="1"/>
      <c r="AI155" s="1"/>
      <c r="AJ155" s="1"/>
      <c r="AK155" s="1"/>
      <c r="AL155" s="1"/>
      <c r="AM155" s="1"/>
      <c r="AN155" s="1"/>
      <c r="AO155" s="1"/>
      <c r="AP155" s="1"/>
      <c r="AQ155" s="1"/>
      <c r="AR155" s="1"/>
      <c r="AS155" s="1"/>
      <c r="AT155" s="1"/>
      <c r="AU155" s="212"/>
      <c r="AV155" s="212"/>
      <c r="AW155" s="212"/>
      <c r="AX155" s="212"/>
      <c r="AY155" s="212"/>
      <c r="AZ155" s="212"/>
      <c r="BA155" s="212"/>
      <c r="BB155" s="212"/>
      <c r="BC155" s="212"/>
      <c r="BD155" s="212"/>
      <c r="BE155" s="212"/>
      <c r="BF155" s="212"/>
    </row>
    <row r="156" spans="8:58" s="4" customFormat="1" ht="15.75" outlineLevel="1" x14ac:dyDescent="0.25">
      <c r="H156" s="1"/>
      <c r="I156" s="202"/>
      <c r="J156" s="97" t="s">
        <v>140</v>
      </c>
      <c r="K156" s="206">
        <f>SUM(N156:AC156)</f>
        <v>0</v>
      </c>
      <c r="L156" s="207">
        <f>IFERROR(K156/$K$118,)</f>
        <v>0</v>
      </c>
      <c r="N156" s="1028"/>
      <c r="O156" s="1029"/>
      <c r="P156" s="1029"/>
      <c r="Q156" s="1029"/>
      <c r="R156" s="1029"/>
      <c r="S156" s="1029"/>
      <c r="T156" s="1029"/>
      <c r="U156" s="1029"/>
      <c r="V156" s="1029"/>
      <c r="W156" s="1029"/>
      <c r="X156" s="1030"/>
      <c r="Y156" s="1030"/>
      <c r="Z156" s="1030"/>
      <c r="AA156" s="1030"/>
      <c r="AB156" s="1030"/>
      <c r="AC156" s="103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row>
    <row r="157" spans="8:58" s="4" customFormat="1" ht="15.75" outlineLevel="1" x14ac:dyDescent="0.25">
      <c r="H157" s="1"/>
      <c r="I157" s="202"/>
      <c r="J157" s="97" t="s">
        <v>141</v>
      </c>
      <c r="K157" s="206">
        <f>SUM(N157:AC157)</f>
        <v>0</v>
      </c>
      <c r="L157" s="207">
        <f t="shared" ref="L157:L162" si="86">IFERROR(K157/$K$118,)</f>
        <v>0</v>
      </c>
      <c r="N157" s="1028"/>
      <c r="O157" s="1029"/>
      <c r="P157" s="1029"/>
      <c r="Q157" s="1029"/>
      <c r="R157" s="1029"/>
      <c r="S157" s="1029"/>
      <c r="T157" s="1029"/>
      <c r="U157" s="1029"/>
      <c r="V157" s="1029"/>
      <c r="W157" s="1029"/>
      <c r="X157" s="1030"/>
      <c r="Y157" s="1030"/>
      <c r="Z157" s="1030"/>
      <c r="AA157" s="1030"/>
      <c r="AB157" s="1030"/>
      <c r="AC157" s="103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row>
    <row r="158" spans="8:58" s="4" customFormat="1" ht="15.75" outlineLevel="1" x14ac:dyDescent="0.25">
      <c r="H158" s="1"/>
      <c r="I158" s="202"/>
      <c r="J158" s="244" t="s">
        <v>136</v>
      </c>
      <c r="K158" s="206">
        <f>SUM(N158:AC158)</f>
        <v>0</v>
      </c>
      <c r="L158" s="207">
        <f t="shared" si="86"/>
        <v>0</v>
      </c>
      <c r="N158" s="1028"/>
      <c r="O158" s="1029"/>
      <c r="P158" s="1029"/>
      <c r="Q158" s="1029"/>
      <c r="R158" s="1029"/>
      <c r="S158" s="1029"/>
      <c r="T158" s="1029"/>
      <c r="U158" s="1029"/>
      <c r="V158" s="1029"/>
      <c r="W158" s="1029"/>
      <c r="X158" s="1030"/>
      <c r="Y158" s="1030"/>
      <c r="Z158" s="1030"/>
      <c r="AA158" s="1030"/>
      <c r="AB158" s="1030"/>
      <c r="AC158" s="103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row>
    <row r="159" spans="8:58" ht="15.75" outlineLevel="1" x14ac:dyDescent="0.25">
      <c r="I159" s="202">
        <f>INDEX($J$118:$AC$171,MATCH($J159,$J$118:$J$171,0),MATCH($I$118,$J$118:$AC$118,0))</f>
        <v>0</v>
      </c>
      <c r="J159" s="222" t="s">
        <v>142</v>
      </c>
      <c r="K159" s="817">
        <f>K153+SUM(K156:K158)</f>
        <v>0</v>
      </c>
      <c r="L159" s="929">
        <f t="shared" si="86"/>
        <v>0</v>
      </c>
      <c r="M159" s="750"/>
      <c r="N159" s="1035">
        <f>N153+SUM(N156:N158)</f>
        <v>0</v>
      </c>
      <c r="O159" s="1036">
        <f t="shared" ref="O159:AC159" si="87">O153+SUM(O156:O158)</f>
        <v>0</v>
      </c>
      <c r="P159" s="1036">
        <f t="shared" si="87"/>
        <v>0</v>
      </c>
      <c r="Q159" s="1036">
        <f t="shared" si="87"/>
        <v>0</v>
      </c>
      <c r="R159" s="1036">
        <f t="shared" si="87"/>
        <v>0</v>
      </c>
      <c r="S159" s="1036">
        <f t="shared" si="87"/>
        <v>0</v>
      </c>
      <c r="T159" s="1036">
        <f t="shared" si="87"/>
        <v>0</v>
      </c>
      <c r="U159" s="1036">
        <f t="shared" si="87"/>
        <v>0</v>
      </c>
      <c r="V159" s="1036">
        <f t="shared" si="87"/>
        <v>0</v>
      </c>
      <c r="W159" s="1036">
        <f t="shared" si="87"/>
        <v>0</v>
      </c>
      <c r="X159" s="1036">
        <f t="shared" si="87"/>
        <v>0</v>
      </c>
      <c r="Y159" s="1036">
        <f t="shared" si="87"/>
        <v>0</v>
      </c>
      <c r="Z159" s="1036">
        <f t="shared" si="87"/>
        <v>0</v>
      </c>
      <c r="AA159" s="1036">
        <f t="shared" si="87"/>
        <v>0</v>
      </c>
      <c r="AB159" s="1036">
        <f t="shared" si="87"/>
        <v>0</v>
      </c>
      <c r="AC159" s="1037">
        <f t="shared" si="87"/>
        <v>0</v>
      </c>
      <c r="AD159" s="1"/>
      <c r="AE159" s="1"/>
    </row>
    <row r="160" spans="8:58" ht="15.75" outlineLevel="1" x14ac:dyDescent="0.25">
      <c r="I160" s="202">
        <f>INDEX($J$118:$AC$171,MATCH($J160,$J$118:$J$171,0),MATCH($I$118,$J$118:$AC$118,0))</f>
        <v>0</v>
      </c>
      <c r="J160" s="224" t="s">
        <v>127</v>
      </c>
      <c r="K160" s="225">
        <f>K142</f>
        <v>0</v>
      </c>
      <c r="L160" s="226">
        <f t="shared" si="86"/>
        <v>0</v>
      </c>
      <c r="M160" s="4"/>
      <c r="N160" s="1038">
        <f>N142</f>
        <v>0</v>
      </c>
      <c r="O160" s="806">
        <f t="shared" ref="O160:AC160" si="88">O142</f>
        <v>0</v>
      </c>
      <c r="P160" s="806">
        <f t="shared" si="88"/>
        <v>0</v>
      </c>
      <c r="Q160" s="806">
        <f t="shared" si="88"/>
        <v>0</v>
      </c>
      <c r="R160" s="806">
        <f t="shared" si="88"/>
        <v>0</v>
      </c>
      <c r="S160" s="806">
        <f t="shared" si="88"/>
        <v>0</v>
      </c>
      <c r="T160" s="806">
        <f t="shared" si="88"/>
        <v>0</v>
      </c>
      <c r="U160" s="806">
        <f t="shared" si="88"/>
        <v>0</v>
      </c>
      <c r="V160" s="806">
        <f t="shared" si="88"/>
        <v>0</v>
      </c>
      <c r="W160" s="806">
        <f t="shared" si="88"/>
        <v>0</v>
      </c>
      <c r="X160" s="806">
        <f t="shared" si="88"/>
        <v>0</v>
      </c>
      <c r="Y160" s="806">
        <f t="shared" si="88"/>
        <v>0</v>
      </c>
      <c r="Z160" s="806">
        <f t="shared" si="88"/>
        <v>0</v>
      </c>
      <c r="AA160" s="806">
        <f t="shared" si="88"/>
        <v>0</v>
      </c>
      <c r="AB160" s="806">
        <f t="shared" si="88"/>
        <v>0</v>
      </c>
      <c r="AC160" s="1039">
        <f t="shared" si="88"/>
        <v>0</v>
      </c>
      <c r="AD160" s="1"/>
      <c r="AE160" s="1"/>
    </row>
    <row r="161" spans="8:58" ht="15.75" outlineLevel="1" x14ac:dyDescent="0.25">
      <c r="I161" s="202">
        <f>INDEX($J$118:$AC$171,MATCH($J161,$J$118:$J$171,0),MATCH($I$118,$J$118:$AC$118,0))</f>
        <v>0</v>
      </c>
      <c r="J161" s="31" t="s">
        <v>143</v>
      </c>
      <c r="K161" s="250">
        <f>SUM(N161:AC161)</f>
        <v>0</v>
      </c>
      <c r="L161" s="211">
        <f t="shared" si="86"/>
        <v>0</v>
      </c>
      <c r="N161" s="251"/>
      <c r="O161" s="252"/>
      <c r="P161" s="252"/>
      <c r="Q161" s="252"/>
      <c r="R161" s="252"/>
      <c r="S161" s="252"/>
      <c r="T161" s="252"/>
      <c r="U161" s="252"/>
      <c r="V161" s="252"/>
      <c r="W161" s="252"/>
      <c r="X161" s="252"/>
      <c r="Y161" s="252"/>
      <c r="Z161" s="252"/>
      <c r="AA161" s="252"/>
      <c r="AB161" s="252"/>
      <c r="AC161" s="253"/>
      <c r="AD161" s="1"/>
      <c r="AE161" s="1"/>
    </row>
    <row r="162" spans="8:58" ht="21.75" customHeight="1" outlineLevel="1" x14ac:dyDescent="0.25">
      <c r="I162" s="202">
        <f>INDEX($J$118:$AC$171,MATCH($J162,$J$118:$J$171,0),MATCH($I$118,$J$118:$AC$118,0))</f>
        <v>0</v>
      </c>
      <c r="J162" s="227" t="s">
        <v>144</v>
      </c>
      <c r="K162" s="820">
        <f>K143+SUM(K148:K152,K156:K158,K161)</f>
        <v>0</v>
      </c>
      <c r="L162" s="228">
        <f t="shared" si="86"/>
        <v>0</v>
      </c>
      <c r="N162" s="930">
        <f>N143+SUM(N148:N152,N156:N158,N161)</f>
        <v>0</v>
      </c>
      <c r="O162" s="802">
        <f t="shared" ref="O162:AC162" si="89">O143+SUM(O148:O152,O156:O158,O161)</f>
        <v>0</v>
      </c>
      <c r="P162" s="802">
        <f t="shared" si="89"/>
        <v>0</v>
      </c>
      <c r="Q162" s="802">
        <f t="shared" si="89"/>
        <v>0</v>
      </c>
      <c r="R162" s="802">
        <f t="shared" si="89"/>
        <v>0</v>
      </c>
      <c r="S162" s="802">
        <f t="shared" si="89"/>
        <v>0</v>
      </c>
      <c r="T162" s="802">
        <f t="shared" si="89"/>
        <v>0</v>
      </c>
      <c r="U162" s="802">
        <f t="shared" si="89"/>
        <v>0</v>
      </c>
      <c r="V162" s="802">
        <f t="shared" si="89"/>
        <v>0</v>
      </c>
      <c r="W162" s="802">
        <f t="shared" si="89"/>
        <v>0</v>
      </c>
      <c r="X162" s="802">
        <f t="shared" si="89"/>
        <v>0</v>
      </c>
      <c r="Y162" s="802">
        <f t="shared" si="89"/>
        <v>0</v>
      </c>
      <c r="Z162" s="802">
        <f t="shared" si="89"/>
        <v>0</v>
      </c>
      <c r="AA162" s="802">
        <f t="shared" si="89"/>
        <v>0</v>
      </c>
      <c r="AB162" s="802">
        <f t="shared" si="89"/>
        <v>0</v>
      </c>
      <c r="AC162" s="931">
        <f t="shared" si="89"/>
        <v>0</v>
      </c>
      <c r="AD162" s="1"/>
      <c r="AE162" s="229"/>
      <c r="AF162" s="229"/>
      <c r="AG162" s="229"/>
      <c r="AH162" s="229"/>
      <c r="AI162" s="229"/>
      <c r="AJ162" s="229"/>
      <c r="AK162" s="229"/>
      <c r="AL162" s="229"/>
      <c r="AM162" s="229"/>
      <c r="AN162" s="229"/>
      <c r="AO162" s="229"/>
      <c r="AP162" s="229"/>
      <c r="AQ162" s="229"/>
      <c r="AR162" s="229"/>
      <c r="AS162" s="229"/>
      <c r="AT162" s="229"/>
    </row>
    <row r="163" spans="8:58" s="229" customFormat="1" ht="18" customHeight="1" outlineLevel="1" thickBot="1" x14ac:dyDescent="0.25">
      <c r="I163" s="230"/>
      <c r="J163" s="231" t="s">
        <v>129</v>
      </c>
      <c r="K163" s="232">
        <f>IFERROR(K162/(K$118+K$139),)</f>
        <v>0</v>
      </c>
      <c r="L163" s="233"/>
      <c r="M163" s="234"/>
      <c r="N163" s="254">
        <f t="shared" ref="N163:AC163" si="90">IFERROR(N162/(N$118+N$139),)</f>
        <v>0</v>
      </c>
      <c r="O163" s="235">
        <f t="shared" si="90"/>
        <v>0</v>
      </c>
      <c r="P163" s="235">
        <f t="shared" si="90"/>
        <v>0</v>
      </c>
      <c r="Q163" s="235">
        <f t="shared" si="90"/>
        <v>0</v>
      </c>
      <c r="R163" s="235">
        <f t="shared" si="90"/>
        <v>0</v>
      </c>
      <c r="S163" s="235">
        <f t="shared" si="90"/>
        <v>0</v>
      </c>
      <c r="T163" s="235">
        <f t="shared" si="90"/>
        <v>0</v>
      </c>
      <c r="U163" s="235">
        <f t="shared" si="90"/>
        <v>0</v>
      </c>
      <c r="V163" s="235">
        <f t="shared" si="90"/>
        <v>0</v>
      </c>
      <c r="W163" s="235">
        <f t="shared" si="90"/>
        <v>0</v>
      </c>
      <c r="X163" s="235">
        <f t="shared" si="90"/>
        <v>0</v>
      </c>
      <c r="Y163" s="235">
        <f t="shared" si="90"/>
        <v>0</v>
      </c>
      <c r="Z163" s="235">
        <f t="shared" si="90"/>
        <v>0</v>
      </c>
      <c r="AA163" s="235">
        <f t="shared" si="90"/>
        <v>0</v>
      </c>
      <c r="AB163" s="235">
        <f t="shared" si="90"/>
        <v>0</v>
      </c>
      <c r="AC163" s="255">
        <f t="shared" si="90"/>
        <v>0</v>
      </c>
      <c r="AE163" s="1"/>
      <c r="AF163" s="1"/>
      <c r="AG163" s="1"/>
      <c r="AH163" s="1"/>
      <c r="AI163" s="1"/>
      <c r="AJ163" s="1"/>
      <c r="AK163" s="1"/>
      <c r="AL163" s="1"/>
      <c r="AM163" s="1"/>
      <c r="AN163" s="1"/>
      <c r="AO163" s="1"/>
      <c r="AP163" s="1"/>
      <c r="AQ163" s="1"/>
      <c r="AR163" s="1"/>
      <c r="AS163" s="1"/>
      <c r="AT163" s="1"/>
    </row>
    <row r="164" spans="8:58" ht="18" customHeight="1" outlineLevel="1" thickTop="1" x14ac:dyDescent="0.25">
      <c r="I164" s="202">
        <f>INDEX($J$118:$AC$171,MATCH($J164,$J$118:$J$171,0),MATCH($I$118,$J$118:$AC$118,0))</f>
        <v>0</v>
      </c>
      <c r="J164" s="31" t="str">
        <f>"Depreciation"&amp;" @ Useful Life of  "&amp;L94&amp;"yrs"</f>
        <v>Depreciation @ Useful Life of  8yrs</v>
      </c>
      <c r="K164" s="821">
        <f>SUM(N164:AC164)</f>
        <v>0</v>
      </c>
      <c r="L164" s="256">
        <f t="shared" ref="L164:L171" si="91">IFERROR(K164/$K$118,)</f>
        <v>0</v>
      </c>
      <c r="N164" s="932">
        <f>N294</f>
        <v>0</v>
      </c>
      <c r="O164" s="933">
        <f t="shared" ref="O164:AC164" si="92">O294</f>
        <v>0</v>
      </c>
      <c r="P164" s="933">
        <f t="shared" si="92"/>
        <v>0</v>
      </c>
      <c r="Q164" s="933">
        <f t="shared" si="92"/>
        <v>0</v>
      </c>
      <c r="R164" s="933">
        <f t="shared" si="92"/>
        <v>0</v>
      </c>
      <c r="S164" s="933">
        <f t="shared" si="92"/>
        <v>0</v>
      </c>
      <c r="T164" s="933">
        <f t="shared" si="92"/>
        <v>0</v>
      </c>
      <c r="U164" s="933">
        <f t="shared" si="92"/>
        <v>0</v>
      </c>
      <c r="V164" s="933">
        <f t="shared" si="92"/>
        <v>0</v>
      </c>
      <c r="W164" s="933">
        <f t="shared" si="92"/>
        <v>0</v>
      </c>
      <c r="X164" s="933">
        <f t="shared" si="92"/>
        <v>0</v>
      </c>
      <c r="Y164" s="933">
        <f t="shared" si="92"/>
        <v>0</v>
      </c>
      <c r="Z164" s="933">
        <f t="shared" si="92"/>
        <v>0</v>
      </c>
      <c r="AA164" s="933">
        <f t="shared" si="92"/>
        <v>0</v>
      </c>
      <c r="AB164" s="933">
        <f t="shared" si="92"/>
        <v>0</v>
      </c>
      <c r="AC164" s="934">
        <f t="shared" si="92"/>
        <v>0</v>
      </c>
      <c r="AD164" s="1"/>
      <c r="AE164" s="1"/>
    </row>
    <row r="165" spans="8:58" ht="18" customHeight="1" outlineLevel="1" x14ac:dyDescent="0.25">
      <c r="I165" s="202"/>
      <c r="J165" s="549" t="s">
        <v>379</v>
      </c>
      <c r="K165" s="820">
        <f t="shared" ref="K165" si="93">K162+K164</f>
        <v>0</v>
      </c>
      <c r="L165" s="228">
        <f t="shared" si="91"/>
        <v>0</v>
      </c>
      <c r="N165" s="930">
        <f>N162+N164</f>
        <v>0</v>
      </c>
      <c r="O165" s="802">
        <f t="shared" ref="O165:AC165" si="94">O162+O164</f>
        <v>0</v>
      </c>
      <c r="P165" s="802">
        <f t="shared" si="94"/>
        <v>0</v>
      </c>
      <c r="Q165" s="802">
        <f t="shared" si="94"/>
        <v>0</v>
      </c>
      <c r="R165" s="802">
        <f t="shared" si="94"/>
        <v>0</v>
      </c>
      <c r="S165" s="802">
        <f t="shared" si="94"/>
        <v>0</v>
      </c>
      <c r="T165" s="802">
        <f t="shared" si="94"/>
        <v>0</v>
      </c>
      <c r="U165" s="802">
        <f t="shared" si="94"/>
        <v>0</v>
      </c>
      <c r="V165" s="802">
        <f t="shared" si="94"/>
        <v>0</v>
      </c>
      <c r="W165" s="802">
        <f t="shared" si="94"/>
        <v>0</v>
      </c>
      <c r="X165" s="802">
        <f t="shared" si="94"/>
        <v>0</v>
      </c>
      <c r="Y165" s="802">
        <f t="shared" si="94"/>
        <v>0</v>
      </c>
      <c r="Z165" s="802">
        <f t="shared" si="94"/>
        <v>0</v>
      </c>
      <c r="AA165" s="802">
        <f t="shared" si="94"/>
        <v>0</v>
      </c>
      <c r="AB165" s="802">
        <f t="shared" si="94"/>
        <v>0</v>
      </c>
      <c r="AC165" s="931">
        <f t="shared" si="94"/>
        <v>0</v>
      </c>
      <c r="AD165" s="1"/>
      <c r="AE165" s="1"/>
    </row>
    <row r="166" spans="8:58" ht="18" customHeight="1" outlineLevel="1" thickBot="1" x14ac:dyDescent="0.25">
      <c r="I166" s="202"/>
      <c r="J166" s="551" t="s">
        <v>380</v>
      </c>
      <c r="K166" s="232">
        <f t="shared" ref="K166" si="95">IFERROR(K165/(K$118+K$139),)</f>
        <v>0</v>
      </c>
      <c r="L166" s="233"/>
      <c r="M166" s="234"/>
      <c r="N166" s="935">
        <f>IFERROR(N165/(N$118+N$139),)</f>
        <v>0</v>
      </c>
      <c r="O166" s="936">
        <f t="shared" ref="O166:AC166" si="96">IFERROR(O165/(O$118+O$139),)</f>
        <v>0</v>
      </c>
      <c r="P166" s="936">
        <f t="shared" si="96"/>
        <v>0</v>
      </c>
      <c r="Q166" s="936">
        <f t="shared" si="96"/>
        <v>0</v>
      </c>
      <c r="R166" s="936">
        <f t="shared" si="96"/>
        <v>0</v>
      </c>
      <c r="S166" s="936">
        <f t="shared" si="96"/>
        <v>0</v>
      </c>
      <c r="T166" s="936">
        <f t="shared" si="96"/>
        <v>0</v>
      </c>
      <c r="U166" s="936">
        <f t="shared" si="96"/>
        <v>0</v>
      </c>
      <c r="V166" s="936">
        <f t="shared" si="96"/>
        <v>0</v>
      </c>
      <c r="W166" s="936">
        <f t="shared" si="96"/>
        <v>0</v>
      </c>
      <c r="X166" s="936">
        <f t="shared" si="96"/>
        <v>0</v>
      </c>
      <c r="Y166" s="936">
        <f t="shared" si="96"/>
        <v>0</v>
      </c>
      <c r="Z166" s="936">
        <f t="shared" si="96"/>
        <v>0</v>
      </c>
      <c r="AA166" s="936">
        <f t="shared" si="96"/>
        <v>0</v>
      </c>
      <c r="AB166" s="936">
        <f t="shared" si="96"/>
        <v>0</v>
      </c>
      <c r="AC166" s="937">
        <f t="shared" si="96"/>
        <v>0</v>
      </c>
      <c r="AD166" s="1"/>
      <c r="AE166" s="1"/>
    </row>
    <row r="167" spans="8:58" ht="18" customHeight="1" outlineLevel="1" thickTop="1" x14ac:dyDescent="0.25">
      <c r="I167" s="202"/>
      <c r="J167" s="31" t="s">
        <v>145</v>
      </c>
      <c r="K167" s="206">
        <f>SUM(N167:AC167)</f>
        <v>0</v>
      </c>
      <c r="L167" s="207">
        <f t="shared" si="91"/>
        <v>0</v>
      </c>
      <c r="N167" s="257">
        <f t="shared" ref="N167:AC167" si="97">-IFERROR(IF($P$107="Yes",N111*N100*N78/365,0),0)</f>
        <v>0</v>
      </c>
      <c r="O167" s="258">
        <f t="shared" si="97"/>
        <v>0</v>
      </c>
      <c r="P167" s="258">
        <f t="shared" si="97"/>
        <v>0</v>
      </c>
      <c r="Q167" s="258">
        <f t="shared" si="97"/>
        <v>0</v>
      </c>
      <c r="R167" s="258">
        <f t="shared" si="97"/>
        <v>0</v>
      </c>
      <c r="S167" s="258">
        <f t="shared" si="97"/>
        <v>0</v>
      </c>
      <c r="T167" s="258">
        <f t="shared" si="97"/>
        <v>0</v>
      </c>
      <c r="U167" s="258">
        <f t="shared" si="97"/>
        <v>0</v>
      </c>
      <c r="V167" s="258">
        <f t="shared" si="97"/>
        <v>0</v>
      </c>
      <c r="W167" s="258">
        <f t="shared" si="97"/>
        <v>0</v>
      </c>
      <c r="X167" s="258">
        <f t="shared" si="97"/>
        <v>0</v>
      </c>
      <c r="Y167" s="258">
        <f t="shared" si="97"/>
        <v>0</v>
      </c>
      <c r="Z167" s="258">
        <f t="shared" si="97"/>
        <v>0</v>
      </c>
      <c r="AA167" s="258">
        <f t="shared" si="97"/>
        <v>0</v>
      </c>
      <c r="AB167" s="258">
        <f t="shared" si="97"/>
        <v>0</v>
      </c>
      <c r="AC167" s="259">
        <f t="shared" si="97"/>
        <v>0</v>
      </c>
      <c r="AD167" s="1"/>
      <c r="AE167" s="1"/>
    </row>
    <row r="168" spans="8:58" ht="18" customHeight="1" outlineLevel="1" x14ac:dyDescent="0.25">
      <c r="I168" s="202"/>
      <c r="J168" s="31" t="s">
        <v>146</v>
      </c>
      <c r="K168" s="208">
        <f>SUM(N168:AC168)</f>
        <v>0</v>
      </c>
      <c r="L168" s="209">
        <f t="shared" si="91"/>
        <v>0</v>
      </c>
      <c r="N168" s="260">
        <f>-N304</f>
        <v>0</v>
      </c>
      <c r="O168" s="261">
        <f t="shared" ref="O168:AC168" si="98">-O304</f>
        <v>0</v>
      </c>
      <c r="P168" s="261">
        <f t="shared" si="98"/>
        <v>0</v>
      </c>
      <c r="Q168" s="261">
        <f t="shared" si="98"/>
        <v>0</v>
      </c>
      <c r="R168" s="261">
        <f t="shared" si="98"/>
        <v>0</v>
      </c>
      <c r="S168" s="261">
        <f t="shared" si="98"/>
        <v>0</v>
      </c>
      <c r="T168" s="261">
        <f t="shared" si="98"/>
        <v>0</v>
      </c>
      <c r="U168" s="261">
        <f t="shared" si="98"/>
        <v>0</v>
      </c>
      <c r="V168" s="261">
        <f t="shared" si="98"/>
        <v>0</v>
      </c>
      <c r="W168" s="261">
        <f t="shared" si="98"/>
        <v>0</v>
      </c>
      <c r="X168" s="261">
        <f t="shared" si="98"/>
        <v>0</v>
      </c>
      <c r="Y168" s="261">
        <f t="shared" si="98"/>
        <v>0</v>
      </c>
      <c r="Z168" s="261">
        <f t="shared" si="98"/>
        <v>0</v>
      </c>
      <c r="AA168" s="261">
        <f t="shared" si="98"/>
        <v>0</v>
      </c>
      <c r="AB168" s="261">
        <f t="shared" si="98"/>
        <v>0</v>
      </c>
      <c r="AC168" s="262">
        <f t="shared" si="98"/>
        <v>0</v>
      </c>
      <c r="AD168" s="1"/>
      <c r="AE168" s="1"/>
    </row>
    <row r="169" spans="8:58" ht="15.75" outlineLevel="1" x14ac:dyDescent="0.25">
      <c r="I169" s="202">
        <f>INDEX($J$118:$AC$171,MATCH($J169,$J$118:$J$171,0),MATCH($I$118,$J$118:$AC$118,0))</f>
        <v>0</v>
      </c>
      <c r="J169" s="547" t="s">
        <v>147</v>
      </c>
      <c r="K169" s="820">
        <f>K162+SUM(K167:K168)</f>
        <v>0</v>
      </c>
      <c r="L169" s="938">
        <f t="shared" si="91"/>
        <v>0</v>
      </c>
      <c r="M169" s="750"/>
      <c r="N169" s="930">
        <f>N165+SUM(N167:N168)</f>
        <v>0</v>
      </c>
      <c r="O169" s="802">
        <f t="shared" ref="O169:AC169" si="99">O165+SUM(O167:O168)</f>
        <v>0</v>
      </c>
      <c r="P169" s="802">
        <f t="shared" si="99"/>
        <v>0</v>
      </c>
      <c r="Q169" s="802">
        <f t="shared" si="99"/>
        <v>0</v>
      </c>
      <c r="R169" s="802">
        <f t="shared" si="99"/>
        <v>0</v>
      </c>
      <c r="S169" s="802">
        <f t="shared" si="99"/>
        <v>0</v>
      </c>
      <c r="T169" s="802">
        <f t="shared" si="99"/>
        <v>0</v>
      </c>
      <c r="U169" s="802">
        <f t="shared" si="99"/>
        <v>0</v>
      </c>
      <c r="V169" s="802">
        <f t="shared" si="99"/>
        <v>0</v>
      </c>
      <c r="W169" s="802">
        <f t="shared" si="99"/>
        <v>0</v>
      </c>
      <c r="X169" s="802">
        <f t="shared" si="99"/>
        <v>0</v>
      </c>
      <c r="Y169" s="802">
        <f t="shared" si="99"/>
        <v>0</v>
      </c>
      <c r="Z169" s="802">
        <f t="shared" si="99"/>
        <v>0</v>
      </c>
      <c r="AA169" s="802">
        <f t="shared" si="99"/>
        <v>0</v>
      </c>
      <c r="AB169" s="802">
        <f t="shared" si="99"/>
        <v>0</v>
      </c>
      <c r="AC169" s="931">
        <f t="shared" si="99"/>
        <v>0</v>
      </c>
      <c r="AD169" s="1"/>
      <c r="AE169" s="1"/>
    </row>
    <row r="170" spans="8:58" ht="15.75" x14ac:dyDescent="0.25">
      <c r="I170" s="202">
        <f>INDEX($J$118:$AC$171,MATCH($J170,$J$118:$J$171,0),MATCH($I$118,$J$118:$AC$118,0))</f>
        <v>0</v>
      </c>
      <c r="J170" s="31" t="s">
        <v>148</v>
      </c>
      <c r="K170" s="816">
        <f>SUM(N170:AC170)</f>
        <v>0</v>
      </c>
      <c r="L170" s="221">
        <f t="shared" si="91"/>
        <v>0</v>
      </c>
      <c r="N170" s="939">
        <f t="shared" ref="N170:AC170" si="100">IF(N169&lt;0,0,N169*-N95)</f>
        <v>0</v>
      </c>
      <c r="O170" s="795">
        <f t="shared" si="100"/>
        <v>0</v>
      </c>
      <c r="P170" s="795">
        <f t="shared" si="100"/>
        <v>0</v>
      </c>
      <c r="Q170" s="795">
        <f t="shared" si="100"/>
        <v>0</v>
      </c>
      <c r="R170" s="795">
        <f t="shared" si="100"/>
        <v>0</v>
      </c>
      <c r="S170" s="795">
        <f t="shared" si="100"/>
        <v>0</v>
      </c>
      <c r="T170" s="795">
        <f t="shared" si="100"/>
        <v>0</v>
      </c>
      <c r="U170" s="795">
        <f t="shared" si="100"/>
        <v>0</v>
      </c>
      <c r="V170" s="795">
        <f t="shared" si="100"/>
        <v>0</v>
      </c>
      <c r="W170" s="795">
        <f t="shared" si="100"/>
        <v>0</v>
      </c>
      <c r="X170" s="795">
        <f t="shared" si="100"/>
        <v>0</v>
      </c>
      <c r="Y170" s="795">
        <f t="shared" si="100"/>
        <v>0</v>
      </c>
      <c r="Z170" s="795">
        <f t="shared" si="100"/>
        <v>0</v>
      </c>
      <c r="AA170" s="795">
        <f t="shared" si="100"/>
        <v>0</v>
      </c>
      <c r="AB170" s="795">
        <f t="shared" si="100"/>
        <v>0</v>
      </c>
      <c r="AC170" s="940">
        <f t="shared" si="100"/>
        <v>0</v>
      </c>
      <c r="AD170" s="1"/>
      <c r="AE170" s="1"/>
    </row>
    <row r="171" spans="8:58" outlineLevel="1" thickBot="1" x14ac:dyDescent="0.3">
      <c r="I171" s="202">
        <f>INDEX($J$118:$AC$171,MATCH($J171,$J$118:$J$171,0),MATCH($I$118,$J$118:$AC$118,0))</f>
        <v>0</v>
      </c>
      <c r="J171" s="557" t="s">
        <v>149</v>
      </c>
      <c r="K171" s="941">
        <f>K169+K170</f>
        <v>0</v>
      </c>
      <c r="L171" s="942">
        <f t="shared" si="91"/>
        <v>0</v>
      </c>
      <c r="N171" s="943">
        <f>N169+N170</f>
        <v>0</v>
      </c>
      <c r="O171" s="944">
        <f t="shared" ref="O171:AC171" si="101">O169+O170</f>
        <v>0</v>
      </c>
      <c r="P171" s="944">
        <f t="shared" si="101"/>
        <v>0</v>
      </c>
      <c r="Q171" s="944">
        <f t="shared" si="101"/>
        <v>0</v>
      </c>
      <c r="R171" s="944">
        <f t="shared" si="101"/>
        <v>0</v>
      </c>
      <c r="S171" s="944">
        <f t="shared" si="101"/>
        <v>0</v>
      </c>
      <c r="T171" s="944">
        <f t="shared" si="101"/>
        <v>0</v>
      </c>
      <c r="U171" s="944">
        <f t="shared" si="101"/>
        <v>0</v>
      </c>
      <c r="V171" s="944">
        <f t="shared" si="101"/>
        <v>0</v>
      </c>
      <c r="W171" s="944">
        <f t="shared" si="101"/>
        <v>0</v>
      </c>
      <c r="X171" s="944">
        <f t="shared" si="101"/>
        <v>0</v>
      </c>
      <c r="Y171" s="944">
        <f t="shared" si="101"/>
        <v>0</v>
      </c>
      <c r="Z171" s="944">
        <f t="shared" si="101"/>
        <v>0</v>
      </c>
      <c r="AA171" s="944">
        <f t="shared" si="101"/>
        <v>0</v>
      </c>
      <c r="AB171" s="944">
        <f t="shared" si="101"/>
        <v>0</v>
      </c>
      <c r="AC171" s="945">
        <f t="shared" si="101"/>
        <v>0</v>
      </c>
      <c r="AD171" s="1"/>
      <c r="AE171" s="1"/>
    </row>
    <row r="172" spans="8:58" s="4" customFormat="1" ht="15.75" x14ac:dyDescent="0.25">
      <c r="H172" s="1"/>
      <c r="J172" s="31"/>
      <c r="K172" s="164"/>
      <c r="L172" s="164"/>
      <c r="M172" s="1"/>
      <c r="N172" s="31"/>
      <c r="O172" s="31"/>
      <c r="P172" s="31"/>
      <c r="Q172" s="31"/>
      <c r="R172" s="31"/>
      <c r="S172" s="31"/>
      <c r="T172" s="31"/>
      <c r="U172" s="31"/>
      <c r="V172" s="31"/>
      <c r="W172" s="31"/>
      <c r="X172" s="31"/>
      <c r="Y172" s="31"/>
      <c r="Z172" s="31"/>
      <c r="AA172" s="31"/>
      <c r="AB172" s="31"/>
      <c r="AC172" s="3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row>
    <row r="173" spans="8:58" ht="18" outlineLevel="1" x14ac:dyDescent="0.2">
      <c r="I173" s="104" t="s">
        <v>130</v>
      </c>
      <c r="J173" s="105" t="s">
        <v>150</v>
      </c>
      <c r="K173" s="105"/>
      <c r="L173" s="105"/>
      <c r="M173" s="106"/>
      <c r="N173" s="107">
        <f>N$11</f>
        <v>2024</v>
      </c>
      <c r="O173" s="107">
        <f t="shared" ref="O173:AC173" si="102">O$11</f>
        <v>2025</v>
      </c>
      <c r="P173" s="107">
        <f t="shared" si="102"/>
        <v>2026</v>
      </c>
      <c r="Q173" s="107">
        <f t="shared" si="102"/>
        <v>2027</v>
      </c>
      <c r="R173" s="107">
        <f t="shared" si="102"/>
        <v>2028</v>
      </c>
      <c r="S173" s="107">
        <f t="shared" si="102"/>
        <v>2029</v>
      </c>
      <c r="T173" s="107">
        <f t="shared" si="102"/>
        <v>2030</v>
      </c>
      <c r="U173" s="107">
        <f t="shared" si="102"/>
        <v>2031</v>
      </c>
      <c r="V173" s="107">
        <f t="shared" si="102"/>
        <v>2032</v>
      </c>
      <c r="W173" s="107">
        <f t="shared" si="102"/>
        <v>2033</v>
      </c>
      <c r="X173" s="107">
        <f t="shared" si="102"/>
        <v>2034</v>
      </c>
      <c r="Y173" s="107">
        <f t="shared" si="102"/>
        <v>2035</v>
      </c>
      <c r="Z173" s="107">
        <f t="shared" si="102"/>
        <v>2036</v>
      </c>
      <c r="AA173" s="107">
        <f t="shared" si="102"/>
        <v>2037</v>
      </c>
      <c r="AB173" s="107">
        <f t="shared" si="102"/>
        <v>2038</v>
      </c>
      <c r="AC173" s="107">
        <f t="shared" si="102"/>
        <v>2039</v>
      </c>
      <c r="AD173" s="1"/>
      <c r="AE173" s="1"/>
    </row>
    <row r="174" spans="8:58" s="4" customFormat="1" ht="15.4" customHeight="1" outlineLevel="1" x14ac:dyDescent="0.25">
      <c r="H174" s="1"/>
      <c r="J174" s="31"/>
      <c r="K174" s="1189" t="s">
        <v>151</v>
      </c>
      <c r="L174" s="164"/>
      <c r="M174" s="1"/>
      <c r="N174" s="31"/>
      <c r="O174" s="31"/>
      <c r="P174" s="31"/>
      <c r="Q174" s="31"/>
      <c r="R174" s="31"/>
      <c r="S174" s="31"/>
      <c r="T174" s="31"/>
      <c r="U174" s="31"/>
      <c r="V174" s="31"/>
      <c r="W174" s="31"/>
      <c r="X174" s="31"/>
      <c r="Y174" s="31"/>
      <c r="Z174" s="31"/>
      <c r="AA174" s="31"/>
      <c r="AB174" s="31"/>
      <c r="AC174" s="3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row>
    <row r="175" spans="8:58" s="4" customFormat="1" ht="15.75" outlineLevel="1" x14ac:dyDescent="0.25">
      <c r="H175" s="1"/>
      <c r="J175" s="31"/>
      <c r="K175" s="1190"/>
      <c r="L175" s="141" t="s">
        <v>152</v>
      </c>
      <c r="M175" s="1"/>
      <c r="N175" s="31"/>
      <c r="O175" s="31"/>
      <c r="P175" s="31"/>
      <c r="Q175" s="31"/>
      <c r="R175" s="31"/>
      <c r="S175" s="31"/>
      <c r="T175" s="31"/>
      <c r="U175" s="31"/>
      <c r="V175" s="31"/>
      <c r="W175" s="31"/>
      <c r="X175" s="31"/>
      <c r="Y175" s="31"/>
      <c r="Z175" s="31"/>
      <c r="AA175" s="31"/>
      <c r="AB175" s="31"/>
      <c r="AC175" s="3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row>
    <row r="176" spans="8:58" s="4" customFormat="1" ht="22.5" customHeight="1" outlineLevel="1" x14ac:dyDescent="0.25">
      <c r="H176" s="1"/>
      <c r="I176" s="202"/>
      <c r="J176" s="203" t="s">
        <v>12</v>
      </c>
      <c r="K176" s="265"/>
      <c r="L176" s="946">
        <f>IFERROR(K118,"")</f>
        <v>0</v>
      </c>
      <c r="M176" s="947"/>
      <c r="N176" s="832">
        <f t="shared" ref="N176:AC176" si="103">IFERROR(N118,"")</f>
        <v>0</v>
      </c>
      <c r="O176" s="832">
        <f t="shared" si="103"/>
        <v>0</v>
      </c>
      <c r="P176" s="832">
        <f t="shared" si="103"/>
        <v>0</v>
      </c>
      <c r="Q176" s="832">
        <f t="shared" si="103"/>
        <v>0</v>
      </c>
      <c r="R176" s="832">
        <f t="shared" si="103"/>
        <v>0</v>
      </c>
      <c r="S176" s="832">
        <f t="shared" si="103"/>
        <v>0</v>
      </c>
      <c r="T176" s="832">
        <f t="shared" si="103"/>
        <v>0</v>
      </c>
      <c r="U176" s="832">
        <f t="shared" si="103"/>
        <v>0</v>
      </c>
      <c r="V176" s="832">
        <f t="shared" si="103"/>
        <v>0</v>
      </c>
      <c r="W176" s="832">
        <f t="shared" si="103"/>
        <v>0</v>
      </c>
      <c r="X176" s="832">
        <f t="shared" si="103"/>
        <v>0</v>
      </c>
      <c r="Y176" s="832">
        <f t="shared" si="103"/>
        <v>0</v>
      </c>
      <c r="Z176" s="832">
        <f t="shared" si="103"/>
        <v>0</v>
      </c>
      <c r="AA176" s="832">
        <f t="shared" si="103"/>
        <v>0</v>
      </c>
      <c r="AB176" s="832">
        <f t="shared" si="103"/>
        <v>0</v>
      </c>
      <c r="AC176" s="832">
        <f t="shared" si="103"/>
        <v>0</v>
      </c>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row>
    <row r="177" spans="8:58" s="4" customFormat="1" ht="15.75" outlineLevel="1" x14ac:dyDescent="0.25">
      <c r="H177" s="1"/>
      <c r="I177" s="202"/>
      <c r="J177" s="97" t="s">
        <v>153</v>
      </c>
      <c r="K177" s="267"/>
      <c r="L177" s="268"/>
      <c r="N177" s="269" t="str">
        <f t="shared" ref="N177:AC177" si="104">IFERROR(SUM(N119,N148)/N$118,"")</f>
        <v/>
      </c>
      <c r="O177" s="269" t="str">
        <f t="shared" si="104"/>
        <v/>
      </c>
      <c r="P177" s="269" t="str">
        <f t="shared" si="104"/>
        <v/>
      </c>
      <c r="Q177" s="269" t="str">
        <f t="shared" si="104"/>
        <v/>
      </c>
      <c r="R177" s="269" t="str">
        <f t="shared" si="104"/>
        <v/>
      </c>
      <c r="S177" s="269" t="str">
        <f t="shared" si="104"/>
        <v/>
      </c>
      <c r="T177" s="269" t="str">
        <f t="shared" si="104"/>
        <v/>
      </c>
      <c r="U177" s="269" t="str">
        <f t="shared" si="104"/>
        <v/>
      </c>
      <c r="V177" s="269" t="str">
        <f t="shared" si="104"/>
        <v/>
      </c>
      <c r="W177" s="269" t="str">
        <f t="shared" si="104"/>
        <v/>
      </c>
      <c r="X177" s="269" t="str">
        <f t="shared" si="104"/>
        <v/>
      </c>
      <c r="Y177" s="269" t="str">
        <f t="shared" si="104"/>
        <v/>
      </c>
      <c r="Z177" s="269" t="str">
        <f t="shared" si="104"/>
        <v/>
      </c>
      <c r="AA177" s="269" t="str">
        <f t="shared" si="104"/>
        <v/>
      </c>
      <c r="AB177" s="269" t="str">
        <f t="shared" si="104"/>
        <v/>
      </c>
      <c r="AC177" s="269" t="str">
        <f t="shared" si="104"/>
        <v/>
      </c>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row>
    <row r="178" spans="8:58" s="4" customFormat="1" ht="15.75" outlineLevel="1" x14ac:dyDescent="0.25">
      <c r="H178" s="1"/>
      <c r="I178" s="202"/>
      <c r="J178" s="97" t="s">
        <v>108</v>
      </c>
      <c r="K178" s="270"/>
      <c r="L178" s="271"/>
      <c r="N178" s="269" t="str">
        <f t="shared" ref="N178:AC181" si="105">IFERROR(N120/N$118,"")</f>
        <v/>
      </c>
      <c r="O178" s="272" t="str">
        <f t="shared" si="105"/>
        <v/>
      </c>
      <c r="P178" s="272" t="str">
        <f t="shared" si="105"/>
        <v/>
      </c>
      <c r="Q178" s="272" t="str">
        <f t="shared" si="105"/>
        <v/>
      </c>
      <c r="R178" s="272" t="str">
        <f t="shared" si="105"/>
        <v/>
      </c>
      <c r="S178" s="272" t="str">
        <f t="shared" si="105"/>
        <v/>
      </c>
      <c r="T178" s="272" t="str">
        <f t="shared" si="105"/>
        <v/>
      </c>
      <c r="U178" s="272" t="str">
        <f t="shared" si="105"/>
        <v/>
      </c>
      <c r="V178" s="272" t="str">
        <f t="shared" si="105"/>
        <v/>
      </c>
      <c r="W178" s="272" t="str">
        <f t="shared" si="105"/>
        <v/>
      </c>
      <c r="X178" s="272" t="str">
        <f t="shared" si="105"/>
        <v/>
      </c>
      <c r="Y178" s="272" t="str">
        <f t="shared" si="105"/>
        <v/>
      </c>
      <c r="Z178" s="272" t="str">
        <f t="shared" si="105"/>
        <v/>
      </c>
      <c r="AA178" s="272" t="str">
        <f t="shared" si="105"/>
        <v/>
      </c>
      <c r="AB178" s="272" t="str">
        <f t="shared" si="105"/>
        <v/>
      </c>
      <c r="AC178" s="273" t="str">
        <f t="shared" si="105"/>
        <v/>
      </c>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row>
    <row r="179" spans="8:58" s="4" customFormat="1" ht="15.75" outlineLevel="1" x14ac:dyDescent="0.25">
      <c r="H179" s="1"/>
      <c r="I179" s="202"/>
      <c r="J179" s="97" t="s">
        <v>109</v>
      </c>
      <c r="K179" s="270"/>
      <c r="L179" s="271"/>
      <c r="N179" s="269" t="str">
        <f t="shared" si="105"/>
        <v/>
      </c>
      <c r="O179" s="272" t="str">
        <f t="shared" si="105"/>
        <v/>
      </c>
      <c r="P179" s="272" t="str">
        <f t="shared" si="105"/>
        <v/>
      </c>
      <c r="Q179" s="272" t="str">
        <f t="shared" si="105"/>
        <v/>
      </c>
      <c r="R179" s="272" t="str">
        <f t="shared" si="105"/>
        <v/>
      </c>
      <c r="S179" s="272" t="str">
        <f t="shared" si="105"/>
        <v/>
      </c>
      <c r="T179" s="272" t="str">
        <f t="shared" si="105"/>
        <v/>
      </c>
      <c r="U179" s="272" t="str">
        <f t="shared" si="105"/>
        <v/>
      </c>
      <c r="V179" s="272" t="str">
        <f t="shared" si="105"/>
        <v/>
      </c>
      <c r="W179" s="272" t="str">
        <f t="shared" si="105"/>
        <v/>
      </c>
      <c r="X179" s="272" t="str">
        <f t="shared" si="105"/>
        <v/>
      </c>
      <c r="Y179" s="272" t="str">
        <f t="shared" si="105"/>
        <v/>
      </c>
      <c r="Z179" s="272" t="str">
        <f t="shared" si="105"/>
        <v/>
      </c>
      <c r="AA179" s="272" t="str">
        <f t="shared" si="105"/>
        <v/>
      </c>
      <c r="AB179" s="272" t="str">
        <f t="shared" si="105"/>
        <v/>
      </c>
      <c r="AC179" s="273" t="str">
        <f t="shared" si="105"/>
        <v/>
      </c>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row>
    <row r="180" spans="8:58" s="4" customFormat="1" ht="15.75" outlineLevel="1" x14ac:dyDescent="0.25">
      <c r="H180" s="1"/>
      <c r="I180" s="202"/>
      <c r="J180" s="97" t="s">
        <v>110</v>
      </c>
      <c r="K180" s="270"/>
      <c r="L180" s="271"/>
      <c r="N180" s="269" t="str">
        <f t="shared" si="105"/>
        <v/>
      </c>
      <c r="O180" s="272" t="str">
        <f t="shared" si="105"/>
        <v/>
      </c>
      <c r="P180" s="272" t="str">
        <f t="shared" si="105"/>
        <v/>
      </c>
      <c r="Q180" s="272" t="str">
        <f t="shared" si="105"/>
        <v/>
      </c>
      <c r="R180" s="272" t="str">
        <f t="shared" si="105"/>
        <v/>
      </c>
      <c r="S180" s="272" t="str">
        <f t="shared" si="105"/>
        <v/>
      </c>
      <c r="T180" s="272" t="str">
        <f t="shared" si="105"/>
        <v/>
      </c>
      <c r="U180" s="272" t="str">
        <f t="shared" si="105"/>
        <v/>
      </c>
      <c r="V180" s="272" t="str">
        <f t="shared" si="105"/>
        <v/>
      </c>
      <c r="W180" s="272" t="str">
        <f t="shared" si="105"/>
        <v/>
      </c>
      <c r="X180" s="272" t="str">
        <f t="shared" si="105"/>
        <v/>
      </c>
      <c r="Y180" s="272" t="str">
        <f t="shared" si="105"/>
        <v/>
      </c>
      <c r="Z180" s="272" t="str">
        <f t="shared" si="105"/>
        <v/>
      </c>
      <c r="AA180" s="272" t="str">
        <f t="shared" si="105"/>
        <v/>
      </c>
      <c r="AB180" s="272" t="str">
        <f t="shared" si="105"/>
        <v/>
      </c>
      <c r="AC180" s="273" t="str">
        <f t="shared" si="105"/>
        <v/>
      </c>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row>
    <row r="181" spans="8:58" s="4" customFormat="1" ht="15.75" outlineLevel="1" x14ac:dyDescent="0.25">
      <c r="H181" s="1"/>
      <c r="I181" s="202"/>
      <c r="J181" s="74" t="s">
        <v>111</v>
      </c>
      <c r="K181" s="274"/>
      <c r="L181" s="275"/>
      <c r="N181" s="269" t="str">
        <f t="shared" si="105"/>
        <v/>
      </c>
      <c r="O181" s="272" t="str">
        <f t="shared" si="105"/>
        <v/>
      </c>
      <c r="P181" s="272" t="str">
        <f t="shared" si="105"/>
        <v/>
      </c>
      <c r="Q181" s="272" t="str">
        <f t="shared" si="105"/>
        <v/>
      </c>
      <c r="R181" s="272" t="str">
        <f t="shared" si="105"/>
        <v/>
      </c>
      <c r="S181" s="272" t="str">
        <f t="shared" si="105"/>
        <v/>
      </c>
      <c r="T181" s="272" t="str">
        <f t="shared" si="105"/>
        <v/>
      </c>
      <c r="U181" s="272" t="str">
        <f t="shared" si="105"/>
        <v/>
      </c>
      <c r="V181" s="272" t="str">
        <f t="shared" si="105"/>
        <v/>
      </c>
      <c r="W181" s="272" t="str">
        <f t="shared" si="105"/>
        <v/>
      </c>
      <c r="X181" s="272" t="str">
        <f t="shared" si="105"/>
        <v/>
      </c>
      <c r="Y181" s="272" t="str">
        <f t="shared" si="105"/>
        <v/>
      </c>
      <c r="Z181" s="272" t="str">
        <f t="shared" si="105"/>
        <v/>
      </c>
      <c r="AA181" s="272" t="str">
        <f t="shared" si="105"/>
        <v/>
      </c>
      <c r="AB181" s="272" t="str">
        <f t="shared" si="105"/>
        <v/>
      </c>
      <c r="AC181" s="273" t="str">
        <f t="shared" si="105"/>
        <v/>
      </c>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row>
    <row r="182" spans="8:58" s="4" customFormat="1" ht="15.75" outlineLevel="1" x14ac:dyDescent="0.25">
      <c r="H182" s="1"/>
      <c r="I182" s="202"/>
      <c r="J182" s="210" t="s">
        <v>154</v>
      </c>
      <c r="K182" s="276"/>
      <c r="L182" s="277">
        <f>L124</f>
        <v>0</v>
      </c>
      <c r="N182" s="277" t="str">
        <f>IFERROR(SUM(N124,N148)/N$118,"")</f>
        <v/>
      </c>
      <c r="O182" s="277" t="str">
        <f t="shared" ref="O182:AC182" si="106">IFERROR(SUM(O124,O148)/O$118,"")</f>
        <v/>
      </c>
      <c r="P182" s="277" t="str">
        <f t="shared" si="106"/>
        <v/>
      </c>
      <c r="Q182" s="277" t="str">
        <f t="shared" si="106"/>
        <v/>
      </c>
      <c r="R182" s="277" t="str">
        <f t="shared" si="106"/>
        <v/>
      </c>
      <c r="S182" s="277" t="str">
        <f t="shared" si="106"/>
        <v/>
      </c>
      <c r="T182" s="277" t="str">
        <f t="shared" si="106"/>
        <v/>
      </c>
      <c r="U182" s="277" t="str">
        <f t="shared" si="106"/>
        <v/>
      </c>
      <c r="V182" s="277" t="str">
        <f t="shared" si="106"/>
        <v/>
      </c>
      <c r="W182" s="277" t="str">
        <f t="shared" si="106"/>
        <v/>
      </c>
      <c r="X182" s="277" t="str">
        <f t="shared" si="106"/>
        <v/>
      </c>
      <c r="Y182" s="277" t="str">
        <f t="shared" si="106"/>
        <v/>
      </c>
      <c r="Z182" s="277" t="str">
        <f t="shared" si="106"/>
        <v/>
      </c>
      <c r="AA182" s="277" t="str">
        <f t="shared" si="106"/>
        <v/>
      </c>
      <c r="AB182" s="277" t="str">
        <f t="shared" si="106"/>
        <v/>
      </c>
      <c r="AC182" s="277" t="str">
        <f t="shared" si="106"/>
        <v/>
      </c>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row>
    <row r="183" spans="8:58" s="4" customFormat="1" ht="15.75" outlineLevel="1" x14ac:dyDescent="0.25">
      <c r="H183" s="1"/>
      <c r="I183" s="202"/>
      <c r="J183" s="97" t="s">
        <v>114</v>
      </c>
      <c r="K183" s="276"/>
      <c r="L183" s="269">
        <f>L126</f>
        <v>0</v>
      </c>
      <c r="N183" s="269" t="str">
        <f>IFERROR(N126/N$118,"")</f>
        <v/>
      </c>
      <c r="O183" s="269" t="str">
        <f t="shared" ref="O183:AC184" si="107">IFERROR(O126/O$118,"")</f>
        <v/>
      </c>
      <c r="P183" s="269" t="str">
        <f t="shared" si="107"/>
        <v/>
      </c>
      <c r="Q183" s="269" t="str">
        <f t="shared" si="107"/>
        <v/>
      </c>
      <c r="R183" s="269" t="str">
        <f t="shared" si="107"/>
        <v/>
      </c>
      <c r="S183" s="269" t="str">
        <f t="shared" si="107"/>
        <v/>
      </c>
      <c r="T183" s="269" t="str">
        <f t="shared" si="107"/>
        <v/>
      </c>
      <c r="U183" s="269" t="str">
        <f t="shared" si="107"/>
        <v/>
      </c>
      <c r="V183" s="269" t="str">
        <f t="shared" si="107"/>
        <v/>
      </c>
      <c r="W183" s="269" t="str">
        <f t="shared" si="107"/>
        <v/>
      </c>
      <c r="X183" s="269" t="str">
        <f t="shared" si="107"/>
        <v/>
      </c>
      <c r="Y183" s="269" t="str">
        <f t="shared" si="107"/>
        <v/>
      </c>
      <c r="Z183" s="269" t="str">
        <f t="shared" si="107"/>
        <v/>
      </c>
      <c r="AA183" s="269" t="str">
        <f t="shared" si="107"/>
        <v/>
      </c>
      <c r="AB183" s="269" t="str">
        <f t="shared" si="107"/>
        <v/>
      </c>
      <c r="AC183" s="269" t="str">
        <f t="shared" si="107"/>
        <v/>
      </c>
      <c r="AD183" s="219"/>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row>
    <row r="184" spans="8:58" s="4" customFormat="1" ht="15.75" outlineLevel="1" x14ac:dyDescent="0.25">
      <c r="H184" s="1"/>
      <c r="I184" s="202"/>
      <c r="J184" s="97" t="s">
        <v>115</v>
      </c>
      <c r="K184" s="276"/>
      <c r="L184" s="269">
        <f>L127</f>
        <v>0</v>
      </c>
      <c r="N184" s="269" t="str">
        <f>IFERROR(N127/N$118,"")</f>
        <v/>
      </c>
      <c r="O184" s="269" t="str">
        <f t="shared" si="107"/>
        <v/>
      </c>
      <c r="P184" s="269" t="str">
        <f t="shared" si="107"/>
        <v/>
      </c>
      <c r="Q184" s="269" t="str">
        <f t="shared" si="107"/>
        <v/>
      </c>
      <c r="R184" s="269" t="str">
        <f t="shared" si="107"/>
        <v/>
      </c>
      <c r="S184" s="269" t="str">
        <f t="shared" si="107"/>
        <v/>
      </c>
      <c r="T184" s="269" t="str">
        <f t="shared" si="107"/>
        <v/>
      </c>
      <c r="U184" s="269" t="str">
        <f t="shared" si="107"/>
        <v/>
      </c>
      <c r="V184" s="269" t="str">
        <f t="shared" si="107"/>
        <v/>
      </c>
      <c r="W184" s="269" t="str">
        <f t="shared" si="107"/>
        <v/>
      </c>
      <c r="X184" s="269" t="str">
        <f t="shared" si="107"/>
        <v/>
      </c>
      <c r="Y184" s="269" t="str">
        <f t="shared" si="107"/>
        <v/>
      </c>
      <c r="Z184" s="269" t="str">
        <f t="shared" si="107"/>
        <v/>
      </c>
      <c r="AA184" s="269" t="str">
        <f t="shared" si="107"/>
        <v/>
      </c>
      <c r="AB184" s="269" t="str">
        <f t="shared" si="107"/>
        <v/>
      </c>
      <c r="AC184" s="269" t="str">
        <f t="shared" si="107"/>
        <v/>
      </c>
      <c r="AD184" s="219"/>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row>
    <row r="185" spans="8:58" s="4" customFormat="1" ht="15.75" outlineLevel="1" x14ac:dyDescent="0.25">
      <c r="H185" s="1"/>
      <c r="I185" s="202"/>
      <c r="J185" s="97" t="s">
        <v>116</v>
      </c>
      <c r="K185" s="276"/>
      <c r="L185" s="269">
        <f>L128</f>
        <v>0</v>
      </c>
      <c r="N185" s="269" t="str">
        <f>IFERROR(SUM(N128,N149)/N$118,"")</f>
        <v/>
      </c>
      <c r="O185" s="269" t="str">
        <f t="shared" ref="O185:AC186" si="108">IFERROR(SUM(O128,O149)/O$118,"")</f>
        <v/>
      </c>
      <c r="P185" s="269" t="str">
        <f t="shared" si="108"/>
        <v/>
      </c>
      <c r="Q185" s="269" t="str">
        <f t="shared" si="108"/>
        <v/>
      </c>
      <c r="R185" s="269" t="str">
        <f t="shared" si="108"/>
        <v/>
      </c>
      <c r="S185" s="269" t="str">
        <f t="shared" si="108"/>
        <v/>
      </c>
      <c r="T185" s="269" t="str">
        <f t="shared" si="108"/>
        <v/>
      </c>
      <c r="U185" s="269" t="str">
        <f t="shared" si="108"/>
        <v/>
      </c>
      <c r="V185" s="269" t="str">
        <f t="shared" si="108"/>
        <v/>
      </c>
      <c r="W185" s="269" t="str">
        <f t="shared" si="108"/>
        <v/>
      </c>
      <c r="X185" s="269" t="str">
        <f t="shared" si="108"/>
        <v/>
      </c>
      <c r="Y185" s="269" t="str">
        <f t="shared" si="108"/>
        <v/>
      </c>
      <c r="Z185" s="269" t="str">
        <f t="shared" si="108"/>
        <v/>
      </c>
      <c r="AA185" s="269" t="str">
        <f t="shared" si="108"/>
        <v/>
      </c>
      <c r="AB185" s="269" t="str">
        <f t="shared" si="108"/>
        <v/>
      </c>
      <c r="AC185" s="269" t="str">
        <f t="shared" si="108"/>
        <v/>
      </c>
      <c r="AD185" s="219"/>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row>
    <row r="186" spans="8:58" s="4" customFormat="1" ht="15.75" outlineLevel="1" x14ac:dyDescent="0.25">
      <c r="H186" s="1"/>
      <c r="I186" s="202"/>
      <c r="J186" s="97" t="s">
        <v>117</v>
      </c>
      <c r="K186" s="276"/>
      <c r="L186" s="269">
        <f>L129</f>
        <v>0</v>
      </c>
      <c r="N186" s="269" t="str">
        <f>IFERROR(SUM(N129,N150)/N$118,"")</f>
        <v/>
      </c>
      <c r="O186" s="269" t="str">
        <f t="shared" si="108"/>
        <v/>
      </c>
      <c r="P186" s="269" t="str">
        <f t="shared" si="108"/>
        <v/>
      </c>
      <c r="Q186" s="269" t="str">
        <f t="shared" si="108"/>
        <v/>
      </c>
      <c r="R186" s="269" t="str">
        <f t="shared" si="108"/>
        <v/>
      </c>
      <c r="S186" s="269" t="str">
        <f t="shared" si="108"/>
        <v/>
      </c>
      <c r="T186" s="269" t="str">
        <f t="shared" si="108"/>
        <v/>
      </c>
      <c r="U186" s="269" t="str">
        <f t="shared" si="108"/>
        <v/>
      </c>
      <c r="V186" s="269" t="str">
        <f t="shared" si="108"/>
        <v/>
      </c>
      <c r="W186" s="269" t="str">
        <f t="shared" si="108"/>
        <v/>
      </c>
      <c r="X186" s="269" t="str">
        <f t="shared" si="108"/>
        <v/>
      </c>
      <c r="Y186" s="269" t="str">
        <f t="shared" si="108"/>
        <v/>
      </c>
      <c r="Z186" s="269" t="str">
        <f t="shared" si="108"/>
        <v/>
      </c>
      <c r="AA186" s="269" t="str">
        <f t="shared" si="108"/>
        <v/>
      </c>
      <c r="AB186" s="269" t="str">
        <f t="shared" si="108"/>
        <v/>
      </c>
      <c r="AC186" s="269" t="str">
        <f t="shared" si="108"/>
        <v/>
      </c>
      <c r="AD186" s="219"/>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row>
    <row r="187" spans="8:58" s="4" customFormat="1" ht="15.75" outlineLevel="1" x14ac:dyDescent="0.25">
      <c r="H187" s="1"/>
      <c r="I187" s="202"/>
      <c r="J187" s="97" t="s">
        <v>155</v>
      </c>
      <c r="K187" s="278"/>
      <c r="L187" s="269"/>
      <c r="N187" s="269" t="str">
        <f>IFERROR(SUM(N152)/N$118,"")</f>
        <v/>
      </c>
      <c r="O187" s="269" t="str">
        <f t="shared" ref="O187:AC187" si="109">IFERROR(SUM(O152)/O$118,"")</f>
        <v/>
      </c>
      <c r="P187" s="269" t="str">
        <f t="shared" si="109"/>
        <v/>
      </c>
      <c r="Q187" s="269" t="str">
        <f t="shared" si="109"/>
        <v/>
      </c>
      <c r="R187" s="269" t="str">
        <f t="shared" si="109"/>
        <v/>
      </c>
      <c r="S187" s="269" t="str">
        <f t="shared" si="109"/>
        <v/>
      </c>
      <c r="T187" s="269" t="str">
        <f t="shared" si="109"/>
        <v/>
      </c>
      <c r="U187" s="269" t="str">
        <f t="shared" si="109"/>
        <v/>
      </c>
      <c r="V187" s="269" t="str">
        <f t="shared" si="109"/>
        <v/>
      </c>
      <c r="W187" s="269" t="str">
        <f t="shared" si="109"/>
        <v/>
      </c>
      <c r="X187" s="269" t="str">
        <f t="shared" si="109"/>
        <v/>
      </c>
      <c r="Y187" s="269" t="str">
        <f t="shared" si="109"/>
        <v/>
      </c>
      <c r="Z187" s="269" t="str">
        <f t="shared" si="109"/>
        <v/>
      </c>
      <c r="AA187" s="269" t="str">
        <f t="shared" si="109"/>
        <v/>
      </c>
      <c r="AB187" s="269" t="str">
        <f t="shared" si="109"/>
        <v/>
      </c>
      <c r="AC187" s="269" t="str">
        <f t="shared" si="109"/>
        <v/>
      </c>
      <c r="AD187" s="219"/>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row>
    <row r="188" spans="8:58" s="4" customFormat="1" ht="15.75" outlineLevel="1" x14ac:dyDescent="0.25">
      <c r="H188" s="1"/>
      <c r="I188" s="202"/>
      <c r="J188" s="97" t="s">
        <v>118</v>
      </c>
      <c r="K188" s="270"/>
      <c r="L188" s="269">
        <f>L130</f>
        <v>0</v>
      </c>
      <c r="N188" s="269" t="str">
        <f>IFERROR(N130/N$118,"")</f>
        <v/>
      </c>
      <c r="O188" s="269" t="str">
        <f t="shared" ref="O188:AC190" si="110">IFERROR(O130/O$118,"")</f>
        <v/>
      </c>
      <c r="P188" s="269" t="str">
        <f t="shared" si="110"/>
        <v/>
      </c>
      <c r="Q188" s="269" t="str">
        <f t="shared" si="110"/>
        <v/>
      </c>
      <c r="R188" s="269" t="str">
        <f t="shared" si="110"/>
        <v/>
      </c>
      <c r="S188" s="269" t="str">
        <f t="shared" si="110"/>
        <v/>
      </c>
      <c r="T188" s="269" t="str">
        <f t="shared" si="110"/>
        <v/>
      </c>
      <c r="U188" s="269" t="str">
        <f t="shared" si="110"/>
        <v/>
      </c>
      <c r="V188" s="269" t="str">
        <f t="shared" si="110"/>
        <v/>
      </c>
      <c r="W188" s="269" t="str">
        <f t="shared" si="110"/>
        <v/>
      </c>
      <c r="X188" s="269" t="str">
        <f t="shared" si="110"/>
        <v/>
      </c>
      <c r="Y188" s="269" t="str">
        <f t="shared" si="110"/>
        <v/>
      </c>
      <c r="Z188" s="269" t="str">
        <f t="shared" si="110"/>
        <v/>
      </c>
      <c r="AA188" s="269" t="str">
        <f t="shared" si="110"/>
        <v/>
      </c>
      <c r="AB188" s="269" t="str">
        <f t="shared" si="110"/>
        <v/>
      </c>
      <c r="AC188" s="269" t="str">
        <f t="shared" si="110"/>
        <v/>
      </c>
      <c r="AD188" s="219"/>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row>
    <row r="189" spans="8:58" s="4" customFormat="1" ht="15.75" outlineLevel="1" x14ac:dyDescent="0.25">
      <c r="H189" s="1"/>
      <c r="I189" s="202"/>
      <c r="J189" s="97" t="s">
        <v>156</v>
      </c>
      <c r="K189" s="270"/>
      <c r="L189" s="269">
        <f>L131</f>
        <v>0</v>
      </c>
      <c r="N189" s="269" t="str">
        <f>IFERROR(N131/N$118,"")</f>
        <v/>
      </c>
      <c r="O189" s="269" t="str">
        <f t="shared" si="110"/>
        <v/>
      </c>
      <c r="P189" s="269" t="str">
        <f t="shared" si="110"/>
        <v/>
      </c>
      <c r="Q189" s="269" t="str">
        <f t="shared" si="110"/>
        <v/>
      </c>
      <c r="R189" s="269" t="str">
        <f t="shared" si="110"/>
        <v/>
      </c>
      <c r="S189" s="269" t="str">
        <f t="shared" si="110"/>
        <v/>
      </c>
      <c r="T189" s="269" t="str">
        <f t="shared" si="110"/>
        <v/>
      </c>
      <c r="U189" s="269" t="str">
        <f t="shared" si="110"/>
        <v/>
      </c>
      <c r="V189" s="269" t="str">
        <f t="shared" si="110"/>
        <v/>
      </c>
      <c r="W189" s="269" t="str">
        <f t="shared" si="110"/>
        <v/>
      </c>
      <c r="X189" s="269" t="str">
        <f t="shared" si="110"/>
        <v/>
      </c>
      <c r="Y189" s="269" t="str">
        <f t="shared" si="110"/>
        <v/>
      </c>
      <c r="Z189" s="269" t="str">
        <f t="shared" si="110"/>
        <v/>
      </c>
      <c r="AA189" s="269" t="str">
        <f t="shared" si="110"/>
        <v/>
      </c>
      <c r="AB189" s="269" t="str">
        <f t="shared" si="110"/>
        <v/>
      </c>
      <c r="AC189" s="269" t="str">
        <f t="shared" si="110"/>
        <v/>
      </c>
      <c r="AD189" s="219"/>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row>
    <row r="190" spans="8:58" s="4" customFormat="1" ht="15.75" outlineLevel="1" x14ac:dyDescent="0.25">
      <c r="H190" s="1"/>
      <c r="I190" s="202"/>
      <c r="J190" s="74" t="s">
        <v>120</v>
      </c>
      <c r="K190" s="270"/>
      <c r="L190" s="269">
        <f>L132</f>
        <v>0</v>
      </c>
      <c r="N190" s="269" t="str">
        <f>IFERROR(N132/N$118,"")</f>
        <v/>
      </c>
      <c r="O190" s="269" t="str">
        <f t="shared" si="110"/>
        <v/>
      </c>
      <c r="P190" s="269" t="str">
        <f t="shared" si="110"/>
        <v/>
      </c>
      <c r="Q190" s="269" t="str">
        <f t="shared" si="110"/>
        <v/>
      </c>
      <c r="R190" s="269" t="str">
        <f t="shared" si="110"/>
        <v/>
      </c>
      <c r="S190" s="269" t="str">
        <f t="shared" si="110"/>
        <v/>
      </c>
      <c r="T190" s="269" t="str">
        <f t="shared" si="110"/>
        <v/>
      </c>
      <c r="U190" s="269" t="str">
        <f t="shared" si="110"/>
        <v/>
      </c>
      <c r="V190" s="269" t="str">
        <f t="shared" si="110"/>
        <v/>
      </c>
      <c r="W190" s="269" t="str">
        <f t="shared" si="110"/>
        <v/>
      </c>
      <c r="X190" s="269" t="str">
        <f t="shared" si="110"/>
        <v/>
      </c>
      <c r="Y190" s="269" t="str">
        <f t="shared" si="110"/>
        <v/>
      </c>
      <c r="Z190" s="269" t="str">
        <f t="shared" si="110"/>
        <v/>
      </c>
      <c r="AA190" s="269" t="str">
        <f t="shared" si="110"/>
        <v/>
      </c>
      <c r="AB190" s="269" t="str">
        <f t="shared" si="110"/>
        <v/>
      </c>
      <c r="AC190" s="269" t="str">
        <f t="shared" si="110"/>
        <v/>
      </c>
      <c r="AD190" s="219"/>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row>
    <row r="191" spans="8:58" s="4" customFormat="1" ht="15.75" outlineLevel="1" x14ac:dyDescent="0.25">
      <c r="H191" s="1"/>
      <c r="I191" s="202"/>
      <c r="J191" s="210" t="s">
        <v>14</v>
      </c>
      <c r="K191" s="279">
        <f>SUM(K182:K190)</f>
        <v>0</v>
      </c>
      <c r="L191" s="280">
        <f>SUM(L182:L190)</f>
        <v>0</v>
      </c>
      <c r="N191" s="281">
        <f t="shared" ref="N191:AC191" si="111">SUM(N182:N190)</f>
        <v>0</v>
      </c>
      <c r="O191" s="282">
        <f t="shared" si="111"/>
        <v>0</v>
      </c>
      <c r="P191" s="282">
        <f t="shared" si="111"/>
        <v>0</v>
      </c>
      <c r="Q191" s="282">
        <f t="shared" si="111"/>
        <v>0</v>
      </c>
      <c r="R191" s="282">
        <f t="shared" si="111"/>
        <v>0</v>
      </c>
      <c r="S191" s="282">
        <f t="shared" si="111"/>
        <v>0</v>
      </c>
      <c r="T191" s="282">
        <f t="shared" si="111"/>
        <v>0</v>
      </c>
      <c r="U191" s="282">
        <f t="shared" si="111"/>
        <v>0</v>
      </c>
      <c r="V191" s="282">
        <f t="shared" si="111"/>
        <v>0</v>
      </c>
      <c r="W191" s="282">
        <f t="shared" si="111"/>
        <v>0</v>
      </c>
      <c r="X191" s="282">
        <f t="shared" si="111"/>
        <v>0</v>
      </c>
      <c r="Y191" s="282">
        <f t="shared" si="111"/>
        <v>0</v>
      </c>
      <c r="Z191" s="282">
        <f t="shared" si="111"/>
        <v>0</v>
      </c>
      <c r="AA191" s="282">
        <f t="shared" si="111"/>
        <v>0</v>
      </c>
      <c r="AB191" s="282">
        <f t="shared" si="111"/>
        <v>0</v>
      </c>
      <c r="AC191" s="283">
        <f t="shared" si="111"/>
        <v>0</v>
      </c>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row>
    <row r="192" spans="8:58" s="4" customFormat="1" ht="15.75" outlineLevel="1" x14ac:dyDescent="0.25">
      <c r="H192" s="1"/>
      <c r="I192" s="202"/>
      <c r="J192" s="97" t="s">
        <v>122</v>
      </c>
      <c r="K192" s="276"/>
      <c r="L192" s="269">
        <f>L134+L156</f>
        <v>0</v>
      </c>
      <c r="N192" s="269" t="str">
        <f t="shared" ref="N192:AC192" si="112">IFERROR(SUM(N134,N156)/N$118,"")</f>
        <v/>
      </c>
      <c r="O192" s="269" t="str">
        <f t="shared" si="112"/>
        <v/>
      </c>
      <c r="P192" s="269" t="str">
        <f t="shared" si="112"/>
        <v/>
      </c>
      <c r="Q192" s="269" t="str">
        <f t="shared" si="112"/>
        <v/>
      </c>
      <c r="R192" s="269" t="str">
        <f t="shared" si="112"/>
        <v/>
      </c>
      <c r="S192" s="269" t="str">
        <f t="shared" si="112"/>
        <v/>
      </c>
      <c r="T192" s="269" t="str">
        <f t="shared" si="112"/>
        <v/>
      </c>
      <c r="U192" s="269" t="str">
        <f t="shared" si="112"/>
        <v/>
      </c>
      <c r="V192" s="269" t="str">
        <f t="shared" si="112"/>
        <v/>
      </c>
      <c r="W192" s="269" t="str">
        <f t="shared" si="112"/>
        <v/>
      </c>
      <c r="X192" s="269" t="str">
        <f t="shared" si="112"/>
        <v/>
      </c>
      <c r="Y192" s="269" t="str">
        <f t="shared" si="112"/>
        <v/>
      </c>
      <c r="Z192" s="269" t="str">
        <f t="shared" si="112"/>
        <v/>
      </c>
      <c r="AA192" s="269" t="str">
        <f t="shared" si="112"/>
        <v/>
      </c>
      <c r="AB192" s="269" t="str">
        <f t="shared" si="112"/>
        <v/>
      </c>
      <c r="AC192" s="269" t="str">
        <f t="shared" si="112"/>
        <v/>
      </c>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row>
    <row r="193" spans="8:58" s="4" customFormat="1" ht="15.75" outlineLevel="1" x14ac:dyDescent="0.25">
      <c r="H193" s="1"/>
      <c r="I193" s="202"/>
      <c r="J193" s="97" t="s">
        <v>123</v>
      </c>
      <c r="K193" s="276"/>
      <c r="L193" s="269">
        <f>L136+L157</f>
        <v>0</v>
      </c>
      <c r="N193" s="269" t="str">
        <f t="shared" ref="N193:AC193" si="113">IFERROR(SUM(N136,N157)/N$118,"")</f>
        <v/>
      </c>
      <c r="O193" s="269" t="str">
        <f t="shared" si="113"/>
        <v/>
      </c>
      <c r="P193" s="269" t="str">
        <f t="shared" si="113"/>
        <v/>
      </c>
      <c r="Q193" s="269" t="str">
        <f t="shared" si="113"/>
        <v/>
      </c>
      <c r="R193" s="269" t="str">
        <f t="shared" si="113"/>
        <v/>
      </c>
      <c r="S193" s="269" t="str">
        <f t="shared" si="113"/>
        <v/>
      </c>
      <c r="T193" s="269" t="str">
        <f t="shared" si="113"/>
        <v/>
      </c>
      <c r="U193" s="269" t="str">
        <f t="shared" si="113"/>
        <v/>
      </c>
      <c r="V193" s="269" t="str">
        <f t="shared" si="113"/>
        <v/>
      </c>
      <c r="W193" s="269" t="str">
        <f t="shared" si="113"/>
        <v/>
      </c>
      <c r="X193" s="269" t="str">
        <f t="shared" si="113"/>
        <v/>
      </c>
      <c r="Y193" s="269" t="str">
        <f t="shared" si="113"/>
        <v/>
      </c>
      <c r="Z193" s="269" t="str">
        <f t="shared" si="113"/>
        <v/>
      </c>
      <c r="AA193" s="269" t="str">
        <f t="shared" si="113"/>
        <v/>
      </c>
      <c r="AB193" s="269" t="str">
        <f t="shared" si="113"/>
        <v/>
      </c>
      <c r="AC193" s="269" t="str">
        <f t="shared" si="113"/>
        <v/>
      </c>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row>
    <row r="194" spans="8:58" ht="15.75" outlineLevel="1" x14ac:dyDescent="0.25">
      <c r="I194" s="202"/>
      <c r="J194" s="31" t="s">
        <v>124</v>
      </c>
      <c r="K194" s="276"/>
      <c r="L194" s="269">
        <f>L137</f>
        <v>0</v>
      </c>
      <c r="N194" s="269" t="str">
        <f t="shared" ref="N194:AC194" si="114">IFERROR(N137/N$118,"")</f>
        <v/>
      </c>
      <c r="O194" s="272" t="str">
        <f t="shared" si="114"/>
        <v/>
      </c>
      <c r="P194" s="272" t="str">
        <f t="shared" si="114"/>
        <v/>
      </c>
      <c r="Q194" s="272" t="str">
        <f t="shared" si="114"/>
        <v/>
      </c>
      <c r="R194" s="272" t="str">
        <f t="shared" si="114"/>
        <v/>
      </c>
      <c r="S194" s="272" t="str">
        <f t="shared" si="114"/>
        <v/>
      </c>
      <c r="T194" s="272" t="str">
        <f t="shared" si="114"/>
        <v/>
      </c>
      <c r="U194" s="272" t="str">
        <f t="shared" si="114"/>
        <v/>
      </c>
      <c r="V194" s="272" t="str">
        <f t="shared" si="114"/>
        <v/>
      </c>
      <c r="W194" s="272" t="str">
        <f t="shared" si="114"/>
        <v/>
      </c>
      <c r="X194" s="272" t="str">
        <f t="shared" si="114"/>
        <v/>
      </c>
      <c r="Y194" s="272" t="str">
        <f t="shared" si="114"/>
        <v/>
      </c>
      <c r="Z194" s="272" t="str">
        <f t="shared" si="114"/>
        <v/>
      </c>
      <c r="AA194" s="272" t="str">
        <f t="shared" si="114"/>
        <v/>
      </c>
      <c r="AB194" s="272" t="str">
        <f t="shared" si="114"/>
        <v/>
      </c>
      <c r="AC194" s="273" t="str">
        <f t="shared" si="114"/>
        <v/>
      </c>
      <c r="AD194" s="1"/>
      <c r="AE194" s="1"/>
    </row>
    <row r="195" spans="8:58" ht="15.75" outlineLevel="1" x14ac:dyDescent="0.25">
      <c r="I195" s="202"/>
      <c r="J195" s="222" t="s">
        <v>157</v>
      </c>
      <c r="K195" s="284">
        <f>SUM(K191:K194)</f>
        <v>0</v>
      </c>
      <c r="L195" s="285">
        <f>SUM(L191:L194)</f>
        <v>0</v>
      </c>
      <c r="N195" s="285">
        <f t="shared" ref="N195:AC195" si="115">SUM(N191:N194)</f>
        <v>0</v>
      </c>
      <c r="O195" s="284">
        <f t="shared" si="115"/>
        <v>0</v>
      </c>
      <c r="P195" s="284">
        <f t="shared" si="115"/>
        <v>0</v>
      </c>
      <c r="Q195" s="284">
        <f t="shared" si="115"/>
        <v>0</v>
      </c>
      <c r="R195" s="284">
        <f t="shared" si="115"/>
        <v>0</v>
      </c>
      <c r="S195" s="284">
        <f t="shared" si="115"/>
        <v>0</v>
      </c>
      <c r="T195" s="284">
        <f t="shared" si="115"/>
        <v>0</v>
      </c>
      <c r="U195" s="284">
        <f t="shared" si="115"/>
        <v>0</v>
      </c>
      <c r="V195" s="284">
        <f t="shared" si="115"/>
        <v>0</v>
      </c>
      <c r="W195" s="284">
        <f t="shared" si="115"/>
        <v>0</v>
      </c>
      <c r="X195" s="284">
        <f t="shared" si="115"/>
        <v>0</v>
      </c>
      <c r="Y195" s="284">
        <f t="shared" si="115"/>
        <v>0</v>
      </c>
      <c r="Z195" s="284">
        <f t="shared" si="115"/>
        <v>0</v>
      </c>
      <c r="AA195" s="284">
        <f t="shared" si="115"/>
        <v>0</v>
      </c>
      <c r="AB195" s="284">
        <f t="shared" si="115"/>
        <v>0</v>
      </c>
      <c r="AC195" s="286">
        <f t="shared" si="115"/>
        <v>0</v>
      </c>
      <c r="AD195" s="1"/>
      <c r="AE195" s="1"/>
    </row>
    <row r="196" spans="8:58" s="4" customFormat="1" ht="15.75" outlineLevel="1" x14ac:dyDescent="0.25">
      <c r="H196" s="1"/>
      <c r="J196" s="31"/>
      <c r="K196" s="164"/>
      <c r="L196" s="164"/>
      <c r="M196" s="1"/>
      <c r="N196" s="31"/>
      <c r="O196" s="31"/>
      <c r="P196" s="31"/>
      <c r="Q196" s="31"/>
      <c r="R196" s="31"/>
      <c r="S196" s="31"/>
      <c r="T196" s="31"/>
      <c r="U196" s="31"/>
      <c r="V196" s="31"/>
      <c r="W196" s="31"/>
      <c r="X196" s="31"/>
      <c r="Y196" s="31"/>
      <c r="Z196" s="31"/>
      <c r="AA196" s="31"/>
      <c r="AB196" s="31"/>
      <c r="AC196" s="3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row>
    <row r="197" spans="8:58" ht="18" x14ac:dyDescent="0.2">
      <c r="I197" s="104" t="s">
        <v>158</v>
      </c>
      <c r="J197" s="105" t="s">
        <v>159</v>
      </c>
      <c r="K197" s="105"/>
      <c r="L197" s="105"/>
      <c r="M197" s="106"/>
      <c r="N197" s="107">
        <f>N$11</f>
        <v>2024</v>
      </c>
      <c r="O197" s="107">
        <f t="shared" ref="O197:AC197" si="116">O$11</f>
        <v>2025</v>
      </c>
      <c r="P197" s="107">
        <f t="shared" si="116"/>
        <v>2026</v>
      </c>
      <c r="Q197" s="107">
        <f t="shared" si="116"/>
        <v>2027</v>
      </c>
      <c r="R197" s="107">
        <f t="shared" si="116"/>
        <v>2028</v>
      </c>
      <c r="S197" s="107">
        <f t="shared" si="116"/>
        <v>2029</v>
      </c>
      <c r="T197" s="107">
        <f t="shared" si="116"/>
        <v>2030</v>
      </c>
      <c r="U197" s="107">
        <f t="shared" si="116"/>
        <v>2031</v>
      </c>
      <c r="V197" s="107">
        <f t="shared" si="116"/>
        <v>2032</v>
      </c>
      <c r="W197" s="107">
        <f t="shared" si="116"/>
        <v>2033</v>
      </c>
      <c r="X197" s="107">
        <f t="shared" si="116"/>
        <v>2034</v>
      </c>
      <c r="Y197" s="107">
        <f t="shared" si="116"/>
        <v>2035</v>
      </c>
      <c r="Z197" s="107">
        <f t="shared" si="116"/>
        <v>2036</v>
      </c>
      <c r="AA197" s="107">
        <f t="shared" si="116"/>
        <v>2037</v>
      </c>
      <c r="AB197" s="107">
        <f t="shared" si="116"/>
        <v>2038</v>
      </c>
      <c r="AC197" s="107">
        <f t="shared" si="116"/>
        <v>2039</v>
      </c>
      <c r="AD197" s="1"/>
      <c r="AE197" s="1"/>
    </row>
    <row r="198" spans="8:58" s="4" customFormat="1" ht="15.75" x14ac:dyDescent="0.25">
      <c r="H198" s="1"/>
      <c r="I198" s="99">
        <v>1</v>
      </c>
      <c r="J198" s="544" t="s">
        <v>160</v>
      </c>
      <c r="K198" s="31"/>
      <c r="L198" s="169"/>
      <c r="M198" s="1"/>
      <c r="N198" s="31"/>
      <c r="O198" s="31"/>
      <c r="P198" s="31"/>
      <c r="Q198" s="31"/>
      <c r="R198" s="31"/>
      <c r="S198" s="31"/>
      <c r="T198" s="31"/>
      <c r="U198" s="31"/>
      <c r="V198" s="31"/>
      <c r="W198" s="31"/>
      <c r="X198" s="31"/>
      <c r="Y198" s="31"/>
      <c r="Z198" s="31"/>
      <c r="AA198" s="31"/>
      <c r="AB198" s="31"/>
      <c r="AC198" s="3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row>
    <row r="199" spans="8:58" s="4" customFormat="1" ht="15.75" x14ac:dyDescent="0.25">
      <c r="H199" s="1"/>
      <c r="I199" s="99"/>
      <c r="J199" s="545" t="s">
        <v>161</v>
      </c>
      <c r="K199" s="31"/>
      <c r="L199" s="287"/>
      <c r="M199" s="1"/>
      <c r="N199" s="844">
        <f t="shared" ref="N199:AC199" si="117">N240</f>
        <v>0</v>
      </c>
      <c r="O199" s="844">
        <f t="shared" si="117"/>
        <v>0</v>
      </c>
      <c r="P199" s="844">
        <f t="shared" si="117"/>
        <v>0</v>
      </c>
      <c r="Q199" s="844">
        <f t="shared" si="117"/>
        <v>0</v>
      </c>
      <c r="R199" s="844">
        <f t="shared" si="117"/>
        <v>0</v>
      </c>
      <c r="S199" s="844">
        <f t="shared" si="117"/>
        <v>0</v>
      </c>
      <c r="T199" s="844">
        <f t="shared" si="117"/>
        <v>0</v>
      </c>
      <c r="U199" s="844">
        <f t="shared" si="117"/>
        <v>0</v>
      </c>
      <c r="V199" s="844">
        <f t="shared" si="117"/>
        <v>0</v>
      </c>
      <c r="W199" s="844">
        <f t="shared" si="117"/>
        <v>0</v>
      </c>
      <c r="X199" s="844">
        <f t="shared" si="117"/>
        <v>0</v>
      </c>
      <c r="Y199" s="844">
        <f t="shared" si="117"/>
        <v>0</v>
      </c>
      <c r="Z199" s="844">
        <f t="shared" si="117"/>
        <v>0</v>
      </c>
      <c r="AA199" s="844">
        <f t="shared" si="117"/>
        <v>0</v>
      </c>
      <c r="AB199" s="844">
        <f t="shared" si="117"/>
        <v>0</v>
      </c>
      <c r="AC199" s="844">
        <f t="shared" si="117"/>
        <v>0</v>
      </c>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row>
    <row r="200" spans="8:58" s="4" customFormat="1" ht="15.75" x14ac:dyDescent="0.25">
      <c r="H200" s="1"/>
      <c r="I200" s="99"/>
      <c r="J200" s="545" t="s">
        <v>30</v>
      </c>
      <c r="K200" s="31"/>
      <c r="L200" s="287"/>
      <c r="M200" s="1"/>
      <c r="N200" s="844">
        <f t="shared" ref="N200:AC200" si="118">N118*IF(N78&lt;N79,N78,N79)/N78</f>
        <v>0</v>
      </c>
      <c r="O200" s="844">
        <f t="shared" si="118"/>
        <v>0</v>
      </c>
      <c r="P200" s="844">
        <f t="shared" si="118"/>
        <v>0</v>
      </c>
      <c r="Q200" s="844">
        <f t="shared" si="118"/>
        <v>0</v>
      </c>
      <c r="R200" s="844">
        <f t="shared" si="118"/>
        <v>0</v>
      </c>
      <c r="S200" s="844">
        <f t="shared" si="118"/>
        <v>0</v>
      </c>
      <c r="T200" s="844">
        <f t="shared" si="118"/>
        <v>0</v>
      </c>
      <c r="U200" s="844">
        <f t="shared" si="118"/>
        <v>0</v>
      </c>
      <c r="V200" s="844">
        <f t="shared" si="118"/>
        <v>0</v>
      </c>
      <c r="W200" s="844">
        <f t="shared" si="118"/>
        <v>0</v>
      </c>
      <c r="X200" s="844">
        <f t="shared" si="118"/>
        <v>0</v>
      </c>
      <c r="Y200" s="844">
        <f t="shared" si="118"/>
        <v>0</v>
      </c>
      <c r="Z200" s="844">
        <f t="shared" si="118"/>
        <v>0</v>
      </c>
      <c r="AA200" s="844">
        <f t="shared" si="118"/>
        <v>0</v>
      </c>
      <c r="AB200" s="844">
        <f t="shared" si="118"/>
        <v>0</v>
      </c>
      <c r="AC200" s="844">
        <f t="shared" si="118"/>
        <v>0</v>
      </c>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row>
    <row r="201" spans="8:58" s="4" customFormat="1" ht="15.75" x14ac:dyDescent="0.25">
      <c r="H201" s="1"/>
      <c r="I201" s="99"/>
      <c r="J201" s="545" t="s">
        <v>295</v>
      </c>
      <c r="K201" s="31"/>
      <c r="L201" s="287"/>
      <c r="M201" s="1"/>
      <c r="N201" s="844">
        <f t="shared" ref="N201:AC201" si="119">-(SUM(N119:N123)+N148)*IF(N78&lt;N81,N78,N81)/N78</f>
        <v>0</v>
      </c>
      <c r="O201" s="844">
        <f t="shared" si="119"/>
        <v>0</v>
      </c>
      <c r="P201" s="844">
        <f t="shared" si="119"/>
        <v>0</v>
      </c>
      <c r="Q201" s="844">
        <f t="shared" si="119"/>
        <v>0</v>
      </c>
      <c r="R201" s="844">
        <f t="shared" si="119"/>
        <v>0</v>
      </c>
      <c r="S201" s="844">
        <f t="shared" si="119"/>
        <v>0</v>
      </c>
      <c r="T201" s="844">
        <f t="shared" si="119"/>
        <v>0</v>
      </c>
      <c r="U201" s="844">
        <f t="shared" si="119"/>
        <v>0</v>
      </c>
      <c r="V201" s="844">
        <f t="shared" si="119"/>
        <v>0</v>
      </c>
      <c r="W201" s="844">
        <f t="shared" si="119"/>
        <v>0</v>
      </c>
      <c r="X201" s="844">
        <f t="shared" si="119"/>
        <v>0</v>
      </c>
      <c r="Y201" s="844">
        <f t="shared" si="119"/>
        <v>0</v>
      </c>
      <c r="Z201" s="844">
        <f t="shared" si="119"/>
        <v>0</v>
      </c>
      <c r="AA201" s="844">
        <f t="shared" si="119"/>
        <v>0</v>
      </c>
      <c r="AB201" s="844">
        <f t="shared" si="119"/>
        <v>0</v>
      </c>
      <c r="AC201" s="844">
        <f t="shared" si="119"/>
        <v>0</v>
      </c>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row>
    <row r="202" spans="8:58" s="4" customFormat="1" ht="15.75" x14ac:dyDescent="0.25">
      <c r="H202" s="1"/>
      <c r="I202" s="99"/>
      <c r="J202" s="545" t="s">
        <v>296</v>
      </c>
      <c r="K202" s="31"/>
      <c r="L202" s="287"/>
      <c r="M202" s="1"/>
      <c r="N202" s="844">
        <f t="shared" ref="N202:AC202" si="120">-(SUM(N$119:N$123)+SUM(N$126:N$129)*$K$82+SUM(N$149:N$150)*$K$82)*IF(N$78&lt;N82,N$78,N82)/N$78</f>
        <v>0</v>
      </c>
      <c r="O202" s="844">
        <f t="shared" si="120"/>
        <v>0</v>
      </c>
      <c r="P202" s="844">
        <f t="shared" si="120"/>
        <v>0</v>
      </c>
      <c r="Q202" s="844">
        <f t="shared" si="120"/>
        <v>0</v>
      </c>
      <c r="R202" s="844">
        <f t="shared" si="120"/>
        <v>0</v>
      </c>
      <c r="S202" s="844">
        <f t="shared" si="120"/>
        <v>0</v>
      </c>
      <c r="T202" s="844">
        <f t="shared" si="120"/>
        <v>0</v>
      </c>
      <c r="U202" s="844">
        <f t="shared" si="120"/>
        <v>0</v>
      </c>
      <c r="V202" s="844">
        <f t="shared" si="120"/>
        <v>0</v>
      </c>
      <c r="W202" s="844">
        <f t="shared" si="120"/>
        <v>0</v>
      </c>
      <c r="X202" s="844">
        <f t="shared" si="120"/>
        <v>0</v>
      </c>
      <c r="Y202" s="844">
        <f t="shared" si="120"/>
        <v>0</v>
      </c>
      <c r="Z202" s="844">
        <f t="shared" si="120"/>
        <v>0</v>
      </c>
      <c r="AA202" s="844">
        <f t="shared" si="120"/>
        <v>0</v>
      </c>
      <c r="AB202" s="844">
        <f t="shared" si="120"/>
        <v>0</v>
      </c>
      <c r="AC202" s="844">
        <f t="shared" si="120"/>
        <v>0</v>
      </c>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row>
    <row r="203" spans="8:58" s="4" customFormat="1" ht="15.75" x14ac:dyDescent="0.25">
      <c r="H203" s="1"/>
      <c r="I203" s="99"/>
      <c r="J203" s="545" t="s">
        <v>458</v>
      </c>
      <c r="K203" s="31"/>
      <c r="L203" s="287"/>
      <c r="M203" s="1"/>
      <c r="N203" s="844">
        <f t="shared" ref="N203:AC203" si="121">-(SUM(N$119:N$123)+SUM(N$126:N$129)+SUM(N$149:N$150))*IF(N$78&lt;N83,N$78,N83)/N$78</f>
        <v>0</v>
      </c>
      <c r="O203" s="844">
        <f t="shared" si="121"/>
        <v>0</v>
      </c>
      <c r="P203" s="844">
        <f t="shared" si="121"/>
        <v>0</v>
      </c>
      <c r="Q203" s="844">
        <f t="shared" si="121"/>
        <v>0</v>
      </c>
      <c r="R203" s="844">
        <f t="shared" si="121"/>
        <v>0</v>
      </c>
      <c r="S203" s="844">
        <f t="shared" si="121"/>
        <v>0</v>
      </c>
      <c r="T203" s="844">
        <f t="shared" si="121"/>
        <v>0</v>
      </c>
      <c r="U203" s="844">
        <f t="shared" si="121"/>
        <v>0</v>
      </c>
      <c r="V203" s="844">
        <f t="shared" si="121"/>
        <v>0</v>
      </c>
      <c r="W203" s="844">
        <f t="shared" si="121"/>
        <v>0</v>
      </c>
      <c r="X203" s="844">
        <f t="shared" si="121"/>
        <v>0</v>
      </c>
      <c r="Y203" s="844">
        <f t="shared" si="121"/>
        <v>0</v>
      </c>
      <c r="Z203" s="844">
        <f t="shared" si="121"/>
        <v>0</v>
      </c>
      <c r="AA203" s="844">
        <f t="shared" si="121"/>
        <v>0</v>
      </c>
      <c r="AB203" s="844">
        <f t="shared" si="121"/>
        <v>0</v>
      </c>
      <c r="AC203" s="844">
        <f t="shared" si="121"/>
        <v>0</v>
      </c>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row>
    <row r="204" spans="8:58" s="4" customFormat="1" ht="15.75" x14ac:dyDescent="0.25">
      <c r="H204" s="1"/>
      <c r="I204" s="99"/>
      <c r="J204" s="545" t="s">
        <v>298</v>
      </c>
      <c r="K204" s="31"/>
      <c r="L204" s="287"/>
      <c r="M204" s="1"/>
      <c r="N204" s="844">
        <f t="shared" ref="N204:AC204" si="122">-(SUM(N$119:N$123)+SUM(N$126:N$129)+SUM(N$149:N$150))*IF(N$78&lt;N84,N$78,N84)/N$78</f>
        <v>0</v>
      </c>
      <c r="O204" s="844">
        <f t="shared" si="122"/>
        <v>0</v>
      </c>
      <c r="P204" s="844">
        <f t="shared" si="122"/>
        <v>0</v>
      </c>
      <c r="Q204" s="844">
        <f t="shared" si="122"/>
        <v>0</v>
      </c>
      <c r="R204" s="844">
        <f t="shared" si="122"/>
        <v>0</v>
      </c>
      <c r="S204" s="844">
        <f t="shared" si="122"/>
        <v>0</v>
      </c>
      <c r="T204" s="844">
        <f t="shared" si="122"/>
        <v>0</v>
      </c>
      <c r="U204" s="844">
        <f t="shared" si="122"/>
        <v>0</v>
      </c>
      <c r="V204" s="844">
        <f t="shared" si="122"/>
        <v>0</v>
      </c>
      <c r="W204" s="844">
        <f t="shared" si="122"/>
        <v>0</v>
      </c>
      <c r="X204" s="844">
        <f t="shared" si="122"/>
        <v>0</v>
      </c>
      <c r="Y204" s="844">
        <f t="shared" si="122"/>
        <v>0</v>
      </c>
      <c r="Z204" s="844">
        <f t="shared" si="122"/>
        <v>0</v>
      </c>
      <c r="AA204" s="844">
        <f t="shared" si="122"/>
        <v>0</v>
      </c>
      <c r="AB204" s="844">
        <f t="shared" si="122"/>
        <v>0</v>
      </c>
      <c r="AC204" s="844">
        <f t="shared" si="122"/>
        <v>0</v>
      </c>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row>
    <row r="205" spans="8:58" s="4" customFormat="1" ht="15.75" x14ac:dyDescent="0.25">
      <c r="H205" s="1"/>
      <c r="I205" s="99"/>
      <c r="J205" s="545" t="s">
        <v>162</v>
      </c>
      <c r="K205" s="31"/>
      <c r="L205" s="287"/>
      <c r="M205" s="1"/>
      <c r="N205" s="844">
        <f t="shared" ref="N205:AC205" si="123">N118*N85</f>
        <v>0</v>
      </c>
      <c r="O205" s="844">
        <f t="shared" si="123"/>
        <v>0</v>
      </c>
      <c r="P205" s="844">
        <f t="shared" si="123"/>
        <v>0</v>
      </c>
      <c r="Q205" s="844">
        <f t="shared" si="123"/>
        <v>0</v>
      </c>
      <c r="R205" s="844">
        <f t="shared" si="123"/>
        <v>0</v>
      </c>
      <c r="S205" s="844">
        <f t="shared" si="123"/>
        <v>0</v>
      </c>
      <c r="T205" s="844">
        <f t="shared" si="123"/>
        <v>0</v>
      </c>
      <c r="U205" s="844">
        <f t="shared" si="123"/>
        <v>0</v>
      </c>
      <c r="V205" s="844">
        <f t="shared" si="123"/>
        <v>0</v>
      </c>
      <c r="W205" s="844">
        <f t="shared" si="123"/>
        <v>0</v>
      </c>
      <c r="X205" s="844">
        <f t="shared" si="123"/>
        <v>0</v>
      </c>
      <c r="Y205" s="844">
        <f t="shared" si="123"/>
        <v>0</v>
      </c>
      <c r="Z205" s="844">
        <f t="shared" si="123"/>
        <v>0</v>
      </c>
      <c r="AA205" s="844">
        <f t="shared" si="123"/>
        <v>0</v>
      </c>
      <c r="AB205" s="844">
        <f t="shared" si="123"/>
        <v>0</v>
      </c>
      <c r="AC205" s="844">
        <f t="shared" si="123"/>
        <v>0</v>
      </c>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row>
    <row r="206" spans="8:58" s="4" customFormat="1" ht="15.75" x14ac:dyDescent="0.25">
      <c r="H206" s="1"/>
      <c r="I206" s="99"/>
      <c r="J206" s="545" t="s">
        <v>163</v>
      </c>
      <c r="K206" s="31"/>
      <c r="L206" s="287"/>
      <c r="M206" s="1"/>
      <c r="N206" s="844">
        <f t="shared" ref="N206:AC206" si="124">N86</f>
        <v>0</v>
      </c>
      <c r="O206" s="844">
        <f t="shared" si="124"/>
        <v>0</v>
      </c>
      <c r="P206" s="844">
        <f t="shared" si="124"/>
        <v>0</v>
      </c>
      <c r="Q206" s="844">
        <f t="shared" si="124"/>
        <v>0</v>
      </c>
      <c r="R206" s="844">
        <f t="shared" si="124"/>
        <v>0</v>
      </c>
      <c r="S206" s="844">
        <f t="shared" si="124"/>
        <v>0</v>
      </c>
      <c r="T206" s="844">
        <f t="shared" si="124"/>
        <v>0</v>
      </c>
      <c r="U206" s="844">
        <f t="shared" si="124"/>
        <v>0</v>
      </c>
      <c r="V206" s="844">
        <f t="shared" si="124"/>
        <v>0</v>
      </c>
      <c r="W206" s="844">
        <f t="shared" si="124"/>
        <v>0</v>
      </c>
      <c r="X206" s="844">
        <f t="shared" si="124"/>
        <v>0</v>
      </c>
      <c r="Y206" s="844">
        <f t="shared" si="124"/>
        <v>0</v>
      </c>
      <c r="Z206" s="844">
        <f t="shared" si="124"/>
        <v>0</v>
      </c>
      <c r="AA206" s="844">
        <f t="shared" si="124"/>
        <v>0</v>
      </c>
      <c r="AB206" s="844">
        <f t="shared" si="124"/>
        <v>0</v>
      </c>
      <c r="AC206" s="844">
        <f t="shared" si="124"/>
        <v>0</v>
      </c>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row>
    <row r="207" spans="8:58" s="4" customFormat="1" ht="15.75" x14ac:dyDescent="0.25">
      <c r="H207" s="1"/>
      <c r="I207" s="99"/>
      <c r="J207" s="545" t="s">
        <v>164</v>
      </c>
      <c r="K207" s="31"/>
      <c r="L207" s="287"/>
      <c r="M207" s="1"/>
      <c r="N207" s="844">
        <f>N299</f>
        <v>0</v>
      </c>
      <c r="O207" s="844">
        <f t="shared" ref="O207:AC207" si="125">O299</f>
        <v>0</v>
      </c>
      <c r="P207" s="844">
        <f t="shared" si="125"/>
        <v>0</v>
      </c>
      <c r="Q207" s="844">
        <f t="shared" si="125"/>
        <v>0</v>
      </c>
      <c r="R207" s="844">
        <f t="shared" si="125"/>
        <v>0</v>
      </c>
      <c r="S207" s="844">
        <f t="shared" si="125"/>
        <v>0</v>
      </c>
      <c r="T207" s="844">
        <f t="shared" si="125"/>
        <v>0</v>
      </c>
      <c r="U207" s="844">
        <f t="shared" si="125"/>
        <v>0</v>
      </c>
      <c r="V207" s="844">
        <f t="shared" si="125"/>
        <v>0</v>
      </c>
      <c r="W207" s="844">
        <f t="shared" si="125"/>
        <v>0</v>
      </c>
      <c r="X207" s="844">
        <f t="shared" si="125"/>
        <v>0</v>
      </c>
      <c r="Y207" s="844">
        <f t="shared" si="125"/>
        <v>0</v>
      </c>
      <c r="Z207" s="844">
        <f t="shared" si="125"/>
        <v>0</v>
      </c>
      <c r="AA207" s="844">
        <f t="shared" si="125"/>
        <v>0</v>
      </c>
      <c r="AB207" s="844">
        <f t="shared" si="125"/>
        <v>0</v>
      </c>
      <c r="AC207" s="844">
        <f t="shared" si="125"/>
        <v>0</v>
      </c>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row>
    <row r="208" spans="8:58" s="4" customFormat="1" ht="15.75" x14ac:dyDescent="0.25">
      <c r="H208" s="1"/>
      <c r="I208" s="99"/>
      <c r="J208" s="545" t="s">
        <v>165</v>
      </c>
      <c r="K208" s="31"/>
      <c r="L208" s="289"/>
      <c r="M208" s="1"/>
      <c r="N208" s="844">
        <f t="shared" ref="N208:AC208" si="126">N295</f>
        <v>0</v>
      </c>
      <c r="O208" s="844">
        <f t="shared" si="126"/>
        <v>0</v>
      </c>
      <c r="P208" s="844">
        <f t="shared" si="126"/>
        <v>0</v>
      </c>
      <c r="Q208" s="844">
        <f t="shared" si="126"/>
        <v>0</v>
      </c>
      <c r="R208" s="844">
        <f t="shared" si="126"/>
        <v>0</v>
      </c>
      <c r="S208" s="844">
        <f t="shared" si="126"/>
        <v>0</v>
      </c>
      <c r="T208" s="844">
        <f t="shared" si="126"/>
        <v>0</v>
      </c>
      <c r="U208" s="844">
        <f t="shared" si="126"/>
        <v>0</v>
      </c>
      <c r="V208" s="844">
        <f t="shared" si="126"/>
        <v>0</v>
      </c>
      <c r="W208" s="844">
        <f t="shared" si="126"/>
        <v>0</v>
      </c>
      <c r="X208" s="844">
        <f t="shared" si="126"/>
        <v>0</v>
      </c>
      <c r="Y208" s="844">
        <f t="shared" si="126"/>
        <v>0</v>
      </c>
      <c r="Z208" s="844">
        <f t="shared" si="126"/>
        <v>0</v>
      </c>
      <c r="AA208" s="844">
        <f t="shared" si="126"/>
        <v>0</v>
      </c>
      <c r="AB208" s="844">
        <f t="shared" si="126"/>
        <v>0</v>
      </c>
      <c r="AC208" s="844">
        <f t="shared" si="126"/>
        <v>0</v>
      </c>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row>
    <row r="209" spans="8:58" s="4" customFormat="1" thickBot="1" x14ac:dyDescent="0.3">
      <c r="H209" s="1"/>
      <c r="I209" s="99"/>
      <c r="J209" s="558" t="s">
        <v>166</v>
      </c>
      <c r="K209" s="263"/>
      <c r="L209" s="290"/>
      <c r="M209" s="1"/>
      <c r="N209" s="837">
        <f t="shared" ref="N209:AC209" si="127">SUM(N199:N208)</f>
        <v>0</v>
      </c>
      <c r="O209" s="837">
        <f t="shared" si="127"/>
        <v>0</v>
      </c>
      <c r="P209" s="837">
        <f t="shared" si="127"/>
        <v>0</v>
      </c>
      <c r="Q209" s="837">
        <f t="shared" si="127"/>
        <v>0</v>
      </c>
      <c r="R209" s="837">
        <f t="shared" si="127"/>
        <v>0</v>
      </c>
      <c r="S209" s="837">
        <f t="shared" si="127"/>
        <v>0</v>
      </c>
      <c r="T209" s="837">
        <f t="shared" si="127"/>
        <v>0</v>
      </c>
      <c r="U209" s="837">
        <f t="shared" si="127"/>
        <v>0</v>
      </c>
      <c r="V209" s="837">
        <f t="shared" si="127"/>
        <v>0</v>
      </c>
      <c r="W209" s="837">
        <f t="shared" si="127"/>
        <v>0</v>
      </c>
      <c r="X209" s="837">
        <f t="shared" si="127"/>
        <v>0</v>
      </c>
      <c r="Y209" s="837">
        <f t="shared" si="127"/>
        <v>0</v>
      </c>
      <c r="Z209" s="837">
        <f t="shared" si="127"/>
        <v>0</v>
      </c>
      <c r="AA209" s="837">
        <f t="shared" si="127"/>
        <v>0</v>
      </c>
      <c r="AB209" s="837">
        <f t="shared" si="127"/>
        <v>0</v>
      </c>
      <c r="AC209" s="837">
        <f t="shared" si="127"/>
        <v>0</v>
      </c>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row>
    <row r="210" spans="8:58" s="4" customFormat="1" thickTop="1" x14ac:dyDescent="0.25">
      <c r="H210" s="1"/>
      <c r="I210" s="99">
        <v>2</v>
      </c>
      <c r="J210" s="544" t="s">
        <v>167</v>
      </c>
      <c r="K210" s="31"/>
      <c r="L210" s="287"/>
      <c r="M210" s="1"/>
      <c r="N210" s="291"/>
      <c r="O210" s="291"/>
      <c r="P210" s="291"/>
      <c r="Q210" s="291"/>
      <c r="R210" s="291"/>
      <c r="S210" s="291"/>
      <c r="T210" s="291"/>
      <c r="U210" s="291"/>
      <c r="V210" s="291"/>
      <c r="W210" s="291"/>
      <c r="X210" s="291"/>
      <c r="Y210" s="291"/>
      <c r="Z210" s="291"/>
      <c r="AA210" s="291"/>
      <c r="AB210" s="291"/>
      <c r="AC210" s="29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row>
    <row r="211" spans="8:58" s="4" customFormat="1" ht="15.75" x14ac:dyDescent="0.25">
      <c r="H211" s="1"/>
      <c r="I211" s="99"/>
      <c r="J211" s="545" t="s">
        <v>168</v>
      </c>
      <c r="K211" s="31"/>
      <c r="L211" s="287"/>
      <c r="M211" s="1"/>
      <c r="N211" s="844">
        <f t="shared" ref="N211:AC211" si="128">-(SUM(N119:N123)+SUM(N127,N129))*IF(N78&lt;N88,N78,N88)/N78</f>
        <v>0</v>
      </c>
      <c r="O211" s="844">
        <f t="shared" si="128"/>
        <v>0</v>
      </c>
      <c r="P211" s="844">
        <f t="shared" si="128"/>
        <v>0</v>
      </c>
      <c r="Q211" s="844">
        <f t="shared" si="128"/>
        <v>0</v>
      </c>
      <c r="R211" s="844">
        <f t="shared" si="128"/>
        <v>0</v>
      </c>
      <c r="S211" s="844">
        <f t="shared" si="128"/>
        <v>0</v>
      </c>
      <c r="T211" s="844">
        <f t="shared" si="128"/>
        <v>0</v>
      </c>
      <c r="U211" s="844">
        <f t="shared" si="128"/>
        <v>0</v>
      </c>
      <c r="V211" s="844">
        <f t="shared" si="128"/>
        <v>0</v>
      </c>
      <c r="W211" s="844">
        <f t="shared" si="128"/>
        <v>0</v>
      </c>
      <c r="X211" s="844">
        <f t="shared" si="128"/>
        <v>0</v>
      </c>
      <c r="Y211" s="844">
        <f t="shared" si="128"/>
        <v>0</v>
      </c>
      <c r="Z211" s="844">
        <f t="shared" si="128"/>
        <v>0</v>
      </c>
      <c r="AA211" s="844">
        <f t="shared" si="128"/>
        <v>0</v>
      </c>
      <c r="AB211" s="844">
        <f t="shared" si="128"/>
        <v>0</v>
      </c>
      <c r="AC211" s="844">
        <f t="shared" si="128"/>
        <v>0</v>
      </c>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row>
    <row r="212" spans="8:58" s="4" customFormat="1" ht="15.75" x14ac:dyDescent="0.25">
      <c r="H212" s="1"/>
      <c r="I212" s="99"/>
      <c r="J212" s="545" t="s">
        <v>169</v>
      </c>
      <c r="K212" s="31"/>
      <c r="L212" s="287"/>
      <c r="M212" s="1"/>
      <c r="N212" s="844">
        <f t="shared" ref="N212:AC212" si="129">N89*N118</f>
        <v>0</v>
      </c>
      <c r="O212" s="844">
        <f t="shared" si="129"/>
        <v>0</v>
      </c>
      <c r="P212" s="844">
        <f t="shared" si="129"/>
        <v>0</v>
      </c>
      <c r="Q212" s="844">
        <f t="shared" si="129"/>
        <v>0</v>
      </c>
      <c r="R212" s="844">
        <f t="shared" si="129"/>
        <v>0</v>
      </c>
      <c r="S212" s="844">
        <f t="shared" si="129"/>
        <v>0</v>
      </c>
      <c r="T212" s="844">
        <f t="shared" si="129"/>
        <v>0</v>
      </c>
      <c r="U212" s="844">
        <f t="shared" si="129"/>
        <v>0</v>
      </c>
      <c r="V212" s="844">
        <f t="shared" si="129"/>
        <v>0</v>
      </c>
      <c r="W212" s="844">
        <f t="shared" si="129"/>
        <v>0</v>
      </c>
      <c r="X212" s="844">
        <f t="shared" si="129"/>
        <v>0</v>
      </c>
      <c r="Y212" s="844">
        <f t="shared" si="129"/>
        <v>0</v>
      </c>
      <c r="Z212" s="844">
        <f t="shared" si="129"/>
        <v>0</v>
      </c>
      <c r="AA212" s="844">
        <f t="shared" si="129"/>
        <v>0</v>
      </c>
      <c r="AB212" s="844">
        <f t="shared" si="129"/>
        <v>0</v>
      </c>
      <c r="AC212" s="844">
        <f t="shared" si="129"/>
        <v>0</v>
      </c>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row>
    <row r="213" spans="8:58" s="4" customFormat="1" ht="15.75" x14ac:dyDescent="0.25">
      <c r="H213" s="1"/>
      <c r="I213" s="99"/>
      <c r="J213" s="545" t="s">
        <v>170</v>
      </c>
      <c r="K213" s="31"/>
      <c r="L213" s="289"/>
      <c r="M213" s="1"/>
      <c r="N213" s="844">
        <f t="shared" ref="N213:AC213" si="130">N303</f>
        <v>0</v>
      </c>
      <c r="O213" s="844">
        <f t="shared" si="130"/>
        <v>0</v>
      </c>
      <c r="P213" s="844">
        <f t="shared" si="130"/>
        <v>0</v>
      </c>
      <c r="Q213" s="844">
        <f t="shared" si="130"/>
        <v>0</v>
      </c>
      <c r="R213" s="844">
        <f t="shared" si="130"/>
        <v>0</v>
      </c>
      <c r="S213" s="844">
        <f t="shared" si="130"/>
        <v>0</v>
      </c>
      <c r="T213" s="844">
        <f t="shared" si="130"/>
        <v>0</v>
      </c>
      <c r="U213" s="844">
        <f t="shared" si="130"/>
        <v>0</v>
      </c>
      <c r="V213" s="844">
        <f t="shared" si="130"/>
        <v>0</v>
      </c>
      <c r="W213" s="844">
        <f t="shared" si="130"/>
        <v>0</v>
      </c>
      <c r="X213" s="844">
        <f t="shared" si="130"/>
        <v>0</v>
      </c>
      <c r="Y213" s="844">
        <f t="shared" si="130"/>
        <v>0</v>
      </c>
      <c r="Z213" s="844">
        <f t="shared" si="130"/>
        <v>0</v>
      </c>
      <c r="AA213" s="844">
        <f t="shared" si="130"/>
        <v>0</v>
      </c>
      <c r="AB213" s="844">
        <f t="shared" si="130"/>
        <v>0</v>
      </c>
      <c r="AC213" s="844">
        <f t="shared" si="130"/>
        <v>0</v>
      </c>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row>
    <row r="214" spans="8:58" s="4" customFormat="1" ht="15.75" x14ac:dyDescent="0.25">
      <c r="H214" s="1"/>
      <c r="I214" s="99"/>
      <c r="J214" s="547" t="s">
        <v>171</v>
      </c>
      <c r="K214" s="210"/>
      <c r="L214" s="292"/>
      <c r="M214" s="1"/>
      <c r="N214" s="839">
        <f t="shared" ref="N214:AC214" si="131">SUM(N211:N213)</f>
        <v>0</v>
      </c>
      <c r="O214" s="839">
        <f t="shared" si="131"/>
        <v>0</v>
      </c>
      <c r="P214" s="839">
        <f t="shared" si="131"/>
        <v>0</v>
      </c>
      <c r="Q214" s="839">
        <f t="shared" si="131"/>
        <v>0</v>
      </c>
      <c r="R214" s="839">
        <f t="shared" si="131"/>
        <v>0</v>
      </c>
      <c r="S214" s="839">
        <f t="shared" si="131"/>
        <v>0</v>
      </c>
      <c r="T214" s="839">
        <f t="shared" si="131"/>
        <v>0</v>
      </c>
      <c r="U214" s="839">
        <f t="shared" si="131"/>
        <v>0</v>
      </c>
      <c r="V214" s="839">
        <f t="shared" si="131"/>
        <v>0</v>
      </c>
      <c r="W214" s="839">
        <f t="shared" si="131"/>
        <v>0</v>
      </c>
      <c r="X214" s="839">
        <f t="shared" si="131"/>
        <v>0</v>
      </c>
      <c r="Y214" s="839">
        <f t="shared" si="131"/>
        <v>0</v>
      </c>
      <c r="Z214" s="839">
        <f t="shared" si="131"/>
        <v>0</v>
      </c>
      <c r="AA214" s="839">
        <f t="shared" si="131"/>
        <v>0</v>
      </c>
      <c r="AB214" s="839">
        <f t="shared" si="131"/>
        <v>0</v>
      </c>
      <c r="AC214" s="839">
        <f t="shared" si="131"/>
        <v>0</v>
      </c>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row>
    <row r="215" spans="8:58" s="4" customFormat="1" ht="15.75" x14ac:dyDescent="0.25">
      <c r="H215" s="1"/>
      <c r="I215" s="99"/>
      <c r="J215" s="544" t="s">
        <v>172</v>
      </c>
      <c r="K215" s="31"/>
      <c r="L215" s="293"/>
      <c r="M215" s="1"/>
      <c r="N215" s="838"/>
      <c r="O215" s="838"/>
      <c r="P215" s="838"/>
      <c r="Q215" s="838"/>
      <c r="R215" s="838"/>
      <c r="S215" s="838"/>
      <c r="T215" s="838"/>
      <c r="U215" s="838"/>
      <c r="V215" s="838"/>
      <c r="W215" s="838"/>
      <c r="X215" s="838"/>
      <c r="Y215" s="838"/>
      <c r="Z215" s="838"/>
      <c r="AA215" s="838"/>
      <c r="AB215" s="838"/>
      <c r="AC215" s="838"/>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row>
    <row r="216" spans="8:58" s="4" customFormat="1" ht="15.75" x14ac:dyDescent="0.25">
      <c r="H216" s="1"/>
      <c r="I216" s="99"/>
      <c r="J216" s="545" t="s">
        <v>173</v>
      </c>
      <c r="K216" s="31"/>
      <c r="L216" s="289"/>
      <c r="M216" s="1"/>
      <c r="N216" s="861">
        <f>N102</f>
        <v>0</v>
      </c>
      <c r="O216" s="844">
        <f t="shared" ref="O216:AC216" si="132">N216+O102</f>
        <v>0</v>
      </c>
      <c r="P216" s="844">
        <f t="shared" si="132"/>
        <v>0</v>
      </c>
      <c r="Q216" s="844">
        <f t="shared" si="132"/>
        <v>0</v>
      </c>
      <c r="R216" s="844">
        <f t="shared" si="132"/>
        <v>0</v>
      </c>
      <c r="S216" s="844">
        <f t="shared" si="132"/>
        <v>0</v>
      </c>
      <c r="T216" s="844">
        <f t="shared" si="132"/>
        <v>0</v>
      </c>
      <c r="U216" s="844">
        <f t="shared" si="132"/>
        <v>0</v>
      </c>
      <c r="V216" s="844">
        <f t="shared" si="132"/>
        <v>0</v>
      </c>
      <c r="W216" s="844">
        <f t="shared" si="132"/>
        <v>0</v>
      </c>
      <c r="X216" s="844">
        <f t="shared" si="132"/>
        <v>0</v>
      </c>
      <c r="Y216" s="844">
        <f t="shared" si="132"/>
        <v>0</v>
      </c>
      <c r="Z216" s="844">
        <f t="shared" si="132"/>
        <v>0</v>
      </c>
      <c r="AA216" s="844">
        <f t="shared" si="132"/>
        <v>0</v>
      </c>
      <c r="AB216" s="844">
        <f t="shared" si="132"/>
        <v>0</v>
      </c>
      <c r="AC216" s="844">
        <f t="shared" si="132"/>
        <v>0</v>
      </c>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row>
    <row r="217" spans="8:58" s="4" customFormat="1" ht="15.75" x14ac:dyDescent="0.25">
      <c r="H217" s="1"/>
      <c r="I217" s="99"/>
      <c r="J217" s="545" t="s">
        <v>174</v>
      </c>
      <c r="K217" s="31"/>
      <c r="L217" s="289"/>
      <c r="M217" s="1"/>
      <c r="N217" s="861">
        <f>N171</f>
        <v>0</v>
      </c>
      <c r="O217" s="844">
        <f t="shared" ref="O217:AC217" si="133">N217+O171</f>
        <v>0</v>
      </c>
      <c r="P217" s="844">
        <f t="shared" si="133"/>
        <v>0</v>
      </c>
      <c r="Q217" s="844">
        <f t="shared" si="133"/>
        <v>0</v>
      </c>
      <c r="R217" s="844">
        <f t="shared" si="133"/>
        <v>0</v>
      </c>
      <c r="S217" s="844">
        <f t="shared" si="133"/>
        <v>0</v>
      </c>
      <c r="T217" s="844">
        <f t="shared" si="133"/>
        <v>0</v>
      </c>
      <c r="U217" s="844">
        <f t="shared" si="133"/>
        <v>0</v>
      </c>
      <c r="V217" s="844">
        <f t="shared" si="133"/>
        <v>0</v>
      </c>
      <c r="W217" s="844">
        <f t="shared" si="133"/>
        <v>0</v>
      </c>
      <c r="X217" s="844">
        <f t="shared" si="133"/>
        <v>0</v>
      </c>
      <c r="Y217" s="844">
        <f t="shared" si="133"/>
        <v>0</v>
      </c>
      <c r="Z217" s="844">
        <f t="shared" si="133"/>
        <v>0</v>
      </c>
      <c r="AA217" s="844">
        <f t="shared" si="133"/>
        <v>0</v>
      </c>
      <c r="AB217" s="844">
        <f t="shared" si="133"/>
        <v>0</v>
      </c>
      <c r="AC217" s="844">
        <f t="shared" si="133"/>
        <v>0</v>
      </c>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row>
    <row r="218" spans="8:58" s="4" customFormat="1" ht="15.75" x14ac:dyDescent="0.25">
      <c r="H218" s="1"/>
      <c r="I218" s="99"/>
      <c r="J218" s="548" t="s">
        <v>172</v>
      </c>
      <c r="K218" s="222"/>
      <c r="L218" s="294"/>
      <c r="M218" s="1"/>
      <c r="N218" s="840">
        <f t="shared" ref="N218:AC218" si="134">SUM(N216:N217)</f>
        <v>0</v>
      </c>
      <c r="O218" s="840">
        <f t="shared" si="134"/>
        <v>0</v>
      </c>
      <c r="P218" s="840">
        <f t="shared" si="134"/>
        <v>0</v>
      </c>
      <c r="Q218" s="840">
        <f t="shared" si="134"/>
        <v>0</v>
      </c>
      <c r="R218" s="840">
        <f t="shared" si="134"/>
        <v>0</v>
      </c>
      <c r="S218" s="840">
        <f t="shared" si="134"/>
        <v>0</v>
      </c>
      <c r="T218" s="840">
        <f t="shared" si="134"/>
        <v>0</v>
      </c>
      <c r="U218" s="840">
        <f t="shared" si="134"/>
        <v>0</v>
      </c>
      <c r="V218" s="840">
        <f t="shared" si="134"/>
        <v>0</v>
      </c>
      <c r="W218" s="840">
        <f t="shared" si="134"/>
        <v>0</v>
      </c>
      <c r="X218" s="840">
        <f t="shared" si="134"/>
        <v>0</v>
      </c>
      <c r="Y218" s="840">
        <f t="shared" si="134"/>
        <v>0</v>
      </c>
      <c r="Z218" s="840">
        <f t="shared" si="134"/>
        <v>0</v>
      </c>
      <c r="AA218" s="840">
        <f t="shared" si="134"/>
        <v>0</v>
      </c>
      <c r="AB218" s="840">
        <f t="shared" si="134"/>
        <v>0</v>
      </c>
      <c r="AC218" s="840">
        <f t="shared" si="134"/>
        <v>0</v>
      </c>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row>
    <row r="219" spans="8:58" s="4" customFormat="1" thickBot="1" x14ac:dyDescent="0.3">
      <c r="H219" s="1"/>
      <c r="I219" s="99"/>
      <c r="J219" s="558" t="s">
        <v>175</v>
      </c>
      <c r="K219" s="263"/>
      <c r="L219" s="290"/>
      <c r="M219" s="1"/>
      <c r="N219" s="837">
        <f>N214+N218</f>
        <v>0</v>
      </c>
      <c r="O219" s="837">
        <f t="shared" ref="O219:AC219" si="135">O214+O218</f>
        <v>0</v>
      </c>
      <c r="P219" s="837">
        <f t="shared" si="135"/>
        <v>0</v>
      </c>
      <c r="Q219" s="837">
        <f t="shared" si="135"/>
        <v>0</v>
      </c>
      <c r="R219" s="837">
        <f t="shared" si="135"/>
        <v>0</v>
      </c>
      <c r="S219" s="837">
        <f t="shared" si="135"/>
        <v>0</v>
      </c>
      <c r="T219" s="837">
        <f t="shared" si="135"/>
        <v>0</v>
      </c>
      <c r="U219" s="837">
        <f t="shared" si="135"/>
        <v>0</v>
      </c>
      <c r="V219" s="837">
        <f t="shared" si="135"/>
        <v>0</v>
      </c>
      <c r="W219" s="837">
        <f t="shared" si="135"/>
        <v>0</v>
      </c>
      <c r="X219" s="837">
        <f t="shared" si="135"/>
        <v>0</v>
      </c>
      <c r="Y219" s="837">
        <f t="shared" si="135"/>
        <v>0</v>
      </c>
      <c r="Z219" s="837">
        <f t="shared" si="135"/>
        <v>0</v>
      </c>
      <c r="AA219" s="837">
        <f t="shared" si="135"/>
        <v>0</v>
      </c>
      <c r="AB219" s="837">
        <f t="shared" si="135"/>
        <v>0</v>
      </c>
      <c r="AC219" s="837">
        <f t="shared" si="135"/>
        <v>0</v>
      </c>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row>
    <row r="220" spans="8:58" s="4" customFormat="1" thickTop="1" x14ac:dyDescent="0.25">
      <c r="H220" s="1"/>
      <c r="I220" s="99"/>
      <c r="J220" s="537" t="s">
        <v>176</v>
      </c>
      <c r="K220" s="296"/>
      <c r="L220" s="297"/>
      <c r="M220" s="1"/>
      <c r="N220" s="298" t="str">
        <f>IF(ABS(N219-N209)&lt;1,"OK","Wrong")</f>
        <v>OK</v>
      </c>
      <c r="O220" s="298" t="str">
        <f>IF(ABS(O219-O209)&lt;1,"OK","Wrong")</f>
        <v>OK</v>
      </c>
      <c r="P220" s="298" t="str">
        <f t="shared" ref="P220:AC220" si="136">IF(ABS(P219-P209)&lt;1,"OK","Wrong")</f>
        <v>OK</v>
      </c>
      <c r="Q220" s="298" t="str">
        <f t="shared" si="136"/>
        <v>OK</v>
      </c>
      <c r="R220" s="298" t="str">
        <f t="shared" si="136"/>
        <v>OK</v>
      </c>
      <c r="S220" s="298" t="str">
        <f t="shared" si="136"/>
        <v>OK</v>
      </c>
      <c r="T220" s="298" t="str">
        <f t="shared" si="136"/>
        <v>OK</v>
      </c>
      <c r="U220" s="298" t="str">
        <f t="shared" si="136"/>
        <v>OK</v>
      </c>
      <c r="V220" s="298" t="str">
        <f t="shared" si="136"/>
        <v>OK</v>
      </c>
      <c r="W220" s="298" t="str">
        <f t="shared" si="136"/>
        <v>OK</v>
      </c>
      <c r="X220" s="298" t="str">
        <f t="shared" si="136"/>
        <v>OK</v>
      </c>
      <c r="Y220" s="298" t="str">
        <f t="shared" si="136"/>
        <v>OK</v>
      </c>
      <c r="Z220" s="298" t="str">
        <f t="shared" si="136"/>
        <v>OK</v>
      </c>
      <c r="AA220" s="298" t="str">
        <f t="shared" si="136"/>
        <v>OK</v>
      </c>
      <c r="AB220" s="298" t="str">
        <f t="shared" si="136"/>
        <v>OK</v>
      </c>
      <c r="AC220" s="298" t="str">
        <f t="shared" si="136"/>
        <v>OK</v>
      </c>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row>
    <row r="221" spans="8:58" s="4" customFormat="1" ht="15.75" x14ac:dyDescent="0.25">
      <c r="H221" s="1"/>
      <c r="I221" s="99"/>
      <c r="J221" s="559" t="s">
        <v>177</v>
      </c>
      <c r="K221" s="296"/>
      <c r="L221" s="297"/>
      <c r="M221" s="1"/>
      <c r="N221" s="299" t="str">
        <f>IF(ABS(((N217)-N171))&lt;1,"OK","Wrong")</f>
        <v>OK</v>
      </c>
      <c r="O221" s="298" t="str">
        <f t="shared" ref="O221:AC221" si="137">IF(ABS(((O217-N217)-O171))&lt;1,"OK","Wrong")</f>
        <v>OK</v>
      </c>
      <c r="P221" s="298" t="str">
        <f t="shared" si="137"/>
        <v>OK</v>
      </c>
      <c r="Q221" s="298" t="str">
        <f t="shared" si="137"/>
        <v>OK</v>
      </c>
      <c r="R221" s="298" t="str">
        <f t="shared" si="137"/>
        <v>OK</v>
      </c>
      <c r="S221" s="298" t="str">
        <f t="shared" si="137"/>
        <v>OK</v>
      </c>
      <c r="T221" s="298" t="str">
        <f t="shared" si="137"/>
        <v>OK</v>
      </c>
      <c r="U221" s="298" t="str">
        <f t="shared" si="137"/>
        <v>OK</v>
      </c>
      <c r="V221" s="298" t="str">
        <f t="shared" si="137"/>
        <v>OK</v>
      </c>
      <c r="W221" s="298" t="str">
        <f t="shared" si="137"/>
        <v>OK</v>
      </c>
      <c r="X221" s="298" t="str">
        <f t="shared" si="137"/>
        <v>OK</v>
      </c>
      <c r="Y221" s="298" t="str">
        <f t="shared" si="137"/>
        <v>OK</v>
      </c>
      <c r="Z221" s="298" t="str">
        <f t="shared" si="137"/>
        <v>OK</v>
      </c>
      <c r="AA221" s="298" t="str">
        <f t="shared" si="137"/>
        <v>OK</v>
      </c>
      <c r="AB221" s="298" t="str">
        <f t="shared" si="137"/>
        <v>OK</v>
      </c>
      <c r="AC221" s="298" t="str">
        <f t="shared" si="137"/>
        <v>OK</v>
      </c>
      <c r="AD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row>
    <row r="222" spans="8:58" s="4" customFormat="1" thickBot="1" x14ac:dyDescent="0.3">
      <c r="H222" s="1"/>
      <c r="I222" s="99"/>
      <c r="J222" s="31"/>
      <c r="K222" s="31"/>
      <c r="L222" s="169"/>
      <c r="M222" s="1"/>
      <c r="N222" s="31">
        <f>N219-N209</f>
        <v>0</v>
      </c>
      <c r="O222" s="31">
        <f t="shared" ref="O222:P222" si="138">O219-O209</f>
        <v>0</v>
      </c>
      <c r="P222" s="31">
        <f t="shared" si="138"/>
        <v>0</v>
      </c>
      <c r="Q222" s="31">
        <f>Q219-Q209</f>
        <v>0</v>
      </c>
      <c r="R222" s="31"/>
      <c r="S222" s="31"/>
      <c r="T222" s="31"/>
      <c r="U222" s="31"/>
      <c r="V222" s="31"/>
      <c r="W222" s="31"/>
      <c r="X222" s="31"/>
      <c r="Y222" s="31"/>
      <c r="Z222" s="31"/>
      <c r="AA222" s="31"/>
      <c r="AB222" s="31"/>
      <c r="AC222" s="31"/>
      <c r="AD222" s="1"/>
      <c r="AE222" s="1"/>
      <c r="AU222" s="1"/>
      <c r="AV222" s="1"/>
      <c r="AW222" s="1"/>
      <c r="AX222" s="1"/>
      <c r="AY222" s="1"/>
      <c r="AZ222" s="1"/>
      <c r="BA222" s="1"/>
      <c r="BB222" s="1"/>
      <c r="BC222" s="1"/>
      <c r="BD222" s="1"/>
      <c r="BE222" s="1"/>
      <c r="BF222" s="1"/>
    </row>
    <row r="223" spans="8:58" s="4" customFormat="1" ht="18" x14ac:dyDescent="0.2">
      <c r="H223" s="1"/>
      <c r="I223" s="132">
        <v>5</v>
      </c>
      <c r="J223" s="33" t="s">
        <v>178</v>
      </c>
      <c r="K223" s="33"/>
      <c r="L223" s="34" t="s">
        <v>11</v>
      </c>
      <c r="M223" s="1"/>
      <c r="N223" s="133">
        <f>N$11</f>
        <v>2024</v>
      </c>
      <c r="O223" s="133">
        <f t="shared" ref="O223:AC223" si="139">O$11</f>
        <v>2025</v>
      </c>
      <c r="P223" s="133">
        <f t="shared" si="139"/>
        <v>2026</v>
      </c>
      <c r="Q223" s="133">
        <f t="shared" si="139"/>
        <v>2027</v>
      </c>
      <c r="R223" s="133">
        <f t="shared" si="139"/>
        <v>2028</v>
      </c>
      <c r="S223" s="133">
        <f t="shared" si="139"/>
        <v>2029</v>
      </c>
      <c r="T223" s="133">
        <f t="shared" si="139"/>
        <v>2030</v>
      </c>
      <c r="U223" s="133">
        <f t="shared" si="139"/>
        <v>2031</v>
      </c>
      <c r="V223" s="133">
        <f t="shared" si="139"/>
        <v>2032</v>
      </c>
      <c r="W223" s="133">
        <f t="shared" si="139"/>
        <v>2033</v>
      </c>
      <c r="X223" s="133">
        <f t="shared" si="139"/>
        <v>2034</v>
      </c>
      <c r="Y223" s="133">
        <f t="shared" si="139"/>
        <v>2035</v>
      </c>
      <c r="Z223" s="133">
        <f t="shared" si="139"/>
        <v>2036</v>
      </c>
      <c r="AA223" s="133">
        <f t="shared" si="139"/>
        <v>2037</v>
      </c>
      <c r="AB223" s="133">
        <f t="shared" si="139"/>
        <v>2038</v>
      </c>
      <c r="AC223" s="133">
        <f t="shared" si="139"/>
        <v>2039</v>
      </c>
      <c r="AD223" s="1"/>
      <c r="AE223" s="1"/>
      <c r="AV223" s="1"/>
      <c r="AW223" s="1"/>
      <c r="AX223" s="1"/>
      <c r="AY223" s="1"/>
      <c r="AZ223" s="1"/>
      <c r="BA223" s="1"/>
      <c r="BB223" s="1"/>
      <c r="BC223" s="1"/>
      <c r="BD223" s="1"/>
      <c r="BE223" s="1"/>
      <c r="BF223" s="1"/>
    </row>
    <row r="224" spans="8:58" s="4" customFormat="1" ht="15.75" x14ac:dyDescent="0.25">
      <c r="H224" s="1"/>
      <c r="I224" s="99">
        <v>1</v>
      </c>
      <c r="J224" s="67" t="s">
        <v>179</v>
      </c>
      <c r="K224" s="31"/>
      <c r="L224" s="300"/>
      <c r="M224" s="1"/>
      <c r="N224" s="31"/>
      <c r="O224" s="31"/>
      <c r="P224" s="31"/>
      <c r="Q224" s="31"/>
      <c r="R224" s="31"/>
      <c r="S224" s="31"/>
      <c r="T224" s="31"/>
      <c r="U224" s="31"/>
      <c r="V224" s="31"/>
      <c r="W224" s="31"/>
      <c r="X224" s="31"/>
      <c r="Y224" s="31"/>
      <c r="Z224" s="31"/>
      <c r="AA224" s="31"/>
      <c r="AB224" s="31"/>
      <c r="AC224" s="31"/>
      <c r="AD224" s="1"/>
      <c r="AV224" s="1"/>
      <c r="AW224" s="1"/>
      <c r="AX224" s="1"/>
      <c r="AY224" s="1"/>
      <c r="AZ224" s="1"/>
      <c r="BA224" s="1"/>
      <c r="BB224" s="1"/>
      <c r="BC224" s="1"/>
      <c r="BD224" s="1"/>
      <c r="BE224" s="1"/>
      <c r="BF224" s="1"/>
    </row>
    <row r="225" spans="8:58" s="4" customFormat="1" ht="15.75" x14ac:dyDescent="0.25">
      <c r="H225" s="1"/>
      <c r="I225" s="99"/>
      <c r="J225" s="31" t="s">
        <v>149</v>
      </c>
      <c r="K225" s="31"/>
      <c r="L225" s="841">
        <f>SUM(N225:AC225)</f>
        <v>0</v>
      </c>
      <c r="M225" s="750"/>
      <c r="N225" s="844">
        <f t="shared" ref="N225:AC225" si="140">N171</f>
        <v>0</v>
      </c>
      <c r="O225" s="844">
        <f t="shared" si="140"/>
        <v>0</v>
      </c>
      <c r="P225" s="844">
        <f t="shared" si="140"/>
        <v>0</v>
      </c>
      <c r="Q225" s="844">
        <f t="shared" si="140"/>
        <v>0</v>
      </c>
      <c r="R225" s="844">
        <f t="shared" si="140"/>
        <v>0</v>
      </c>
      <c r="S225" s="844">
        <f t="shared" si="140"/>
        <v>0</v>
      </c>
      <c r="T225" s="844">
        <f t="shared" si="140"/>
        <v>0</v>
      </c>
      <c r="U225" s="844">
        <f t="shared" si="140"/>
        <v>0</v>
      </c>
      <c r="V225" s="844">
        <f t="shared" si="140"/>
        <v>0</v>
      </c>
      <c r="W225" s="844">
        <f t="shared" si="140"/>
        <v>0</v>
      </c>
      <c r="X225" s="844">
        <f t="shared" si="140"/>
        <v>0</v>
      </c>
      <c r="Y225" s="844">
        <f t="shared" si="140"/>
        <v>0</v>
      </c>
      <c r="Z225" s="844">
        <f t="shared" si="140"/>
        <v>0</v>
      </c>
      <c r="AA225" s="844">
        <f t="shared" si="140"/>
        <v>0</v>
      </c>
      <c r="AB225" s="844">
        <f t="shared" si="140"/>
        <v>0</v>
      </c>
      <c r="AC225" s="844">
        <f t="shared" si="140"/>
        <v>0</v>
      </c>
      <c r="AD225" s="1"/>
      <c r="AV225" s="1"/>
      <c r="AW225" s="1"/>
      <c r="AX225" s="1"/>
      <c r="AY225" s="1"/>
      <c r="AZ225" s="1"/>
      <c r="BA225" s="1"/>
      <c r="BB225" s="1"/>
      <c r="BC225" s="1"/>
      <c r="BD225" s="1"/>
      <c r="BE225" s="1"/>
      <c r="BF225" s="1"/>
    </row>
    <row r="226" spans="8:58" s="4" customFormat="1" ht="15.75" x14ac:dyDescent="0.25">
      <c r="H226" s="1"/>
      <c r="I226" s="99"/>
      <c r="J226" s="31" t="s">
        <v>180</v>
      </c>
      <c r="K226" s="31"/>
      <c r="L226" s="841">
        <f>SUM(N226:AC226)</f>
        <v>0</v>
      </c>
      <c r="M226" s="750"/>
      <c r="N226" s="844">
        <f t="shared" ref="N226:AC226" si="141">-N164-N131-N151</f>
        <v>0</v>
      </c>
      <c r="O226" s="844">
        <f t="shared" si="141"/>
        <v>0</v>
      </c>
      <c r="P226" s="844">
        <f t="shared" si="141"/>
        <v>0</v>
      </c>
      <c r="Q226" s="844">
        <f t="shared" si="141"/>
        <v>0</v>
      </c>
      <c r="R226" s="844">
        <f t="shared" si="141"/>
        <v>0</v>
      </c>
      <c r="S226" s="844">
        <f t="shared" si="141"/>
        <v>0</v>
      </c>
      <c r="T226" s="844">
        <f t="shared" si="141"/>
        <v>0</v>
      </c>
      <c r="U226" s="844">
        <f t="shared" si="141"/>
        <v>0</v>
      </c>
      <c r="V226" s="844">
        <f t="shared" si="141"/>
        <v>0</v>
      </c>
      <c r="W226" s="844">
        <f t="shared" si="141"/>
        <v>0</v>
      </c>
      <c r="X226" s="844">
        <f t="shared" si="141"/>
        <v>0</v>
      </c>
      <c r="Y226" s="844">
        <f t="shared" si="141"/>
        <v>0</v>
      </c>
      <c r="Z226" s="844">
        <f t="shared" si="141"/>
        <v>0</v>
      </c>
      <c r="AA226" s="844">
        <f t="shared" si="141"/>
        <v>0</v>
      </c>
      <c r="AB226" s="844">
        <f t="shared" si="141"/>
        <v>0</v>
      </c>
      <c r="AC226" s="844">
        <f t="shared" si="141"/>
        <v>0</v>
      </c>
      <c r="AD226" s="1"/>
      <c r="AV226" s="1"/>
      <c r="AW226" s="1"/>
      <c r="AX226" s="1"/>
      <c r="AY226" s="1"/>
      <c r="AZ226" s="1"/>
      <c r="BA226" s="1"/>
      <c r="BB226" s="1"/>
      <c r="BC226" s="1"/>
      <c r="BD226" s="1"/>
      <c r="BE226" s="1"/>
      <c r="BF226" s="1"/>
    </row>
    <row r="227" spans="8:58" s="4" customFormat="1" ht="15.75" x14ac:dyDescent="0.25">
      <c r="H227" s="1"/>
      <c r="I227" s="99"/>
      <c r="J227" s="31" t="s">
        <v>181</v>
      </c>
      <c r="K227" s="31"/>
      <c r="L227" s="841">
        <f>SUM(N227:AC227)</f>
        <v>0</v>
      </c>
      <c r="M227" s="750"/>
      <c r="N227" s="844">
        <f>-N289</f>
        <v>0</v>
      </c>
      <c r="O227" s="844">
        <f t="shared" ref="O227:AC227" si="142">-O289</f>
        <v>0</v>
      </c>
      <c r="P227" s="844">
        <f t="shared" si="142"/>
        <v>0</v>
      </c>
      <c r="Q227" s="844">
        <f t="shared" si="142"/>
        <v>0</v>
      </c>
      <c r="R227" s="844">
        <f t="shared" si="142"/>
        <v>0</v>
      </c>
      <c r="S227" s="844">
        <f t="shared" si="142"/>
        <v>0</v>
      </c>
      <c r="T227" s="844">
        <f t="shared" si="142"/>
        <v>0</v>
      </c>
      <c r="U227" s="844">
        <f t="shared" si="142"/>
        <v>0</v>
      </c>
      <c r="V227" s="844">
        <f t="shared" si="142"/>
        <v>0</v>
      </c>
      <c r="W227" s="844">
        <f t="shared" si="142"/>
        <v>0</v>
      </c>
      <c r="X227" s="844">
        <f t="shared" si="142"/>
        <v>0</v>
      </c>
      <c r="Y227" s="844">
        <f t="shared" si="142"/>
        <v>0</v>
      </c>
      <c r="Z227" s="844">
        <f t="shared" si="142"/>
        <v>0</v>
      </c>
      <c r="AA227" s="844">
        <f t="shared" si="142"/>
        <v>0</v>
      </c>
      <c r="AB227" s="844">
        <f t="shared" si="142"/>
        <v>0</v>
      </c>
      <c r="AC227" s="844">
        <f t="shared" si="142"/>
        <v>0</v>
      </c>
      <c r="AD227" s="1"/>
      <c r="AV227" s="1"/>
      <c r="AW227" s="1"/>
      <c r="AX227" s="1"/>
      <c r="AY227" s="1"/>
      <c r="AZ227" s="1"/>
      <c r="BA227" s="1"/>
      <c r="BB227" s="1"/>
      <c r="BC227" s="1"/>
      <c r="BD227" s="1"/>
      <c r="BE227" s="1"/>
      <c r="BF227" s="1"/>
    </row>
    <row r="228" spans="8:58" s="4" customFormat="1" ht="15.75" x14ac:dyDescent="0.25">
      <c r="H228" s="1"/>
      <c r="I228" s="99"/>
      <c r="J228" s="210" t="s">
        <v>182</v>
      </c>
      <c r="K228" s="102"/>
      <c r="L228" s="842">
        <f t="shared" ref="L228:AC228" si="143">SUM(L225:L227)</f>
        <v>0</v>
      </c>
      <c r="M228" s="750"/>
      <c r="N228" s="839">
        <f t="shared" si="143"/>
        <v>0</v>
      </c>
      <c r="O228" s="839">
        <f t="shared" si="143"/>
        <v>0</v>
      </c>
      <c r="P228" s="839">
        <f t="shared" si="143"/>
        <v>0</v>
      </c>
      <c r="Q228" s="839">
        <f t="shared" si="143"/>
        <v>0</v>
      </c>
      <c r="R228" s="839">
        <f t="shared" si="143"/>
        <v>0</v>
      </c>
      <c r="S228" s="839">
        <f t="shared" si="143"/>
        <v>0</v>
      </c>
      <c r="T228" s="839">
        <f t="shared" si="143"/>
        <v>0</v>
      </c>
      <c r="U228" s="839">
        <f t="shared" si="143"/>
        <v>0</v>
      </c>
      <c r="V228" s="839">
        <f t="shared" si="143"/>
        <v>0</v>
      </c>
      <c r="W228" s="839">
        <f t="shared" si="143"/>
        <v>0</v>
      </c>
      <c r="X228" s="839">
        <f t="shared" si="143"/>
        <v>0</v>
      </c>
      <c r="Y228" s="839">
        <f t="shared" si="143"/>
        <v>0</v>
      </c>
      <c r="Z228" s="839">
        <f t="shared" si="143"/>
        <v>0</v>
      </c>
      <c r="AA228" s="839">
        <f t="shared" si="143"/>
        <v>0</v>
      </c>
      <c r="AB228" s="839">
        <f t="shared" si="143"/>
        <v>0</v>
      </c>
      <c r="AC228" s="839">
        <f t="shared" si="143"/>
        <v>0</v>
      </c>
      <c r="AD228" s="1"/>
      <c r="AV228" s="1"/>
      <c r="AW228" s="1"/>
      <c r="AX228" s="1"/>
      <c r="AY228" s="1"/>
      <c r="AZ228" s="1"/>
      <c r="BA228" s="1"/>
      <c r="BB228" s="1"/>
      <c r="BC228" s="1"/>
      <c r="BD228" s="1"/>
      <c r="BE228" s="1"/>
      <c r="BF228" s="1"/>
    </row>
    <row r="229" spans="8:58" s="4" customFormat="1" ht="15.75" x14ac:dyDescent="0.25">
      <c r="H229" s="1"/>
      <c r="I229" s="99">
        <v>2</v>
      </c>
      <c r="J229" s="67" t="s">
        <v>183</v>
      </c>
      <c r="K229" s="31"/>
      <c r="L229" s="843"/>
      <c r="M229" s="750"/>
      <c r="N229" s="838"/>
      <c r="O229" s="838"/>
      <c r="P229" s="838"/>
      <c r="Q229" s="838"/>
      <c r="R229" s="838"/>
      <c r="S229" s="838"/>
      <c r="T229" s="838"/>
      <c r="U229" s="838"/>
      <c r="V229" s="838"/>
      <c r="W229" s="838"/>
      <c r="X229" s="838"/>
      <c r="Y229" s="838"/>
      <c r="Z229" s="838"/>
      <c r="AA229" s="838"/>
      <c r="AB229" s="838"/>
      <c r="AC229" s="838"/>
      <c r="AD229" s="1"/>
      <c r="AF229" s="1"/>
      <c r="AG229" s="1"/>
      <c r="AH229" s="1"/>
      <c r="AI229" s="1"/>
      <c r="AJ229" s="1"/>
      <c r="AK229" s="1"/>
      <c r="AL229" s="1"/>
      <c r="AM229" s="1"/>
      <c r="AN229" s="1"/>
      <c r="AO229" s="1"/>
      <c r="AP229" s="1"/>
      <c r="AQ229" s="1"/>
      <c r="AR229" s="1"/>
      <c r="AS229" s="1"/>
      <c r="AT229" s="1"/>
      <c r="AV229" s="1"/>
      <c r="AW229" s="1"/>
      <c r="AX229" s="1"/>
      <c r="AY229" s="1"/>
      <c r="AZ229" s="1"/>
      <c r="BA229" s="1"/>
      <c r="BB229" s="1"/>
      <c r="BC229" s="1"/>
      <c r="BD229" s="1"/>
      <c r="BE229" s="1"/>
      <c r="BF229" s="1"/>
    </row>
    <row r="230" spans="8:58" ht="15.75" x14ac:dyDescent="0.25">
      <c r="I230" s="99"/>
      <c r="J230" s="31" t="s">
        <v>351</v>
      </c>
      <c r="K230" s="31"/>
      <c r="L230" s="841">
        <f>SUM(N230:AC230)</f>
        <v>0</v>
      </c>
      <c r="M230" s="750"/>
      <c r="N230" s="844">
        <f>N69-N73</f>
        <v>0</v>
      </c>
      <c r="O230" s="844">
        <f t="shared" ref="O230:AC230" si="144">O69-O73</f>
        <v>0</v>
      </c>
      <c r="P230" s="844">
        <f t="shared" si="144"/>
        <v>0</v>
      </c>
      <c r="Q230" s="844">
        <f t="shared" si="144"/>
        <v>0</v>
      </c>
      <c r="R230" s="844">
        <f t="shared" si="144"/>
        <v>0</v>
      </c>
      <c r="S230" s="844">
        <f t="shared" si="144"/>
        <v>0</v>
      </c>
      <c r="T230" s="844">
        <f t="shared" si="144"/>
        <v>0</v>
      </c>
      <c r="U230" s="844">
        <f t="shared" si="144"/>
        <v>0</v>
      </c>
      <c r="V230" s="844">
        <f t="shared" si="144"/>
        <v>0</v>
      </c>
      <c r="W230" s="844">
        <f t="shared" si="144"/>
        <v>0</v>
      </c>
      <c r="X230" s="844">
        <f t="shared" si="144"/>
        <v>0</v>
      </c>
      <c r="Y230" s="844">
        <f t="shared" si="144"/>
        <v>0</v>
      </c>
      <c r="Z230" s="844">
        <f t="shared" si="144"/>
        <v>0</v>
      </c>
      <c r="AA230" s="844">
        <f t="shared" si="144"/>
        <v>0</v>
      </c>
      <c r="AB230" s="844">
        <f t="shared" si="144"/>
        <v>0</v>
      </c>
      <c r="AC230" s="844">
        <f t="shared" si="144"/>
        <v>0</v>
      </c>
      <c r="AD230" s="1"/>
    </row>
    <row r="231" spans="8:58" ht="15.75" x14ac:dyDescent="0.25">
      <c r="I231" s="99"/>
      <c r="J231" s="31" t="s">
        <v>184</v>
      </c>
      <c r="K231" s="31"/>
      <c r="L231" s="841">
        <f>SUM(N231:AC231)</f>
        <v>0</v>
      </c>
      <c r="M231" s="750"/>
      <c r="N231" s="844">
        <f t="shared" ref="N231:AC231" si="145">N75</f>
        <v>0</v>
      </c>
      <c r="O231" s="844">
        <f t="shared" si="145"/>
        <v>0</v>
      </c>
      <c r="P231" s="844">
        <f t="shared" si="145"/>
        <v>0</v>
      </c>
      <c r="Q231" s="844">
        <f t="shared" si="145"/>
        <v>0</v>
      </c>
      <c r="R231" s="844">
        <f t="shared" si="145"/>
        <v>0</v>
      </c>
      <c r="S231" s="844">
        <f t="shared" si="145"/>
        <v>0</v>
      </c>
      <c r="T231" s="844">
        <f t="shared" si="145"/>
        <v>0</v>
      </c>
      <c r="U231" s="844">
        <f t="shared" si="145"/>
        <v>0</v>
      </c>
      <c r="V231" s="844">
        <f t="shared" si="145"/>
        <v>0</v>
      </c>
      <c r="W231" s="844">
        <f t="shared" si="145"/>
        <v>0</v>
      </c>
      <c r="X231" s="844">
        <f t="shared" si="145"/>
        <v>0</v>
      </c>
      <c r="Y231" s="844">
        <f t="shared" si="145"/>
        <v>0</v>
      </c>
      <c r="Z231" s="844">
        <f t="shared" si="145"/>
        <v>0</v>
      </c>
      <c r="AA231" s="844">
        <f t="shared" si="145"/>
        <v>0</v>
      </c>
      <c r="AB231" s="844">
        <f t="shared" si="145"/>
        <v>0</v>
      </c>
      <c r="AC231" s="844">
        <f t="shared" si="145"/>
        <v>0</v>
      </c>
      <c r="AD231" s="1"/>
    </row>
    <row r="232" spans="8:58" ht="15.75" x14ac:dyDescent="0.25">
      <c r="I232" s="99"/>
      <c r="J232" s="210" t="s">
        <v>185</v>
      </c>
      <c r="K232" s="102"/>
      <c r="L232" s="842">
        <f t="shared" ref="L232:AC232" si="146">SUM(L230:L231)</f>
        <v>0</v>
      </c>
      <c r="M232" s="750"/>
      <c r="N232" s="839">
        <f t="shared" si="146"/>
        <v>0</v>
      </c>
      <c r="O232" s="839">
        <f t="shared" si="146"/>
        <v>0</v>
      </c>
      <c r="P232" s="839">
        <f t="shared" si="146"/>
        <v>0</v>
      </c>
      <c r="Q232" s="839">
        <f t="shared" si="146"/>
        <v>0</v>
      </c>
      <c r="R232" s="839">
        <f t="shared" si="146"/>
        <v>0</v>
      </c>
      <c r="S232" s="839">
        <f t="shared" si="146"/>
        <v>0</v>
      </c>
      <c r="T232" s="839">
        <f t="shared" si="146"/>
        <v>0</v>
      </c>
      <c r="U232" s="839">
        <f t="shared" si="146"/>
        <v>0</v>
      </c>
      <c r="V232" s="839">
        <f t="shared" si="146"/>
        <v>0</v>
      </c>
      <c r="W232" s="839">
        <f t="shared" si="146"/>
        <v>0</v>
      </c>
      <c r="X232" s="839">
        <f t="shared" si="146"/>
        <v>0</v>
      </c>
      <c r="Y232" s="839">
        <f t="shared" si="146"/>
        <v>0</v>
      </c>
      <c r="Z232" s="839">
        <f t="shared" si="146"/>
        <v>0</v>
      </c>
      <c r="AA232" s="839">
        <f t="shared" si="146"/>
        <v>0</v>
      </c>
      <c r="AB232" s="839">
        <f t="shared" si="146"/>
        <v>0</v>
      </c>
      <c r="AC232" s="839">
        <f t="shared" si="146"/>
        <v>0</v>
      </c>
      <c r="AD232" s="1"/>
    </row>
    <row r="233" spans="8:58" ht="15.75" x14ac:dyDescent="0.25">
      <c r="I233" s="99">
        <v>3</v>
      </c>
      <c r="J233" s="67" t="s">
        <v>186</v>
      </c>
      <c r="K233" s="31"/>
      <c r="L233" s="843"/>
      <c r="M233" s="750"/>
      <c r="N233" s="838"/>
      <c r="O233" s="838"/>
      <c r="P233" s="838"/>
      <c r="Q233" s="838"/>
      <c r="R233" s="838"/>
      <c r="S233" s="838"/>
      <c r="T233" s="838"/>
      <c r="U233" s="838"/>
      <c r="V233" s="838"/>
      <c r="W233" s="838"/>
      <c r="X233" s="838"/>
      <c r="Y233" s="838"/>
      <c r="Z233" s="838"/>
      <c r="AA233" s="838"/>
      <c r="AB233" s="838"/>
      <c r="AC233" s="838"/>
      <c r="AD233" s="1"/>
    </row>
    <row r="234" spans="8:58" ht="15.75" x14ac:dyDescent="0.25">
      <c r="I234" s="99"/>
      <c r="J234" s="31" t="s">
        <v>187</v>
      </c>
      <c r="K234" s="31"/>
      <c r="L234" s="845"/>
      <c r="M234" s="750"/>
      <c r="N234" s="948"/>
      <c r="O234" s="948"/>
      <c r="P234" s="948"/>
      <c r="Q234" s="948"/>
      <c r="R234" s="948"/>
      <c r="S234" s="948"/>
      <c r="T234" s="948"/>
      <c r="U234" s="948"/>
      <c r="V234" s="948"/>
      <c r="W234" s="948"/>
      <c r="X234" s="948"/>
      <c r="Y234" s="948"/>
      <c r="Z234" s="948"/>
      <c r="AA234" s="948"/>
      <c r="AB234" s="948"/>
      <c r="AC234" s="948"/>
      <c r="AD234" s="1"/>
    </row>
    <row r="235" spans="8:58" ht="15.75" x14ac:dyDescent="0.25">
      <c r="I235" s="99"/>
      <c r="J235" s="31" t="s">
        <v>188</v>
      </c>
      <c r="K235" s="31"/>
      <c r="L235" s="841">
        <f>SUM(N235:AC235)</f>
        <v>0</v>
      </c>
      <c r="M235" s="750"/>
      <c r="N235" s="844">
        <f t="shared" ref="N235:AC235" si="147">IF(((N232-N228-N236)-N239)&gt;0,((N232-N228-N236)-N239),0)</f>
        <v>0</v>
      </c>
      <c r="O235" s="844">
        <f t="shared" si="147"/>
        <v>0</v>
      </c>
      <c r="P235" s="844">
        <f t="shared" si="147"/>
        <v>0</v>
      </c>
      <c r="Q235" s="844">
        <f t="shared" si="147"/>
        <v>0</v>
      </c>
      <c r="R235" s="844">
        <f t="shared" si="147"/>
        <v>0</v>
      </c>
      <c r="S235" s="844">
        <f t="shared" si="147"/>
        <v>0</v>
      </c>
      <c r="T235" s="844">
        <f t="shared" si="147"/>
        <v>0</v>
      </c>
      <c r="U235" s="844">
        <f t="shared" si="147"/>
        <v>0</v>
      </c>
      <c r="V235" s="844">
        <f t="shared" si="147"/>
        <v>0</v>
      </c>
      <c r="W235" s="844">
        <f t="shared" si="147"/>
        <v>0</v>
      </c>
      <c r="X235" s="844">
        <f t="shared" si="147"/>
        <v>0</v>
      </c>
      <c r="Y235" s="844">
        <f t="shared" si="147"/>
        <v>0</v>
      </c>
      <c r="Z235" s="844">
        <f t="shared" si="147"/>
        <v>0</v>
      </c>
      <c r="AA235" s="844">
        <f t="shared" si="147"/>
        <v>0</v>
      </c>
      <c r="AB235" s="844">
        <f t="shared" si="147"/>
        <v>0</v>
      </c>
      <c r="AC235" s="844">
        <f t="shared" si="147"/>
        <v>0</v>
      </c>
      <c r="AD235" s="1"/>
      <c r="AE235" s="1"/>
    </row>
    <row r="236" spans="8:58" ht="15.75" x14ac:dyDescent="0.25">
      <c r="I236" s="99"/>
      <c r="J236" s="31" t="s">
        <v>189</v>
      </c>
      <c r="K236" s="31"/>
      <c r="L236" s="841">
        <f>SUM(N236:AC236)</f>
        <v>0</v>
      </c>
      <c r="M236" s="750"/>
      <c r="N236" s="844">
        <f t="shared" ref="N236:AC236" si="148">N101</f>
        <v>0</v>
      </c>
      <c r="O236" s="844">
        <f t="shared" si="148"/>
        <v>0</v>
      </c>
      <c r="P236" s="844">
        <f t="shared" si="148"/>
        <v>0</v>
      </c>
      <c r="Q236" s="844">
        <f t="shared" si="148"/>
        <v>0</v>
      </c>
      <c r="R236" s="844">
        <f t="shared" si="148"/>
        <v>0</v>
      </c>
      <c r="S236" s="844">
        <f t="shared" si="148"/>
        <v>0</v>
      </c>
      <c r="T236" s="844">
        <f t="shared" si="148"/>
        <v>0</v>
      </c>
      <c r="U236" s="844">
        <f t="shared" si="148"/>
        <v>0</v>
      </c>
      <c r="V236" s="844">
        <f t="shared" si="148"/>
        <v>0</v>
      </c>
      <c r="W236" s="844">
        <f t="shared" si="148"/>
        <v>0</v>
      </c>
      <c r="X236" s="844">
        <f t="shared" si="148"/>
        <v>0</v>
      </c>
      <c r="Y236" s="844">
        <f t="shared" si="148"/>
        <v>0</v>
      </c>
      <c r="Z236" s="844">
        <f t="shared" si="148"/>
        <v>0</v>
      </c>
      <c r="AA236" s="844">
        <f t="shared" si="148"/>
        <v>0</v>
      </c>
      <c r="AB236" s="844">
        <f t="shared" si="148"/>
        <v>0</v>
      </c>
      <c r="AC236" s="844">
        <f t="shared" si="148"/>
        <v>0</v>
      </c>
      <c r="AD236" s="1"/>
      <c r="AE236" s="1"/>
    </row>
    <row r="237" spans="8:58" ht="15.75" x14ac:dyDescent="0.25">
      <c r="I237" s="99"/>
      <c r="J237" s="210" t="s">
        <v>190</v>
      </c>
      <c r="K237" s="102"/>
      <c r="L237" s="842">
        <f>SUM(L234:L236)</f>
        <v>0</v>
      </c>
      <c r="M237" s="750"/>
      <c r="N237" s="839">
        <f t="shared" ref="N237:AC237" si="149">SUM(N234:N236)</f>
        <v>0</v>
      </c>
      <c r="O237" s="839">
        <f t="shared" si="149"/>
        <v>0</v>
      </c>
      <c r="P237" s="839">
        <f t="shared" si="149"/>
        <v>0</v>
      </c>
      <c r="Q237" s="839">
        <f t="shared" si="149"/>
        <v>0</v>
      </c>
      <c r="R237" s="839">
        <f t="shared" si="149"/>
        <v>0</v>
      </c>
      <c r="S237" s="839">
        <f t="shared" si="149"/>
        <v>0</v>
      </c>
      <c r="T237" s="839">
        <f t="shared" si="149"/>
        <v>0</v>
      </c>
      <c r="U237" s="839">
        <f t="shared" si="149"/>
        <v>0</v>
      </c>
      <c r="V237" s="839">
        <f t="shared" si="149"/>
        <v>0</v>
      </c>
      <c r="W237" s="839">
        <f t="shared" si="149"/>
        <v>0</v>
      </c>
      <c r="X237" s="839">
        <f t="shared" si="149"/>
        <v>0</v>
      </c>
      <c r="Y237" s="839">
        <f t="shared" si="149"/>
        <v>0</v>
      </c>
      <c r="Z237" s="839">
        <f t="shared" si="149"/>
        <v>0</v>
      </c>
      <c r="AA237" s="839">
        <f t="shared" si="149"/>
        <v>0</v>
      </c>
      <c r="AB237" s="839">
        <f t="shared" si="149"/>
        <v>0</v>
      </c>
      <c r="AC237" s="839">
        <f t="shared" si="149"/>
        <v>0</v>
      </c>
      <c r="AD237" s="1"/>
      <c r="AE237" s="1"/>
    </row>
    <row r="238" spans="8:58" ht="15.75" x14ac:dyDescent="0.25">
      <c r="I238" s="99"/>
      <c r="J238" s="31" t="s">
        <v>191</v>
      </c>
      <c r="K238" s="31"/>
      <c r="L238" s="841">
        <f>L228-L232+L237</f>
        <v>0</v>
      </c>
      <c r="M238" s="750"/>
      <c r="N238" s="844">
        <f t="shared" ref="N238:AC238" si="150">N228-N232+N237</f>
        <v>0</v>
      </c>
      <c r="O238" s="844">
        <f t="shared" si="150"/>
        <v>0</v>
      </c>
      <c r="P238" s="844">
        <f t="shared" si="150"/>
        <v>0</v>
      </c>
      <c r="Q238" s="844">
        <f t="shared" si="150"/>
        <v>0</v>
      </c>
      <c r="R238" s="844">
        <f t="shared" si="150"/>
        <v>0</v>
      </c>
      <c r="S238" s="844">
        <f t="shared" si="150"/>
        <v>0</v>
      </c>
      <c r="T238" s="844">
        <f t="shared" si="150"/>
        <v>0</v>
      </c>
      <c r="U238" s="844">
        <f t="shared" si="150"/>
        <v>0</v>
      </c>
      <c r="V238" s="844">
        <f t="shared" si="150"/>
        <v>0</v>
      </c>
      <c r="W238" s="844">
        <f t="shared" si="150"/>
        <v>0</v>
      </c>
      <c r="X238" s="844">
        <f t="shared" si="150"/>
        <v>0</v>
      </c>
      <c r="Y238" s="844">
        <f t="shared" si="150"/>
        <v>0</v>
      </c>
      <c r="Z238" s="844">
        <f t="shared" si="150"/>
        <v>0</v>
      </c>
      <c r="AA238" s="844">
        <f t="shared" si="150"/>
        <v>0</v>
      </c>
      <c r="AB238" s="844">
        <f t="shared" si="150"/>
        <v>0</v>
      </c>
      <c r="AC238" s="844">
        <f t="shared" si="150"/>
        <v>0</v>
      </c>
      <c r="AD238" s="1"/>
      <c r="AE238" s="1"/>
    </row>
    <row r="239" spans="8:58" ht="15.75" x14ac:dyDescent="0.25">
      <c r="I239" s="99"/>
      <c r="J239" s="31" t="s">
        <v>192</v>
      </c>
      <c r="K239" s="31"/>
      <c r="L239" s="845">
        <v>0</v>
      </c>
      <c r="M239" s="750"/>
      <c r="N239" s="948">
        <v>0</v>
      </c>
      <c r="O239" s="844">
        <f t="shared" ref="O239:AC239" si="151">+N240</f>
        <v>0</v>
      </c>
      <c r="P239" s="844">
        <f t="shared" si="151"/>
        <v>0</v>
      </c>
      <c r="Q239" s="844">
        <f t="shared" si="151"/>
        <v>0</v>
      </c>
      <c r="R239" s="844">
        <f t="shared" si="151"/>
        <v>0</v>
      </c>
      <c r="S239" s="844">
        <f t="shared" si="151"/>
        <v>0</v>
      </c>
      <c r="T239" s="844">
        <f t="shared" si="151"/>
        <v>0</v>
      </c>
      <c r="U239" s="844">
        <f t="shared" si="151"/>
        <v>0</v>
      </c>
      <c r="V239" s="844">
        <f t="shared" si="151"/>
        <v>0</v>
      </c>
      <c r="W239" s="844">
        <f t="shared" si="151"/>
        <v>0</v>
      </c>
      <c r="X239" s="844">
        <f t="shared" si="151"/>
        <v>0</v>
      </c>
      <c r="Y239" s="844">
        <f t="shared" si="151"/>
        <v>0</v>
      </c>
      <c r="Z239" s="844">
        <f t="shared" si="151"/>
        <v>0</v>
      </c>
      <c r="AA239" s="844">
        <f t="shared" si="151"/>
        <v>0</v>
      </c>
      <c r="AB239" s="844">
        <f t="shared" si="151"/>
        <v>0</v>
      </c>
      <c r="AC239" s="844">
        <f t="shared" si="151"/>
        <v>0</v>
      </c>
      <c r="AD239" s="1"/>
      <c r="AE239" s="1"/>
    </row>
    <row r="240" spans="8:58" thickBot="1" x14ac:dyDescent="0.3">
      <c r="I240" s="99">
        <v>4</v>
      </c>
      <c r="J240" s="301" t="s">
        <v>193</v>
      </c>
      <c r="K240" s="302"/>
      <c r="L240" s="846">
        <f>SUM(L238:L239)</f>
        <v>0</v>
      </c>
      <c r="M240" s="750"/>
      <c r="N240" s="847">
        <f t="shared" ref="N240:AC240" si="152">SUM(N238:N239)</f>
        <v>0</v>
      </c>
      <c r="O240" s="847">
        <f t="shared" si="152"/>
        <v>0</v>
      </c>
      <c r="P240" s="847">
        <f t="shared" si="152"/>
        <v>0</v>
      </c>
      <c r="Q240" s="847">
        <f t="shared" si="152"/>
        <v>0</v>
      </c>
      <c r="R240" s="847">
        <f t="shared" si="152"/>
        <v>0</v>
      </c>
      <c r="S240" s="847">
        <f t="shared" si="152"/>
        <v>0</v>
      </c>
      <c r="T240" s="847">
        <f t="shared" si="152"/>
        <v>0</v>
      </c>
      <c r="U240" s="847">
        <f t="shared" si="152"/>
        <v>0</v>
      </c>
      <c r="V240" s="847">
        <f t="shared" si="152"/>
        <v>0</v>
      </c>
      <c r="W240" s="847">
        <f t="shared" si="152"/>
        <v>0</v>
      </c>
      <c r="X240" s="847">
        <f t="shared" si="152"/>
        <v>0</v>
      </c>
      <c r="Y240" s="847">
        <f t="shared" si="152"/>
        <v>0</v>
      </c>
      <c r="Z240" s="847">
        <f t="shared" si="152"/>
        <v>0</v>
      </c>
      <c r="AA240" s="847">
        <f t="shared" si="152"/>
        <v>0</v>
      </c>
      <c r="AB240" s="847">
        <f t="shared" si="152"/>
        <v>0</v>
      </c>
      <c r="AC240" s="847">
        <f t="shared" si="152"/>
        <v>0</v>
      </c>
      <c r="AD240" s="1"/>
      <c r="AE240" s="308"/>
      <c r="AF240" s="308"/>
      <c r="AG240" s="308"/>
      <c r="AH240" s="308"/>
      <c r="AI240" s="308"/>
      <c r="AJ240" s="308"/>
      <c r="AK240" s="308"/>
      <c r="AL240" s="308"/>
      <c r="AM240" s="308"/>
      <c r="AN240" s="308"/>
      <c r="AO240" s="308"/>
      <c r="AP240" s="308"/>
      <c r="AQ240" s="308"/>
      <c r="AR240" s="308"/>
      <c r="AS240" s="308"/>
      <c r="AT240" s="308"/>
    </row>
    <row r="241" spans="9:46" s="308" customFormat="1" ht="18" customHeight="1" thickTop="1" x14ac:dyDescent="0.2">
      <c r="I241" s="303"/>
      <c r="J241" s="304" t="s">
        <v>176</v>
      </c>
      <c r="K241" s="305"/>
      <c r="L241" s="306"/>
      <c r="M241" s="7"/>
      <c r="N241" s="307" t="str">
        <f>IF(AND(ABS(N240-N199)&lt;1,ABS(N240)&gt;=0),"OK","Wrong")</f>
        <v>OK</v>
      </c>
      <c r="O241" s="307" t="str">
        <f>IF(AND(ABS(O240-O199)&lt;1,ABS(O240)&gt;=0),"OK","Wrong")</f>
        <v>OK</v>
      </c>
      <c r="P241" s="307" t="str">
        <f t="shared" ref="P241:AC241" si="153">IF(AND(ABS(P240-P199)&lt;1,ABS(P240)&gt;=0),"OK","Wrong")</f>
        <v>OK</v>
      </c>
      <c r="Q241" s="307" t="str">
        <f t="shared" si="153"/>
        <v>OK</v>
      </c>
      <c r="R241" s="307" t="str">
        <f t="shared" si="153"/>
        <v>OK</v>
      </c>
      <c r="S241" s="307" t="str">
        <f t="shared" si="153"/>
        <v>OK</v>
      </c>
      <c r="T241" s="307" t="str">
        <f t="shared" si="153"/>
        <v>OK</v>
      </c>
      <c r="U241" s="307" t="str">
        <f t="shared" si="153"/>
        <v>OK</v>
      </c>
      <c r="V241" s="307" t="str">
        <f t="shared" si="153"/>
        <v>OK</v>
      </c>
      <c r="W241" s="307" t="str">
        <f t="shared" si="153"/>
        <v>OK</v>
      </c>
      <c r="X241" s="307" t="str">
        <f t="shared" si="153"/>
        <v>OK</v>
      </c>
      <c r="Y241" s="307" t="str">
        <f t="shared" si="153"/>
        <v>OK</v>
      </c>
      <c r="Z241" s="307" t="str">
        <f t="shared" si="153"/>
        <v>OK</v>
      </c>
      <c r="AA241" s="307" t="str">
        <f t="shared" si="153"/>
        <v>OK</v>
      </c>
      <c r="AB241" s="307" t="str">
        <f t="shared" si="153"/>
        <v>OK</v>
      </c>
      <c r="AC241" s="307" t="str">
        <f t="shared" si="153"/>
        <v>OK</v>
      </c>
    </row>
    <row r="242" spans="9:46" s="308" customFormat="1" ht="18" customHeight="1" x14ac:dyDescent="0.2">
      <c r="I242" s="303"/>
      <c r="J242" s="304"/>
      <c r="K242" s="305"/>
      <c r="L242" s="306"/>
      <c r="M242" s="7"/>
      <c r="N242" s="307"/>
      <c r="O242" s="307"/>
      <c r="P242" s="307"/>
      <c r="Q242" s="307"/>
      <c r="R242" s="307"/>
      <c r="S242" s="307"/>
      <c r="T242" s="307"/>
      <c r="U242" s="307"/>
      <c r="V242" s="307"/>
      <c r="W242" s="307"/>
      <c r="X242" s="307"/>
      <c r="Y242" s="307"/>
      <c r="Z242" s="307"/>
      <c r="AA242" s="307"/>
      <c r="AB242" s="307"/>
      <c r="AC242" s="307"/>
      <c r="AE242" s="1"/>
      <c r="AF242" s="1"/>
      <c r="AG242" s="1"/>
      <c r="AH242" s="1"/>
      <c r="AI242" s="1"/>
      <c r="AJ242" s="1"/>
      <c r="AK242" s="1"/>
      <c r="AL242" s="1"/>
      <c r="AM242" s="1"/>
      <c r="AN242" s="1"/>
      <c r="AO242" s="1"/>
      <c r="AP242" s="1"/>
      <c r="AQ242" s="1"/>
      <c r="AR242" s="1"/>
      <c r="AS242" s="1"/>
      <c r="AT242" s="1"/>
    </row>
    <row r="243" spans="9:46" ht="18" outlineLevel="1" x14ac:dyDescent="0.2">
      <c r="I243" s="104" t="s">
        <v>194</v>
      </c>
      <c r="J243" s="105" t="s">
        <v>195</v>
      </c>
      <c r="K243" s="105"/>
      <c r="L243" s="105"/>
      <c r="M243" s="106"/>
      <c r="N243" s="107">
        <f>N$11</f>
        <v>2024</v>
      </c>
      <c r="O243" s="107">
        <f t="shared" ref="O243:AC243" si="154">O$11</f>
        <v>2025</v>
      </c>
      <c r="P243" s="107">
        <f t="shared" si="154"/>
        <v>2026</v>
      </c>
      <c r="Q243" s="107">
        <f t="shared" si="154"/>
        <v>2027</v>
      </c>
      <c r="R243" s="107">
        <f t="shared" si="154"/>
        <v>2028</v>
      </c>
      <c r="S243" s="107">
        <f t="shared" si="154"/>
        <v>2029</v>
      </c>
      <c r="T243" s="107">
        <f t="shared" si="154"/>
        <v>2030</v>
      </c>
      <c r="U243" s="107">
        <f t="shared" si="154"/>
        <v>2031</v>
      </c>
      <c r="V243" s="107">
        <f t="shared" si="154"/>
        <v>2032</v>
      </c>
      <c r="W243" s="107">
        <f t="shared" si="154"/>
        <v>2033</v>
      </c>
      <c r="X243" s="107">
        <f t="shared" si="154"/>
        <v>2034</v>
      </c>
      <c r="Y243" s="107">
        <f t="shared" si="154"/>
        <v>2035</v>
      </c>
      <c r="Z243" s="107">
        <f t="shared" si="154"/>
        <v>2036</v>
      </c>
      <c r="AA243" s="107">
        <f t="shared" si="154"/>
        <v>2037</v>
      </c>
      <c r="AB243" s="107">
        <f t="shared" si="154"/>
        <v>2038</v>
      </c>
      <c r="AC243" s="107">
        <f t="shared" si="154"/>
        <v>2039</v>
      </c>
      <c r="AD243" s="1"/>
      <c r="AE243"/>
      <c r="AF243"/>
      <c r="AG243"/>
      <c r="AH243"/>
      <c r="AI243"/>
      <c r="AJ243"/>
      <c r="AK243"/>
      <c r="AL243"/>
      <c r="AM243"/>
      <c r="AN243"/>
      <c r="AO243"/>
      <c r="AP243"/>
      <c r="AQ243"/>
      <c r="AR243"/>
      <c r="AS243"/>
      <c r="AT243"/>
    </row>
    <row r="244" spans="9:46" customFormat="1" ht="15" outlineLevel="1" thickBot="1" x14ac:dyDescent="0.25">
      <c r="AE244" s="4"/>
      <c r="AF244" s="1"/>
      <c r="AG244" s="1"/>
      <c r="AH244" s="1"/>
      <c r="AI244" s="1"/>
      <c r="AJ244" s="1"/>
      <c r="AK244" s="1"/>
      <c r="AL244" s="1"/>
      <c r="AM244" s="1"/>
      <c r="AN244" s="1"/>
      <c r="AO244" s="1"/>
      <c r="AP244" s="1"/>
      <c r="AQ244" s="1"/>
      <c r="AR244" s="1"/>
      <c r="AS244" s="1"/>
      <c r="AT244" s="1"/>
    </row>
    <row r="245" spans="9:46" ht="18" outlineLevel="1" x14ac:dyDescent="0.4">
      <c r="I245" s="309"/>
      <c r="J245" s="310" t="s">
        <v>196</v>
      </c>
      <c r="K245" s="311"/>
      <c r="L245" s="312"/>
      <c r="M245" s="313"/>
      <c r="N245" s="314"/>
      <c r="O245" s="314"/>
      <c r="P245" s="314"/>
      <c r="Q245" s="314"/>
      <c r="R245" s="314"/>
      <c r="S245" s="314"/>
      <c r="T245" s="314"/>
      <c r="U245" s="314"/>
      <c r="V245" s="314"/>
      <c r="W245" s="314"/>
      <c r="X245" s="314"/>
      <c r="Y245" s="314"/>
      <c r="Z245" s="314"/>
      <c r="AA245" s="314"/>
      <c r="AB245" s="314"/>
      <c r="AC245" s="315"/>
      <c r="AD245" s="1"/>
    </row>
    <row r="246" spans="9:46" ht="18.75" customHeight="1" outlineLevel="1" x14ac:dyDescent="0.25">
      <c r="I246" s="316"/>
      <c r="J246" s="317" t="s">
        <v>197</v>
      </c>
      <c r="K246" s="318"/>
      <c r="L246" s="319"/>
      <c r="M246" s="320"/>
      <c r="N246" s="319"/>
      <c r="O246" s="319"/>
      <c r="P246" s="319"/>
      <c r="Q246" s="319"/>
      <c r="R246" s="319"/>
      <c r="S246" s="319"/>
      <c r="T246" s="319"/>
      <c r="U246" s="319"/>
      <c r="V246" s="319"/>
      <c r="W246" s="319"/>
      <c r="X246" s="319"/>
      <c r="Y246" s="319"/>
      <c r="Z246" s="319"/>
      <c r="AA246" s="319"/>
      <c r="AB246" s="319"/>
      <c r="AC246" s="321"/>
      <c r="AD246" s="1"/>
    </row>
    <row r="247" spans="9:46" ht="15.75" outlineLevel="1" x14ac:dyDescent="0.25">
      <c r="I247" s="316"/>
      <c r="J247" s="322" t="s">
        <v>198</v>
      </c>
      <c r="K247" s="318"/>
      <c r="L247" s="848">
        <f>SUM(N247:AC247)</f>
        <v>0</v>
      </c>
      <c r="M247" s="750"/>
      <c r="N247" s="848">
        <f t="shared" ref="N247:AC247" si="155">IFERROR(N118+N139,)</f>
        <v>0</v>
      </c>
      <c r="O247" s="848">
        <f t="shared" si="155"/>
        <v>0</v>
      </c>
      <c r="P247" s="848">
        <f t="shared" si="155"/>
        <v>0</v>
      </c>
      <c r="Q247" s="848">
        <f t="shared" si="155"/>
        <v>0</v>
      </c>
      <c r="R247" s="848">
        <f t="shared" si="155"/>
        <v>0</v>
      </c>
      <c r="S247" s="848">
        <f t="shared" si="155"/>
        <v>0</v>
      </c>
      <c r="T247" s="848">
        <f t="shared" si="155"/>
        <v>0</v>
      </c>
      <c r="U247" s="848">
        <f t="shared" si="155"/>
        <v>0</v>
      </c>
      <c r="V247" s="848">
        <f t="shared" si="155"/>
        <v>0</v>
      </c>
      <c r="W247" s="848">
        <f t="shared" si="155"/>
        <v>0</v>
      </c>
      <c r="X247" s="848">
        <f t="shared" si="155"/>
        <v>0</v>
      </c>
      <c r="Y247" s="848">
        <f t="shared" si="155"/>
        <v>0</v>
      </c>
      <c r="Z247" s="848">
        <f t="shared" si="155"/>
        <v>0</v>
      </c>
      <c r="AA247" s="848">
        <f t="shared" si="155"/>
        <v>0</v>
      </c>
      <c r="AB247" s="848">
        <f t="shared" si="155"/>
        <v>0</v>
      </c>
      <c r="AC247" s="949">
        <f t="shared" si="155"/>
        <v>0</v>
      </c>
      <c r="AD247" s="1"/>
    </row>
    <row r="248" spans="9:46" ht="15.75" outlineLevel="1" x14ac:dyDescent="0.25">
      <c r="I248" s="316"/>
      <c r="J248" s="322" t="s">
        <v>199</v>
      </c>
      <c r="K248" s="318"/>
      <c r="L248" s="848">
        <f>SUM(N248:AC248)</f>
        <v>0</v>
      </c>
      <c r="M248" s="750"/>
      <c r="N248" s="950">
        <f>-IFERROR(N279,)</f>
        <v>0</v>
      </c>
      <c r="O248" s="848">
        <f t="shared" ref="O248:AC248" si="156">-IFERROR(O279-N279,)</f>
        <v>0</v>
      </c>
      <c r="P248" s="848">
        <f t="shared" si="156"/>
        <v>0</v>
      </c>
      <c r="Q248" s="848">
        <f t="shared" si="156"/>
        <v>0</v>
      </c>
      <c r="R248" s="848">
        <f t="shared" si="156"/>
        <v>0</v>
      </c>
      <c r="S248" s="848">
        <f t="shared" si="156"/>
        <v>0</v>
      </c>
      <c r="T248" s="848">
        <f t="shared" si="156"/>
        <v>0</v>
      </c>
      <c r="U248" s="848">
        <f t="shared" si="156"/>
        <v>0</v>
      </c>
      <c r="V248" s="848">
        <f t="shared" si="156"/>
        <v>0</v>
      </c>
      <c r="W248" s="848">
        <f t="shared" si="156"/>
        <v>0</v>
      </c>
      <c r="X248" s="848">
        <f t="shared" si="156"/>
        <v>0</v>
      </c>
      <c r="Y248" s="848">
        <f t="shared" si="156"/>
        <v>0</v>
      </c>
      <c r="Z248" s="848">
        <f t="shared" si="156"/>
        <v>0</v>
      </c>
      <c r="AA248" s="848">
        <f t="shared" si="156"/>
        <v>0</v>
      </c>
      <c r="AB248" s="848">
        <f t="shared" si="156"/>
        <v>0</v>
      </c>
      <c r="AC248" s="949">
        <f t="shared" si="156"/>
        <v>0</v>
      </c>
      <c r="AD248" s="1"/>
    </row>
    <row r="249" spans="9:46" ht="15.75" outlineLevel="1" x14ac:dyDescent="0.25">
      <c r="I249" s="316"/>
      <c r="J249" s="324" t="s">
        <v>200</v>
      </c>
      <c r="K249" s="318"/>
      <c r="L249" s="839">
        <f>SUM(L247:L248)</f>
        <v>0</v>
      </c>
      <c r="M249" s="750"/>
      <c r="N249" s="839">
        <f>SUM(N247:N248)</f>
        <v>0</v>
      </c>
      <c r="O249" s="839">
        <f t="shared" ref="O249:AC249" si="157">SUM(O247:O248)</f>
        <v>0</v>
      </c>
      <c r="P249" s="839">
        <f t="shared" si="157"/>
        <v>0</v>
      </c>
      <c r="Q249" s="839">
        <f t="shared" si="157"/>
        <v>0</v>
      </c>
      <c r="R249" s="839">
        <f t="shared" si="157"/>
        <v>0</v>
      </c>
      <c r="S249" s="839">
        <f t="shared" si="157"/>
        <v>0</v>
      </c>
      <c r="T249" s="839">
        <f t="shared" si="157"/>
        <v>0</v>
      </c>
      <c r="U249" s="839">
        <f t="shared" si="157"/>
        <v>0</v>
      </c>
      <c r="V249" s="839">
        <f t="shared" si="157"/>
        <v>0</v>
      </c>
      <c r="W249" s="839">
        <f t="shared" si="157"/>
        <v>0</v>
      </c>
      <c r="X249" s="839">
        <f t="shared" si="157"/>
        <v>0</v>
      </c>
      <c r="Y249" s="839">
        <f t="shared" si="157"/>
        <v>0</v>
      </c>
      <c r="Z249" s="839">
        <f t="shared" si="157"/>
        <v>0</v>
      </c>
      <c r="AA249" s="839">
        <f t="shared" si="157"/>
        <v>0</v>
      </c>
      <c r="AB249" s="839">
        <f t="shared" si="157"/>
        <v>0</v>
      </c>
      <c r="AC249" s="849">
        <f t="shared" si="157"/>
        <v>0</v>
      </c>
      <c r="AD249" s="1"/>
    </row>
    <row r="250" spans="9:46" ht="15.75" outlineLevel="1" x14ac:dyDescent="0.25">
      <c r="I250" s="316"/>
      <c r="J250" s="317" t="s">
        <v>201</v>
      </c>
      <c r="K250" s="318"/>
      <c r="L250" s="850"/>
      <c r="M250" s="750"/>
      <c r="N250" s="850"/>
      <c r="O250" s="850"/>
      <c r="P250" s="850"/>
      <c r="Q250" s="850"/>
      <c r="R250" s="850"/>
      <c r="S250" s="850"/>
      <c r="T250" s="850"/>
      <c r="U250" s="850"/>
      <c r="V250" s="850"/>
      <c r="W250" s="850"/>
      <c r="X250" s="850"/>
      <c r="Y250" s="850"/>
      <c r="Z250" s="850"/>
      <c r="AA250" s="850"/>
      <c r="AB250" s="850"/>
      <c r="AC250" s="851"/>
      <c r="AD250" s="1"/>
    </row>
    <row r="251" spans="9:46" ht="15.75" outlineLevel="1" x14ac:dyDescent="0.25">
      <c r="I251" s="316"/>
      <c r="J251" s="322" t="s">
        <v>202</v>
      </c>
      <c r="K251" s="318"/>
      <c r="L251" s="848">
        <f>SUM(N251:AC251)</f>
        <v>0</v>
      </c>
      <c r="M251" s="750"/>
      <c r="N251" s="848">
        <f>IFERROR(SUM(N119:N123,N126:N130,N134:N137,N140,N141,N170,N167,N132,N148:N150,N152,N156:N158,N161,N168),)</f>
        <v>0</v>
      </c>
      <c r="O251" s="848">
        <f t="shared" ref="O251:AC251" si="158">IFERROR(SUM(O119:O123,O126:O130,O134:O137,O140,O141,O170,O167,O132,O148:O150,O152,O156:O158,O161,O168),)</f>
        <v>0</v>
      </c>
      <c r="P251" s="848">
        <f t="shared" si="158"/>
        <v>0</v>
      </c>
      <c r="Q251" s="848">
        <f t="shared" si="158"/>
        <v>0</v>
      </c>
      <c r="R251" s="848">
        <f t="shared" si="158"/>
        <v>0</v>
      </c>
      <c r="S251" s="848">
        <f t="shared" si="158"/>
        <v>0</v>
      </c>
      <c r="T251" s="848">
        <f t="shared" si="158"/>
        <v>0</v>
      </c>
      <c r="U251" s="848">
        <f t="shared" si="158"/>
        <v>0</v>
      </c>
      <c r="V251" s="848">
        <f t="shared" si="158"/>
        <v>0</v>
      </c>
      <c r="W251" s="848">
        <f t="shared" si="158"/>
        <v>0</v>
      </c>
      <c r="X251" s="848">
        <f t="shared" si="158"/>
        <v>0</v>
      </c>
      <c r="Y251" s="848">
        <f t="shared" si="158"/>
        <v>0</v>
      </c>
      <c r="Z251" s="848">
        <f t="shared" si="158"/>
        <v>0</v>
      </c>
      <c r="AA251" s="848">
        <f t="shared" si="158"/>
        <v>0</v>
      </c>
      <c r="AB251" s="848">
        <f t="shared" si="158"/>
        <v>0</v>
      </c>
      <c r="AC251" s="949">
        <f t="shared" si="158"/>
        <v>0</v>
      </c>
      <c r="AD251" s="1"/>
    </row>
    <row r="252" spans="9:46" ht="15.75" outlineLevel="1" x14ac:dyDescent="0.25">
      <c r="I252" s="316"/>
      <c r="J252" s="322" t="s">
        <v>203</v>
      </c>
      <c r="K252" s="318"/>
      <c r="L252" s="848">
        <f>SUM(N252:AC252)</f>
        <v>0</v>
      </c>
      <c r="M252" s="750"/>
      <c r="N252" s="950">
        <f>-(SUM(N280:N287))</f>
        <v>0</v>
      </c>
      <c r="O252" s="848">
        <f t="shared" ref="O252:AC252" si="159">-SUM(O280:O287)+SUM(N280:N287)</f>
        <v>0</v>
      </c>
      <c r="P252" s="848">
        <f t="shared" si="159"/>
        <v>0</v>
      </c>
      <c r="Q252" s="848">
        <f t="shared" si="159"/>
        <v>0</v>
      </c>
      <c r="R252" s="848">
        <f t="shared" si="159"/>
        <v>0</v>
      </c>
      <c r="S252" s="848">
        <f t="shared" si="159"/>
        <v>0</v>
      </c>
      <c r="T252" s="848">
        <f t="shared" si="159"/>
        <v>0</v>
      </c>
      <c r="U252" s="848">
        <f t="shared" si="159"/>
        <v>0</v>
      </c>
      <c r="V252" s="848">
        <f t="shared" si="159"/>
        <v>0</v>
      </c>
      <c r="W252" s="848">
        <f t="shared" si="159"/>
        <v>0</v>
      </c>
      <c r="X252" s="848">
        <f t="shared" si="159"/>
        <v>0</v>
      </c>
      <c r="Y252" s="848">
        <f t="shared" si="159"/>
        <v>0</v>
      </c>
      <c r="Z252" s="848">
        <f t="shared" si="159"/>
        <v>0</v>
      </c>
      <c r="AA252" s="848">
        <f t="shared" si="159"/>
        <v>0</v>
      </c>
      <c r="AB252" s="848">
        <f t="shared" si="159"/>
        <v>0</v>
      </c>
      <c r="AC252" s="949">
        <f t="shared" si="159"/>
        <v>0</v>
      </c>
      <c r="AD252" s="1"/>
    </row>
    <row r="253" spans="9:46" ht="15.75" outlineLevel="1" x14ac:dyDescent="0.25">
      <c r="I253" s="316"/>
      <c r="J253" s="324" t="s">
        <v>204</v>
      </c>
      <c r="K253" s="318"/>
      <c r="L253" s="839">
        <f t="shared" ref="L253:AC253" si="160">SUM(L251:L252)</f>
        <v>0</v>
      </c>
      <c r="M253" s="750"/>
      <c r="N253" s="839">
        <f t="shared" si="160"/>
        <v>0</v>
      </c>
      <c r="O253" s="839">
        <f t="shared" si="160"/>
        <v>0</v>
      </c>
      <c r="P253" s="839">
        <f t="shared" si="160"/>
        <v>0</v>
      </c>
      <c r="Q253" s="839">
        <f t="shared" si="160"/>
        <v>0</v>
      </c>
      <c r="R253" s="839">
        <f t="shared" si="160"/>
        <v>0</v>
      </c>
      <c r="S253" s="839">
        <f t="shared" si="160"/>
        <v>0</v>
      </c>
      <c r="T253" s="839">
        <f t="shared" si="160"/>
        <v>0</v>
      </c>
      <c r="U253" s="839">
        <f t="shared" si="160"/>
        <v>0</v>
      </c>
      <c r="V253" s="839">
        <f t="shared" si="160"/>
        <v>0</v>
      </c>
      <c r="W253" s="839">
        <f t="shared" si="160"/>
        <v>0</v>
      </c>
      <c r="X253" s="839">
        <f t="shared" si="160"/>
        <v>0</v>
      </c>
      <c r="Y253" s="839">
        <f t="shared" si="160"/>
        <v>0</v>
      </c>
      <c r="Z253" s="839">
        <f t="shared" si="160"/>
        <v>0</v>
      </c>
      <c r="AA253" s="839">
        <f t="shared" si="160"/>
        <v>0</v>
      </c>
      <c r="AB253" s="839">
        <f t="shared" si="160"/>
        <v>0</v>
      </c>
      <c r="AC253" s="849">
        <f t="shared" si="160"/>
        <v>0</v>
      </c>
      <c r="AD253" s="1"/>
    </row>
    <row r="254" spans="9:46" outlineLevel="1" thickBot="1" x14ac:dyDescent="0.3">
      <c r="I254" s="316"/>
      <c r="J254" s="317" t="s">
        <v>182</v>
      </c>
      <c r="K254" s="318"/>
      <c r="L254" s="837">
        <f>L249+L253</f>
        <v>0</v>
      </c>
      <c r="M254" s="750"/>
      <c r="N254" s="837">
        <f>N249+N253</f>
        <v>0</v>
      </c>
      <c r="O254" s="837">
        <f t="shared" ref="O254:AC254" si="161">O249+O253</f>
        <v>0</v>
      </c>
      <c r="P254" s="837">
        <f t="shared" si="161"/>
        <v>0</v>
      </c>
      <c r="Q254" s="837">
        <f t="shared" si="161"/>
        <v>0</v>
      </c>
      <c r="R254" s="837">
        <f t="shared" si="161"/>
        <v>0</v>
      </c>
      <c r="S254" s="837">
        <f t="shared" si="161"/>
        <v>0</v>
      </c>
      <c r="T254" s="837">
        <f t="shared" si="161"/>
        <v>0</v>
      </c>
      <c r="U254" s="837">
        <f t="shared" si="161"/>
        <v>0</v>
      </c>
      <c r="V254" s="837">
        <f t="shared" si="161"/>
        <v>0</v>
      </c>
      <c r="W254" s="837">
        <f t="shared" si="161"/>
        <v>0</v>
      </c>
      <c r="X254" s="837">
        <f t="shared" si="161"/>
        <v>0</v>
      </c>
      <c r="Y254" s="837">
        <f t="shared" si="161"/>
        <v>0</v>
      </c>
      <c r="Z254" s="837">
        <f t="shared" si="161"/>
        <v>0</v>
      </c>
      <c r="AA254" s="837">
        <f t="shared" si="161"/>
        <v>0</v>
      </c>
      <c r="AB254" s="837">
        <f t="shared" si="161"/>
        <v>0</v>
      </c>
      <c r="AC254" s="852">
        <f t="shared" si="161"/>
        <v>0</v>
      </c>
      <c r="AD254" s="1"/>
      <c r="AE254" s="308"/>
      <c r="AF254" s="308"/>
      <c r="AG254" s="308"/>
      <c r="AH254" s="308"/>
      <c r="AI254" s="308"/>
      <c r="AJ254" s="308"/>
      <c r="AK254" s="308"/>
      <c r="AL254" s="308"/>
      <c r="AM254" s="308"/>
      <c r="AN254" s="308"/>
      <c r="AO254" s="308"/>
      <c r="AP254" s="308"/>
      <c r="AQ254" s="308"/>
      <c r="AR254" s="308"/>
      <c r="AS254" s="308"/>
      <c r="AT254" s="308"/>
    </row>
    <row r="255" spans="9:46" s="308" customFormat="1" ht="18" customHeight="1" outlineLevel="1" thickTop="1" x14ac:dyDescent="0.25">
      <c r="I255" s="316"/>
      <c r="J255" s="326"/>
      <c r="K255" s="305"/>
      <c r="L255" s="327" t="s">
        <v>205</v>
      </c>
      <c r="M255" s="328"/>
      <c r="N255" s="329" t="str">
        <f>IF(N256&lt;1,"OK","Wrong")</f>
        <v>OK</v>
      </c>
      <c r="O255" s="329" t="str">
        <f t="shared" ref="O255:AC255" si="162">IF(O256&lt;1,"OK","Wrong")</f>
        <v>OK</v>
      </c>
      <c r="P255" s="329" t="str">
        <f t="shared" si="162"/>
        <v>OK</v>
      </c>
      <c r="Q255" s="329" t="str">
        <f t="shared" si="162"/>
        <v>OK</v>
      </c>
      <c r="R255" s="329" t="str">
        <f t="shared" si="162"/>
        <v>OK</v>
      </c>
      <c r="S255" s="329" t="str">
        <f t="shared" si="162"/>
        <v>OK</v>
      </c>
      <c r="T255" s="329" t="str">
        <f t="shared" si="162"/>
        <v>OK</v>
      </c>
      <c r="U255" s="329" t="str">
        <f t="shared" si="162"/>
        <v>OK</v>
      </c>
      <c r="V255" s="329" t="str">
        <f t="shared" si="162"/>
        <v>OK</v>
      </c>
      <c r="W255" s="329" t="str">
        <f t="shared" si="162"/>
        <v>OK</v>
      </c>
      <c r="X255" s="329" t="str">
        <f t="shared" si="162"/>
        <v>OK</v>
      </c>
      <c r="Y255" s="329" t="str">
        <f t="shared" si="162"/>
        <v>OK</v>
      </c>
      <c r="Z255" s="329" t="str">
        <f t="shared" si="162"/>
        <v>OK</v>
      </c>
      <c r="AA255" s="329" t="str">
        <f t="shared" si="162"/>
        <v>OK</v>
      </c>
      <c r="AB255" s="329" t="str">
        <f t="shared" si="162"/>
        <v>OK</v>
      </c>
      <c r="AC255" s="330" t="str">
        <f t="shared" si="162"/>
        <v>OK</v>
      </c>
      <c r="AE255" s="339"/>
      <c r="AF255" s="338"/>
      <c r="AG255" s="338"/>
      <c r="AH255" s="338"/>
      <c r="AI255" s="338"/>
      <c r="AJ255" s="338"/>
      <c r="AK255" s="338"/>
      <c r="AL255" s="338"/>
      <c r="AM255" s="338"/>
      <c r="AN255" s="338"/>
      <c r="AO255" s="338"/>
      <c r="AP255" s="338"/>
      <c r="AQ255" s="338"/>
      <c r="AR255" s="338"/>
      <c r="AS255" s="338"/>
      <c r="AT255" s="338"/>
    </row>
    <row r="256" spans="9:46" s="338" customFormat="1" ht="13.5" outlineLevel="1" thickBot="1" x14ac:dyDescent="0.25">
      <c r="I256" s="331"/>
      <c r="J256" s="332"/>
      <c r="K256" s="333"/>
      <c r="L256" s="334" t="s">
        <v>206</v>
      </c>
      <c r="M256" s="335"/>
      <c r="N256" s="336">
        <f>IF(ABS(N254-N228)&lt;0.5,0,N254-N228)</f>
        <v>0</v>
      </c>
      <c r="O256" s="336">
        <f t="shared" ref="O256:AC256" si="163">IF(ABS(O254-O228)&lt;0.5,0,O254-O228)</f>
        <v>0</v>
      </c>
      <c r="P256" s="336">
        <f t="shared" si="163"/>
        <v>0</v>
      </c>
      <c r="Q256" s="336">
        <f t="shared" si="163"/>
        <v>0</v>
      </c>
      <c r="R256" s="336">
        <f t="shared" si="163"/>
        <v>0</v>
      </c>
      <c r="S256" s="336">
        <f t="shared" si="163"/>
        <v>0</v>
      </c>
      <c r="T256" s="336">
        <f t="shared" si="163"/>
        <v>0</v>
      </c>
      <c r="U256" s="336">
        <f t="shared" si="163"/>
        <v>0</v>
      </c>
      <c r="V256" s="336">
        <f t="shared" si="163"/>
        <v>0</v>
      </c>
      <c r="W256" s="336">
        <f t="shared" si="163"/>
        <v>0</v>
      </c>
      <c r="X256" s="336">
        <f t="shared" si="163"/>
        <v>0</v>
      </c>
      <c r="Y256" s="336">
        <f t="shared" si="163"/>
        <v>0</v>
      </c>
      <c r="Z256" s="336">
        <f t="shared" si="163"/>
        <v>0</v>
      </c>
      <c r="AA256" s="336">
        <f t="shared" si="163"/>
        <v>0</v>
      </c>
      <c r="AB256" s="336">
        <f t="shared" si="163"/>
        <v>0</v>
      </c>
      <c r="AC256" s="337">
        <f t="shared" si="163"/>
        <v>0</v>
      </c>
      <c r="AE256" s="345"/>
      <c r="AF256" s="344"/>
      <c r="AG256" s="344"/>
      <c r="AH256" s="344"/>
      <c r="AI256" s="344"/>
      <c r="AJ256" s="344"/>
      <c r="AK256" s="344"/>
      <c r="AL256" s="344"/>
      <c r="AM256" s="344"/>
      <c r="AN256" s="344"/>
      <c r="AO256" s="344"/>
      <c r="AP256" s="344"/>
      <c r="AQ256" s="344"/>
      <c r="AR256" s="344"/>
      <c r="AS256" s="344"/>
      <c r="AT256" s="344"/>
    </row>
    <row r="257" spans="9:31" s="344" customFormat="1" outlineLevel="1" thickBot="1" x14ac:dyDescent="0.3">
      <c r="I257" s="340"/>
      <c r="J257" s="341"/>
      <c r="K257" s="342"/>
      <c r="L257" s="343"/>
      <c r="M257" s="7"/>
      <c r="N257" s="325"/>
      <c r="O257" s="325"/>
      <c r="P257" s="325"/>
      <c r="Q257" s="325"/>
      <c r="R257" s="325"/>
      <c r="S257" s="325"/>
      <c r="T257" s="325"/>
      <c r="U257" s="325"/>
      <c r="V257" s="325"/>
      <c r="W257" s="325"/>
      <c r="X257" s="325"/>
      <c r="Y257" s="325"/>
      <c r="Z257" s="325"/>
      <c r="AA257" s="325"/>
      <c r="AB257" s="325"/>
      <c r="AC257" s="325"/>
      <c r="AE257" s="345"/>
    </row>
    <row r="258" spans="9:31" s="344" customFormat="1" ht="18" outlineLevel="1" x14ac:dyDescent="0.4">
      <c r="I258" s="346"/>
      <c r="J258" s="310" t="s">
        <v>207</v>
      </c>
      <c r="K258" s="347"/>
      <c r="L258" s="348"/>
      <c r="M258" s="349"/>
      <c r="N258" s="107">
        <f>N$11</f>
        <v>2024</v>
      </c>
      <c r="O258" s="107">
        <f t="shared" ref="O258:AC258" si="164">O$11</f>
        <v>2025</v>
      </c>
      <c r="P258" s="107">
        <f t="shared" si="164"/>
        <v>2026</v>
      </c>
      <c r="Q258" s="107">
        <f t="shared" si="164"/>
        <v>2027</v>
      </c>
      <c r="R258" s="107">
        <f t="shared" si="164"/>
        <v>2028</v>
      </c>
      <c r="S258" s="107">
        <f t="shared" si="164"/>
        <v>2029</v>
      </c>
      <c r="T258" s="107">
        <f t="shared" si="164"/>
        <v>2030</v>
      </c>
      <c r="U258" s="107">
        <f t="shared" si="164"/>
        <v>2031</v>
      </c>
      <c r="V258" s="107">
        <f t="shared" si="164"/>
        <v>2032</v>
      </c>
      <c r="W258" s="107">
        <f t="shared" si="164"/>
        <v>2033</v>
      </c>
      <c r="X258" s="107">
        <f t="shared" si="164"/>
        <v>2034</v>
      </c>
      <c r="Y258" s="107">
        <f t="shared" si="164"/>
        <v>2035</v>
      </c>
      <c r="Z258" s="107">
        <f t="shared" si="164"/>
        <v>2036</v>
      </c>
      <c r="AA258" s="107">
        <f t="shared" si="164"/>
        <v>2037</v>
      </c>
      <c r="AB258" s="107">
        <f t="shared" si="164"/>
        <v>2038</v>
      </c>
      <c r="AC258" s="107">
        <f t="shared" si="164"/>
        <v>2039</v>
      </c>
      <c r="AE258" s="345"/>
    </row>
    <row r="259" spans="9:31" s="344" customFormat="1" ht="15.75" outlineLevel="1" x14ac:dyDescent="0.25">
      <c r="I259" s="350"/>
      <c r="J259" s="341"/>
      <c r="K259" s="342"/>
      <c r="L259" s="343"/>
      <c r="M259" s="7"/>
      <c r="N259" s="1"/>
      <c r="O259" s="1"/>
      <c r="P259" s="1"/>
      <c r="Q259" s="1"/>
      <c r="R259" s="1"/>
      <c r="S259" s="1"/>
      <c r="T259" s="1"/>
      <c r="U259" s="1"/>
      <c r="V259" s="1"/>
      <c r="W259" s="1"/>
      <c r="X259" s="1"/>
      <c r="Y259" s="1"/>
      <c r="Z259" s="1"/>
      <c r="AA259" s="1"/>
      <c r="AB259" s="1"/>
      <c r="AC259" s="351"/>
      <c r="AE259" s="345"/>
    </row>
    <row r="260" spans="9:31" s="344" customFormat="1" ht="15.75" outlineLevel="1" x14ac:dyDescent="0.25">
      <c r="I260" s="350"/>
      <c r="J260" s="110" t="s">
        <v>208</v>
      </c>
      <c r="K260" s="110"/>
      <c r="L260" s="343"/>
      <c r="M260" s="7"/>
      <c r="N260" s="352"/>
      <c r="O260" s="352"/>
      <c r="P260" s="352"/>
      <c r="Q260" s="352"/>
      <c r="R260" s="352"/>
      <c r="S260" s="352"/>
      <c r="T260" s="352"/>
      <c r="U260" s="352"/>
      <c r="V260" s="352"/>
      <c r="W260" s="352"/>
      <c r="X260" s="352"/>
      <c r="Y260" s="352"/>
      <c r="Z260" s="352"/>
      <c r="AA260" s="352"/>
      <c r="AB260" s="352"/>
      <c r="AC260" s="353"/>
      <c r="AE260" s="345"/>
    </row>
    <row r="261" spans="9:31" s="344" customFormat="1" ht="15.75" outlineLevel="1" x14ac:dyDescent="0.25">
      <c r="I261" s="350"/>
      <c r="J261" s="110" t="s">
        <v>209</v>
      </c>
      <c r="K261" s="110"/>
      <c r="L261" s="352"/>
      <c r="M261" s="7"/>
      <c r="N261" s="848">
        <f t="shared" ref="N261:AC261" si="165">N253*MAX(N79,60)/365</f>
        <v>0</v>
      </c>
      <c r="O261" s="848">
        <f t="shared" si="165"/>
        <v>0</v>
      </c>
      <c r="P261" s="848">
        <f t="shared" si="165"/>
        <v>0</v>
      </c>
      <c r="Q261" s="848">
        <f t="shared" si="165"/>
        <v>0</v>
      </c>
      <c r="R261" s="848">
        <f t="shared" si="165"/>
        <v>0</v>
      </c>
      <c r="S261" s="848">
        <f t="shared" si="165"/>
        <v>0</v>
      </c>
      <c r="T261" s="848">
        <f t="shared" si="165"/>
        <v>0</v>
      </c>
      <c r="U261" s="848">
        <f t="shared" si="165"/>
        <v>0</v>
      </c>
      <c r="V261" s="848">
        <f t="shared" si="165"/>
        <v>0</v>
      </c>
      <c r="W261" s="848">
        <f t="shared" si="165"/>
        <v>0</v>
      </c>
      <c r="X261" s="848">
        <f t="shared" si="165"/>
        <v>0</v>
      </c>
      <c r="Y261" s="848">
        <f t="shared" si="165"/>
        <v>0</v>
      </c>
      <c r="Z261" s="848">
        <f t="shared" si="165"/>
        <v>0</v>
      </c>
      <c r="AA261" s="848">
        <f t="shared" si="165"/>
        <v>0</v>
      </c>
      <c r="AB261" s="848">
        <f t="shared" si="165"/>
        <v>0</v>
      </c>
      <c r="AC261" s="949">
        <f t="shared" si="165"/>
        <v>0</v>
      </c>
      <c r="AE261" s="345"/>
    </row>
    <row r="262" spans="9:31" s="344" customFormat="1" outlineLevel="1" x14ac:dyDescent="0.3">
      <c r="I262" s="350"/>
      <c r="J262" s="515" t="s">
        <v>348</v>
      </c>
      <c r="K262" s="110"/>
      <c r="L262" s="352"/>
      <c r="M262" s="7"/>
      <c r="N262" s="848">
        <f t="shared" ref="N262" si="166">IF($L$86="Milestone Calculation",_xlfn.XLOOKUP(N258,$AR$72:$AR$87,$AT$72:$AT$87,0),0)</f>
        <v>0</v>
      </c>
      <c r="O262" s="848">
        <f>IF($L$86="Milestone Calculation",_xlfn.XLOOKUP(O258,$AR$72:$AR$87,$AT$72:$AT$87,0),0)</f>
        <v>0</v>
      </c>
      <c r="P262" s="848">
        <f t="shared" ref="P262:AC262" si="167">IF($L$86="Milestone Calculation",_xlfn.XLOOKUP(P258,$AR$72:$AR$87,$AT$72:$AT$87,0),0)</f>
        <v>0</v>
      </c>
      <c r="Q262" s="848">
        <f t="shared" si="167"/>
        <v>0</v>
      </c>
      <c r="R262" s="848">
        <f t="shared" si="167"/>
        <v>0</v>
      </c>
      <c r="S262" s="848">
        <f t="shared" si="167"/>
        <v>0</v>
      </c>
      <c r="T262" s="848">
        <f t="shared" si="167"/>
        <v>0</v>
      </c>
      <c r="U262" s="848">
        <f t="shared" si="167"/>
        <v>0</v>
      </c>
      <c r="V262" s="848">
        <f t="shared" si="167"/>
        <v>0</v>
      </c>
      <c r="W262" s="848">
        <f t="shared" si="167"/>
        <v>0</v>
      </c>
      <c r="X262" s="848">
        <f t="shared" si="167"/>
        <v>0</v>
      </c>
      <c r="Y262" s="848">
        <f t="shared" si="167"/>
        <v>0</v>
      </c>
      <c r="Z262" s="848">
        <f t="shared" si="167"/>
        <v>0</v>
      </c>
      <c r="AA262" s="848">
        <f t="shared" si="167"/>
        <v>0</v>
      </c>
      <c r="AB262" s="848">
        <f t="shared" si="167"/>
        <v>0</v>
      </c>
      <c r="AC262" s="949">
        <f t="shared" si="167"/>
        <v>0</v>
      </c>
      <c r="AE262" s="345"/>
    </row>
    <row r="263" spans="9:31" s="344" customFormat="1" ht="15.75" outlineLevel="1" x14ac:dyDescent="0.25">
      <c r="I263" s="350"/>
      <c r="J263" s="110" t="s">
        <v>210</v>
      </c>
      <c r="K263" s="110"/>
      <c r="L263" s="352"/>
      <c r="M263" s="7"/>
      <c r="N263" s="848">
        <f>-N232</f>
        <v>0</v>
      </c>
      <c r="O263" s="848">
        <f t="shared" ref="O263:AC263" si="168">-O232</f>
        <v>0</v>
      </c>
      <c r="P263" s="848">
        <f t="shared" si="168"/>
        <v>0</v>
      </c>
      <c r="Q263" s="848">
        <f t="shared" si="168"/>
        <v>0</v>
      </c>
      <c r="R263" s="848">
        <f t="shared" si="168"/>
        <v>0</v>
      </c>
      <c r="S263" s="848">
        <f t="shared" si="168"/>
        <v>0</v>
      </c>
      <c r="T263" s="848">
        <f t="shared" si="168"/>
        <v>0</v>
      </c>
      <c r="U263" s="848">
        <f t="shared" si="168"/>
        <v>0</v>
      </c>
      <c r="V263" s="848">
        <f t="shared" si="168"/>
        <v>0</v>
      </c>
      <c r="W263" s="848">
        <f t="shared" si="168"/>
        <v>0</v>
      </c>
      <c r="X263" s="848">
        <f t="shared" si="168"/>
        <v>0</v>
      </c>
      <c r="Y263" s="848">
        <f t="shared" si="168"/>
        <v>0</v>
      </c>
      <c r="Z263" s="848">
        <f t="shared" si="168"/>
        <v>0</v>
      </c>
      <c r="AA263" s="848">
        <f t="shared" si="168"/>
        <v>0</v>
      </c>
      <c r="AB263" s="848">
        <f t="shared" si="168"/>
        <v>0</v>
      </c>
      <c r="AC263" s="949">
        <f t="shared" si="168"/>
        <v>0</v>
      </c>
      <c r="AE263" s="345"/>
    </row>
    <row r="264" spans="9:31" s="344" customFormat="1" ht="15.75" outlineLevel="1" x14ac:dyDescent="0.25">
      <c r="I264" s="350"/>
      <c r="J264" s="210" t="s">
        <v>211</v>
      </c>
      <c r="K264" s="210"/>
      <c r="L264" s="354"/>
      <c r="M264" s="7"/>
      <c r="N264" s="839">
        <f>SUM(N261:N263)</f>
        <v>0</v>
      </c>
      <c r="O264" s="839">
        <f t="shared" ref="O264:AC264" si="169">SUM(O261:O263)</f>
        <v>0</v>
      </c>
      <c r="P264" s="839">
        <f t="shared" si="169"/>
        <v>0</v>
      </c>
      <c r="Q264" s="839">
        <f t="shared" si="169"/>
        <v>0</v>
      </c>
      <c r="R264" s="839">
        <f t="shared" si="169"/>
        <v>0</v>
      </c>
      <c r="S264" s="839">
        <f t="shared" si="169"/>
        <v>0</v>
      </c>
      <c r="T264" s="839">
        <f t="shared" si="169"/>
        <v>0</v>
      </c>
      <c r="U264" s="839">
        <f t="shared" si="169"/>
        <v>0</v>
      </c>
      <c r="V264" s="839">
        <f t="shared" si="169"/>
        <v>0</v>
      </c>
      <c r="W264" s="839">
        <f t="shared" si="169"/>
        <v>0</v>
      </c>
      <c r="X264" s="839">
        <f t="shared" si="169"/>
        <v>0</v>
      </c>
      <c r="Y264" s="839">
        <f t="shared" si="169"/>
        <v>0</v>
      </c>
      <c r="Z264" s="839">
        <f t="shared" si="169"/>
        <v>0</v>
      </c>
      <c r="AA264" s="839">
        <f t="shared" si="169"/>
        <v>0</v>
      </c>
      <c r="AB264" s="839">
        <f t="shared" si="169"/>
        <v>0</v>
      </c>
      <c r="AC264" s="849">
        <f t="shared" si="169"/>
        <v>0</v>
      </c>
      <c r="AE264" s="345"/>
    </row>
    <row r="265" spans="9:31" s="344" customFormat="1" ht="15.75" outlineLevel="1" x14ac:dyDescent="0.25">
      <c r="I265" s="350"/>
      <c r="J265" s="355"/>
      <c r="K265" s="355"/>
      <c r="L265" s="1"/>
      <c r="M265" s="7"/>
      <c r="N265" s="750"/>
      <c r="O265" s="750"/>
      <c r="P265" s="750"/>
      <c r="Q265" s="750"/>
      <c r="R265" s="750"/>
      <c r="S265" s="750"/>
      <c r="T265" s="750"/>
      <c r="U265" s="750"/>
      <c r="V265" s="750"/>
      <c r="W265" s="750"/>
      <c r="X265" s="750"/>
      <c r="Y265" s="750"/>
      <c r="Z265" s="750"/>
      <c r="AA265" s="750"/>
      <c r="AB265" s="750"/>
      <c r="AC265" s="854"/>
      <c r="AE265" s="345"/>
    </row>
    <row r="266" spans="9:31" s="344" customFormat="1" ht="15.75" outlineLevel="1" x14ac:dyDescent="0.25">
      <c r="I266" s="350"/>
      <c r="J266" s="110" t="s">
        <v>212</v>
      </c>
      <c r="K266" s="110"/>
      <c r="L266" s="352"/>
      <c r="M266" s="7"/>
      <c r="N266" s="848">
        <f t="shared" ref="N266:AC266" si="170">-M248</f>
        <v>0</v>
      </c>
      <c r="O266" s="848">
        <f t="shared" si="170"/>
        <v>0</v>
      </c>
      <c r="P266" s="848">
        <f t="shared" si="170"/>
        <v>0</v>
      </c>
      <c r="Q266" s="848">
        <f t="shared" si="170"/>
        <v>0</v>
      </c>
      <c r="R266" s="848">
        <f t="shared" si="170"/>
        <v>0</v>
      </c>
      <c r="S266" s="848">
        <f t="shared" si="170"/>
        <v>0</v>
      </c>
      <c r="T266" s="848">
        <f t="shared" si="170"/>
        <v>0</v>
      </c>
      <c r="U266" s="848">
        <f t="shared" si="170"/>
        <v>0</v>
      </c>
      <c r="V266" s="848">
        <f t="shared" si="170"/>
        <v>0</v>
      </c>
      <c r="W266" s="848">
        <f t="shared" si="170"/>
        <v>0</v>
      </c>
      <c r="X266" s="848">
        <f t="shared" si="170"/>
        <v>0</v>
      </c>
      <c r="Y266" s="848">
        <f t="shared" si="170"/>
        <v>0</v>
      </c>
      <c r="Z266" s="848">
        <f t="shared" si="170"/>
        <v>0</v>
      </c>
      <c r="AA266" s="848">
        <f t="shared" si="170"/>
        <v>0</v>
      </c>
      <c r="AB266" s="848">
        <f t="shared" si="170"/>
        <v>0</v>
      </c>
      <c r="AC266" s="949">
        <f t="shared" si="170"/>
        <v>0</v>
      </c>
      <c r="AE266" s="345"/>
    </row>
    <row r="267" spans="9:31" s="344" customFormat="1" ht="15.75" outlineLevel="1" x14ac:dyDescent="0.25">
      <c r="I267" s="350"/>
      <c r="J267" s="110" t="s">
        <v>213</v>
      </c>
      <c r="K267" s="110"/>
      <c r="L267" s="352"/>
      <c r="M267" s="7"/>
      <c r="N267" s="848">
        <f t="shared" ref="N267:AC267" si="171">+M240</f>
        <v>0</v>
      </c>
      <c r="O267" s="848">
        <f t="shared" si="171"/>
        <v>0</v>
      </c>
      <c r="P267" s="848">
        <f t="shared" si="171"/>
        <v>0</v>
      </c>
      <c r="Q267" s="848">
        <f t="shared" si="171"/>
        <v>0</v>
      </c>
      <c r="R267" s="848">
        <f t="shared" si="171"/>
        <v>0</v>
      </c>
      <c r="S267" s="848">
        <f t="shared" si="171"/>
        <v>0</v>
      </c>
      <c r="T267" s="848">
        <f t="shared" si="171"/>
        <v>0</v>
      </c>
      <c r="U267" s="848">
        <f t="shared" si="171"/>
        <v>0</v>
      </c>
      <c r="V267" s="848">
        <f t="shared" si="171"/>
        <v>0</v>
      </c>
      <c r="W267" s="848">
        <f t="shared" si="171"/>
        <v>0</v>
      </c>
      <c r="X267" s="848">
        <f t="shared" si="171"/>
        <v>0</v>
      </c>
      <c r="Y267" s="848">
        <f t="shared" si="171"/>
        <v>0</v>
      </c>
      <c r="Z267" s="848">
        <f t="shared" si="171"/>
        <v>0</v>
      </c>
      <c r="AA267" s="848">
        <f t="shared" si="171"/>
        <v>0</v>
      </c>
      <c r="AB267" s="848">
        <f t="shared" si="171"/>
        <v>0</v>
      </c>
      <c r="AC267" s="949">
        <f t="shared" si="171"/>
        <v>0</v>
      </c>
      <c r="AE267" s="345"/>
    </row>
    <row r="268" spans="9:31" s="344" customFormat="1" ht="15.75" outlineLevel="1" x14ac:dyDescent="0.25">
      <c r="I268" s="350"/>
      <c r="J268" s="210" t="s">
        <v>214</v>
      </c>
      <c r="K268" s="210"/>
      <c r="L268" s="354"/>
      <c r="M268" s="7"/>
      <c r="N268" s="839">
        <f>SUM(N266:N267)</f>
        <v>0</v>
      </c>
      <c r="O268" s="839">
        <f t="shared" ref="O268:AC268" si="172">SUM(O266:O267)</f>
        <v>0</v>
      </c>
      <c r="P268" s="839">
        <f t="shared" si="172"/>
        <v>0</v>
      </c>
      <c r="Q268" s="839">
        <f t="shared" si="172"/>
        <v>0</v>
      </c>
      <c r="R268" s="839">
        <f t="shared" si="172"/>
        <v>0</v>
      </c>
      <c r="S268" s="839">
        <f t="shared" si="172"/>
        <v>0</v>
      </c>
      <c r="T268" s="839">
        <f t="shared" si="172"/>
        <v>0</v>
      </c>
      <c r="U268" s="839">
        <f t="shared" si="172"/>
        <v>0</v>
      </c>
      <c r="V268" s="839">
        <f t="shared" si="172"/>
        <v>0</v>
      </c>
      <c r="W268" s="839">
        <f t="shared" si="172"/>
        <v>0</v>
      </c>
      <c r="X268" s="839">
        <f t="shared" si="172"/>
        <v>0</v>
      </c>
      <c r="Y268" s="839">
        <f t="shared" si="172"/>
        <v>0</v>
      </c>
      <c r="Z268" s="839">
        <f t="shared" si="172"/>
        <v>0</v>
      </c>
      <c r="AA268" s="839">
        <f t="shared" si="172"/>
        <v>0</v>
      </c>
      <c r="AB268" s="839">
        <f t="shared" si="172"/>
        <v>0</v>
      </c>
      <c r="AC268" s="849">
        <f t="shared" si="172"/>
        <v>0</v>
      </c>
      <c r="AE268" s="345"/>
    </row>
    <row r="269" spans="9:31" s="344" customFormat="1" ht="14.25" outlineLevel="1" x14ac:dyDescent="0.2">
      <c r="I269" s="350"/>
      <c r="J269" s="1"/>
      <c r="K269" s="1"/>
      <c r="L269" s="1"/>
      <c r="M269" s="7"/>
      <c r="N269" s="750"/>
      <c r="O269" s="750"/>
      <c r="P269" s="750"/>
      <c r="Q269" s="750"/>
      <c r="R269" s="750"/>
      <c r="S269" s="750"/>
      <c r="T269" s="750"/>
      <c r="U269" s="750"/>
      <c r="V269" s="750"/>
      <c r="W269" s="750"/>
      <c r="X269" s="750"/>
      <c r="Y269" s="750"/>
      <c r="Z269" s="750"/>
      <c r="AA269" s="750"/>
      <c r="AB269" s="750"/>
      <c r="AC269" s="854"/>
      <c r="AE269" s="345"/>
    </row>
    <row r="270" spans="9:31" s="344" customFormat="1" ht="15.75" outlineLevel="1" x14ac:dyDescent="0.25">
      <c r="I270" s="350"/>
      <c r="J270" s="1" t="s">
        <v>215</v>
      </c>
      <c r="K270" s="1"/>
      <c r="L270" s="1"/>
      <c r="M270" s="7"/>
      <c r="N270" s="855">
        <f>N264+N268</f>
        <v>0</v>
      </c>
      <c r="O270" s="855">
        <f t="shared" ref="O270:AC270" si="173">O264+O268</f>
        <v>0</v>
      </c>
      <c r="P270" s="855">
        <f t="shared" si="173"/>
        <v>0</v>
      </c>
      <c r="Q270" s="855">
        <f t="shared" si="173"/>
        <v>0</v>
      </c>
      <c r="R270" s="855">
        <f t="shared" si="173"/>
        <v>0</v>
      </c>
      <c r="S270" s="855">
        <f t="shared" si="173"/>
        <v>0</v>
      </c>
      <c r="T270" s="855">
        <f t="shared" si="173"/>
        <v>0</v>
      </c>
      <c r="U270" s="855">
        <f t="shared" si="173"/>
        <v>0</v>
      </c>
      <c r="V270" s="855">
        <f t="shared" si="173"/>
        <v>0</v>
      </c>
      <c r="W270" s="855">
        <f t="shared" si="173"/>
        <v>0</v>
      </c>
      <c r="X270" s="855">
        <f t="shared" si="173"/>
        <v>0</v>
      </c>
      <c r="Y270" s="855">
        <f t="shared" si="173"/>
        <v>0</v>
      </c>
      <c r="Z270" s="855">
        <f t="shared" si="173"/>
        <v>0</v>
      </c>
      <c r="AA270" s="855">
        <f t="shared" si="173"/>
        <v>0</v>
      </c>
      <c r="AB270" s="855">
        <f t="shared" si="173"/>
        <v>0</v>
      </c>
      <c r="AC270" s="856">
        <f t="shared" si="173"/>
        <v>0</v>
      </c>
      <c r="AE270" s="345"/>
    </row>
    <row r="271" spans="9:31" s="344" customFormat="1" ht="14.25" outlineLevel="1" x14ac:dyDescent="0.2">
      <c r="I271" s="350"/>
      <c r="J271" s="1"/>
      <c r="K271" s="1"/>
      <c r="L271" s="1"/>
      <c r="M271" s="7"/>
      <c r="N271" s="750"/>
      <c r="O271" s="750"/>
      <c r="P271" s="750"/>
      <c r="Q271" s="750"/>
      <c r="R271" s="750"/>
      <c r="S271" s="750"/>
      <c r="T271" s="750"/>
      <c r="U271" s="750"/>
      <c r="V271" s="750"/>
      <c r="W271" s="750"/>
      <c r="X271" s="750"/>
      <c r="Y271" s="750"/>
      <c r="Z271" s="750"/>
      <c r="AA271" s="750"/>
      <c r="AB271" s="750"/>
      <c r="AC271" s="854"/>
      <c r="AE271" s="345"/>
    </row>
    <row r="272" spans="9:31" s="344" customFormat="1" ht="15.75" outlineLevel="1" x14ac:dyDescent="0.25">
      <c r="I272" s="350"/>
      <c r="J272" s="1" t="s">
        <v>216</v>
      </c>
      <c r="K272" s="1"/>
      <c r="L272" s="1"/>
      <c r="M272" s="7"/>
      <c r="N272" s="855">
        <f>-N237</f>
        <v>0</v>
      </c>
      <c r="O272" s="855">
        <f t="shared" ref="O272:AC272" si="174">-O237</f>
        <v>0</v>
      </c>
      <c r="P272" s="855">
        <f t="shared" si="174"/>
        <v>0</v>
      </c>
      <c r="Q272" s="855">
        <f t="shared" si="174"/>
        <v>0</v>
      </c>
      <c r="R272" s="855">
        <f t="shared" si="174"/>
        <v>0</v>
      </c>
      <c r="S272" s="855">
        <f t="shared" si="174"/>
        <v>0</v>
      </c>
      <c r="T272" s="855">
        <f t="shared" si="174"/>
        <v>0</v>
      </c>
      <c r="U272" s="855">
        <f t="shared" si="174"/>
        <v>0</v>
      </c>
      <c r="V272" s="855">
        <f t="shared" si="174"/>
        <v>0</v>
      </c>
      <c r="W272" s="855">
        <f t="shared" si="174"/>
        <v>0</v>
      </c>
      <c r="X272" s="855">
        <f t="shared" si="174"/>
        <v>0</v>
      </c>
      <c r="Y272" s="855">
        <f t="shared" si="174"/>
        <v>0</v>
      </c>
      <c r="Z272" s="855">
        <f t="shared" si="174"/>
        <v>0</v>
      </c>
      <c r="AA272" s="855">
        <f t="shared" si="174"/>
        <v>0</v>
      </c>
      <c r="AB272" s="855">
        <f t="shared" si="174"/>
        <v>0</v>
      </c>
      <c r="AC272" s="856">
        <f t="shared" si="174"/>
        <v>0</v>
      </c>
      <c r="AE272" s="345"/>
    </row>
    <row r="273" spans="8:58" s="344" customFormat="1" ht="14.25" outlineLevel="1" x14ac:dyDescent="0.2">
      <c r="I273" s="350"/>
      <c r="J273" s="1"/>
      <c r="K273" s="1"/>
      <c r="L273" s="1"/>
      <c r="M273" s="7"/>
      <c r="N273" s="750"/>
      <c r="O273" s="750"/>
      <c r="P273" s="750"/>
      <c r="Q273" s="750"/>
      <c r="R273" s="750"/>
      <c r="S273" s="750"/>
      <c r="T273" s="750"/>
      <c r="U273" s="750"/>
      <c r="V273" s="750"/>
      <c r="W273" s="750"/>
      <c r="X273" s="750"/>
      <c r="Y273" s="750"/>
      <c r="Z273" s="750"/>
      <c r="AA273" s="750"/>
      <c r="AB273" s="750"/>
      <c r="AC273" s="854"/>
      <c r="AE273" s="345"/>
    </row>
    <row r="274" spans="8:58" s="344" customFormat="1" outlineLevel="1" thickBot="1" x14ac:dyDescent="0.3">
      <c r="I274" s="350"/>
      <c r="J274" s="356" t="s">
        <v>217</v>
      </c>
      <c r="K274" s="1"/>
      <c r="L274" s="1"/>
      <c r="M274" s="7"/>
      <c r="N274" s="847">
        <f>MIN(N270,N272)</f>
        <v>0</v>
      </c>
      <c r="O274" s="847">
        <f t="shared" ref="O274:AC274" si="175">MIN(O270,O272)</f>
        <v>0</v>
      </c>
      <c r="P274" s="847">
        <f t="shared" si="175"/>
        <v>0</v>
      </c>
      <c r="Q274" s="847">
        <f t="shared" si="175"/>
        <v>0</v>
      </c>
      <c r="R274" s="847">
        <f t="shared" si="175"/>
        <v>0</v>
      </c>
      <c r="S274" s="847">
        <f t="shared" si="175"/>
        <v>0</v>
      </c>
      <c r="T274" s="847">
        <f t="shared" si="175"/>
        <v>0</v>
      </c>
      <c r="U274" s="847">
        <f t="shared" si="175"/>
        <v>0</v>
      </c>
      <c r="V274" s="847">
        <f t="shared" si="175"/>
        <v>0</v>
      </c>
      <c r="W274" s="847">
        <f t="shared" si="175"/>
        <v>0</v>
      </c>
      <c r="X274" s="847">
        <f t="shared" si="175"/>
        <v>0</v>
      </c>
      <c r="Y274" s="847">
        <f t="shared" si="175"/>
        <v>0</v>
      </c>
      <c r="Z274" s="847">
        <f t="shared" si="175"/>
        <v>0</v>
      </c>
      <c r="AA274" s="847">
        <f t="shared" si="175"/>
        <v>0</v>
      </c>
      <c r="AB274" s="847">
        <f t="shared" si="175"/>
        <v>0</v>
      </c>
      <c r="AC274" s="857">
        <f t="shared" si="175"/>
        <v>0</v>
      </c>
      <c r="AE274" s="345"/>
    </row>
    <row r="275" spans="8:58" s="344" customFormat="1" ht="15.75" outlineLevel="1" thickTop="1" thickBot="1" x14ac:dyDescent="0.25">
      <c r="I275" s="357"/>
      <c r="J275" s="358"/>
      <c r="K275" s="358"/>
      <c r="L275" s="359"/>
      <c r="M275" s="360"/>
      <c r="N275" s="359"/>
      <c r="O275" s="359"/>
      <c r="P275" s="359"/>
      <c r="Q275" s="359"/>
      <c r="R275" s="359"/>
      <c r="S275" s="359"/>
      <c r="T275" s="359"/>
      <c r="U275" s="359"/>
      <c r="V275" s="359"/>
      <c r="W275" s="359"/>
      <c r="X275" s="359"/>
      <c r="Y275" s="359"/>
      <c r="Z275" s="359"/>
      <c r="AA275" s="359"/>
      <c r="AB275" s="359"/>
      <c r="AC275" s="361"/>
      <c r="AE275" s="308"/>
      <c r="AF275" s="308"/>
      <c r="AG275" s="308"/>
      <c r="AH275" s="308"/>
      <c r="AI275" s="308"/>
      <c r="AJ275" s="308"/>
      <c r="AK275" s="308"/>
      <c r="AL275" s="308"/>
      <c r="AM275" s="308"/>
      <c r="AN275" s="308"/>
      <c r="AO275" s="308"/>
      <c r="AP275" s="308"/>
      <c r="AQ275" s="308"/>
      <c r="AR275" s="308"/>
      <c r="AS275" s="308"/>
      <c r="AT275" s="308"/>
    </row>
    <row r="276" spans="8:58" s="308" customFormat="1" ht="12" customHeight="1" outlineLevel="1" x14ac:dyDescent="0.2">
      <c r="I276" s="303"/>
      <c r="J276" s="304"/>
      <c r="K276" s="305"/>
      <c r="L276" s="362"/>
      <c r="M276" s="1"/>
      <c r="N276" s="363"/>
      <c r="O276" s="363"/>
      <c r="P276" s="363"/>
      <c r="Q276" s="363"/>
      <c r="R276" s="363"/>
      <c r="S276" s="363"/>
      <c r="T276" s="363"/>
      <c r="U276" s="363"/>
      <c r="V276" s="363"/>
      <c r="W276" s="363"/>
      <c r="X276" s="363"/>
      <c r="Y276" s="363"/>
      <c r="Z276" s="363"/>
      <c r="AA276" s="363"/>
      <c r="AB276" s="363"/>
      <c r="AC276" s="363"/>
      <c r="AE276" s="1"/>
      <c r="AF276" s="4"/>
      <c r="AG276" s="4"/>
      <c r="AH276" s="4"/>
      <c r="AI276" s="4"/>
      <c r="AJ276" s="4"/>
      <c r="AK276" s="4"/>
      <c r="AL276" s="4"/>
      <c r="AM276" s="4"/>
      <c r="AN276" s="4"/>
      <c r="AO276" s="4"/>
      <c r="AP276" s="4"/>
      <c r="AQ276" s="4"/>
      <c r="AR276" s="4"/>
      <c r="AS276" s="4"/>
      <c r="AT276" s="4"/>
    </row>
    <row r="277" spans="8:58" s="4" customFormat="1" ht="18" x14ac:dyDescent="0.2">
      <c r="H277" s="1"/>
      <c r="I277" s="132" t="s">
        <v>218</v>
      </c>
      <c r="J277" s="33" t="s">
        <v>219</v>
      </c>
      <c r="K277" s="33"/>
      <c r="L277" s="364"/>
      <c r="M277" s="364"/>
      <c r="N277" s="133">
        <f>N$11</f>
        <v>2024</v>
      </c>
      <c r="O277" s="133">
        <f t="shared" ref="O277:AC277" si="176">O$11</f>
        <v>2025</v>
      </c>
      <c r="P277" s="133">
        <f t="shared" si="176"/>
        <v>2026</v>
      </c>
      <c r="Q277" s="133">
        <f t="shared" si="176"/>
        <v>2027</v>
      </c>
      <c r="R277" s="133">
        <f t="shared" si="176"/>
        <v>2028</v>
      </c>
      <c r="S277" s="133">
        <f t="shared" si="176"/>
        <v>2029</v>
      </c>
      <c r="T277" s="133">
        <f t="shared" si="176"/>
        <v>2030</v>
      </c>
      <c r="U277" s="133">
        <f t="shared" si="176"/>
        <v>2031</v>
      </c>
      <c r="V277" s="133">
        <f t="shared" si="176"/>
        <v>2032</v>
      </c>
      <c r="W277" s="133">
        <f t="shared" si="176"/>
        <v>2033</v>
      </c>
      <c r="X277" s="133">
        <f t="shared" si="176"/>
        <v>2034</v>
      </c>
      <c r="Y277" s="133">
        <f t="shared" si="176"/>
        <v>2035</v>
      </c>
      <c r="Z277" s="133">
        <f t="shared" si="176"/>
        <v>2036</v>
      </c>
      <c r="AA277" s="133">
        <f t="shared" si="176"/>
        <v>2037</v>
      </c>
      <c r="AB277" s="133">
        <f t="shared" si="176"/>
        <v>2038</v>
      </c>
      <c r="AC277" s="133">
        <f t="shared" si="176"/>
        <v>2039</v>
      </c>
      <c r="AD277" s="1"/>
      <c r="AE277" s="1"/>
      <c r="AF277" s="1"/>
      <c r="AG277" s="1"/>
      <c r="AH277" s="1"/>
      <c r="AI277" s="1"/>
      <c r="AJ277" s="1"/>
      <c r="AK277" s="1"/>
      <c r="AL277" s="1"/>
      <c r="AM277" s="1"/>
      <c r="AN277" s="1"/>
      <c r="AO277" s="1"/>
      <c r="AP277" s="1"/>
      <c r="AQ277" s="1"/>
      <c r="AR277" s="1"/>
      <c r="AS277" s="1"/>
      <c r="AT277" s="1"/>
      <c r="AV277" s="1"/>
      <c r="AW277" s="1"/>
      <c r="AX277" s="1"/>
      <c r="AY277" s="1"/>
      <c r="AZ277" s="1"/>
      <c r="BA277" s="1"/>
      <c r="BB277" s="1"/>
      <c r="BC277" s="1"/>
      <c r="BD277" s="1"/>
      <c r="BE277" s="1"/>
      <c r="BF277" s="1"/>
    </row>
    <row r="278" spans="8:58" s="4" customFormat="1" ht="15.75" outlineLevel="1" x14ac:dyDescent="0.25">
      <c r="H278" s="1"/>
      <c r="I278" s="99">
        <v>1</v>
      </c>
      <c r="J278" s="67" t="s">
        <v>220</v>
      </c>
      <c r="K278" s="31"/>
      <c r="L278" s="169"/>
      <c r="M278" s="1"/>
      <c r="N278" s="31"/>
      <c r="O278" s="31"/>
      <c r="P278" s="31"/>
      <c r="Q278" s="31"/>
      <c r="R278" s="31"/>
      <c r="S278" s="31"/>
      <c r="T278" s="31"/>
      <c r="U278" s="31"/>
      <c r="V278" s="31"/>
      <c r="W278" s="31"/>
      <c r="X278" s="31"/>
      <c r="Y278" s="31"/>
      <c r="Z278" s="31"/>
      <c r="AA278" s="31"/>
      <c r="AB278" s="31"/>
      <c r="AC278" s="3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row>
    <row r="279" spans="8:58" s="4" customFormat="1" ht="15.75" outlineLevel="1" x14ac:dyDescent="0.25">
      <c r="H279" s="1"/>
      <c r="I279" s="99"/>
      <c r="J279" s="31" t="s">
        <v>30</v>
      </c>
      <c r="K279" s="31"/>
      <c r="L279" s="289"/>
      <c r="M279" s="1"/>
      <c r="N279" s="844">
        <f t="shared" ref="N279:AC283" si="177">N200</f>
        <v>0</v>
      </c>
      <c r="O279" s="844">
        <f t="shared" si="177"/>
        <v>0</v>
      </c>
      <c r="P279" s="844">
        <f t="shared" si="177"/>
        <v>0</v>
      </c>
      <c r="Q279" s="844">
        <f t="shared" si="177"/>
        <v>0</v>
      </c>
      <c r="R279" s="844">
        <f t="shared" si="177"/>
        <v>0</v>
      </c>
      <c r="S279" s="844">
        <f t="shared" si="177"/>
        <v>0</v>
      </c>
      <c r="T279" s="844">
        <f t="shared" si="177"/>
        <v>0</v>
      </c>
      <c r="U279" s="844">
        <f t="shared" si="177"/>
        <v>0</v>
      </c>
      <c r="V279" s="844">
        <f t="shared" si="177"/>
        <v>0</v>
      </c>
      <c r="W279" s="844">
        <f t="shared" si="177"/>
        <v>0</v>
      </c>
      <c r="X279" s="844">
        <f t="shared" si="177"/>
        <v>0</v>
      </c>
      <c r="Y279" s="844">
        <f t="shared" si="177"/>
        <v>0</v>
      </c>
      <c r="Z279" s="844">
        <f t="shared" si="177"/>
        <v>0</v>
      </c>
      <c r="AA279" s="844">
        <f t="shared" si="177"/>
        <v>0</v>
      </c>
      <c r="AB279" s="844">
        <f t="shared" si="177"/>
        <v>0</v>
      </c>
      <c r="AC279" s="844">
        <f t="shared" si="177"/>
        <v>0</v>
      </c>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row>
    <row r="280" spans="8:58" s="4" customFormat="1" ht="15.75" outlineLevel="1" x14ac:dyDescent="0.25">
      <c r="H280" s="1"/>
      <c r="I280" s="99"/>
      <c r="J280" s="31" t="s">
        <v>295</v>
      </c>
      <c r="K280" s="31"/>
      <c r="L280" s="289"/>
      <c r="M280" s="1"/>
      <c r="N280" s="844">
        <f t="shared" si="177"/>
        <v>0</v>
      </c>
      <c r="O280" s="844">
        <f t="shared" si="177"/>
        <v>0</v>
      </c>
      <c r="P280" s="844">
        <f t="shared" si="177"/>
        <v>0</v>
      </c>
      <c r="Q280" s="844">
        <f t="shared" si="177"/>
        <v>0</v>
      </c>
      <c r="R280" s="844">
        <f t="shared" si="177"/>
        <v>0</v>
      </c>
      <c r="S280" s="844">
        <f t="shared" si="177"/>
        <v>0</v>
      </c>
      <c r="T280" s="844">
        <f t="shared" si="177"/>
        <v>0</v>
      </c>
      <c r="U280" s="844">
        <f t="shared" si="177"/>
        <v>0</v>
      </c>
      <c r="V280" s="844">
        <f t="shared" si="177"/>
        <v>0</v>
      </c>
      <c r="W280" s="844">
        <f t="shared" si="177"/>
        <v>0</v>
      </c>
      <c r="X280" s="844">
        <f t="shared" si="177"/>
        <v>0</v>
      </c>
      <c r="Y280" s="844">
        <f t="shared" si="177"/>
        <v>0</v>
      </c>
      <c r="Z280" s="844">
        <f t="shared" si="177"/>
        <v>0</v>
      </c>
      <c r="AA280" s="844">
        <f t="shared" si="177"/>
        <v>0</v>
      </c>
      <c r="AB280" s="844">
        <f t="shared" si="177"/>
        <v>0</v>
      </c>
      <c r="AC280" s="844">
        <f t="shared" si="177"/>
        <v>0</v>
      </c>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row>
    <row r="281" spans="8:58" s="4" customFormat="1" ht="15.75" outlineLevel="1" x14ac:dyDescent="0.25">
      <c r="H281" s="1"/>
      <c r="I281" s="99"/>
      <c r="J281" s="31" t="s">
        <v>296</v>
      </c>
      <c r="K281" s="31"/>
      <c r="L281" s="289"/>
      <c r="M281" s="1"/>
      <c r="N281" s="844">
        <f t="shared" si="177"/>
        <v>0</v>
      </c>
      <c r="O281" s="844">
        <f t="shared" si="177"/>
        <v>0</v>
      </c>
      <c r="P281" s="844">
        <f t="shared" si="177"/>
        <v>0</v>
      </c>
      <c r="Q281" s="844">
        <f t="shared" si="177"/>
        <v>0</v>
      </c>
      <c r="R281" s="844">
        <f t="shared" si="177"/>
        <v>0</v>
      </c>
      <c r="S281" s="844">
        <f t="shared" si="177"/>
        <v>0</v>
      </c>
      <c r="T281" s="844">
        <f t="shared" si="177"/>
        <v>0</v>
      </c>
      <c r="U281" s="844">
        <f t="shared" si="177"/>
        <v>0</v>
      </c>
      <c r="V281" s="844">
        <f t="shared" si="177"/>
        <v>0</v>
      </c>
      <c r="W281" s="844">
        <f t="shared" si="177"/>
        <v>0</v>
      </c>
      <c r="X281" s="844">
        <f t="shared" si="177"/>
        <v>0</v>
      </c>
      <c r="Y281" s="844">
        <f t="shared" si="177"/>
        <v>0</v>
      </c>
      <c r="Z281" s="844">
        <f t="shared" si="177"/>
        <v>0</v>
      </c>
      <c r="AA281" s="844">
        <f t="shared" si="177"/>
        <v>0</v>
      </c>
      <c r="AB281" s="844">
        <f t="shared" si="177"/>
        <v>0</v>
      </c>
      <c r="AC281" s="844">
        <f t="shared" si="177"/>
        <v>0</v>
      </c>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row>
    <row r="282" spans="8:58" s="4" customFormat="1" ht="15.75" outlineLevel="1" x14ac:dyDescent="0.25">
      <c r="H282" s="1"/>
      <c r="I282" s="99"/>
      <c r="J282" s="31" t="s">
        <v>458</v>
      </c>
      <c r="K282" s="31"/>
      <c r="L282" s="289"/>
      <c r="M282" s="1"/>
      <c r="N282" s="844">
        <f>N203</f>
        <v>0</v>
      </c>
      <c r="O282" s="844">
        <f t="shared" si="177"/>
        <v>0</v>
      </c>
      <c r="P282" s="844">
        <f t="shared" si="177"/>
        <v>0</v>
      </c>
      <c r="Q282" s="844">
        <f t="shared" si="177"/>
        <v>0</v>
      </c>
      <c r="R282" s="844">
        <f t="shared" si="177"/>
        <v>0</v>
      </c>
      <c r="S282" s="844">
        <f t="shared" si="177"/>
        <v>0</v>
      </c>
      <c r="T282" s="844">
        <f t="shared" si="177"/>
        <v>0</v>
      </c>
      <c r="U282" s="844">
        <f t="shared" si="177"/>
        <v>0</v>
      </c>
      <c r="V282" s="844">
        <f t="shared" si="177"/>
        <v>0</v>
      </c>
      <c r="W282" s="844">
        <f t="shared" si="177"/>
        <v>0</v>
      </c>
      <c r="X282" s="844">
        <f t="shared" si="177"/>
        <v>0</v>
      </c>
      <c r="Y282" s="844">
        <f t="shared" si="177"/>
        <v>0</v>
      </c>
      <c r="Z282" s="844">
        <f t="shared" si="177"/>
        <v>0</v>
      </c>
      <c r="AA282" s="844">
        <f t="shared" si="177"/>
        <v>0</v>
      </c>
      <c r="AB282" s="844">
        <f t="shared" si="177"/>
        <v>0</v>
      </c>
      <c r="AC282" s="844">
        <f t="shared" si="177"/>
        <v>0</v>
      </c>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row>
    <row r="283" spans="8:58" s="4" customFormat="1" ht="15.75" outlineLevel="1" x14ac:dyDescent="0.25">
      <c r="H283" s="1"/>
      <c r="I283" s="99"/>
      <c r="J283" s="31" t="s">
        <v>298</v>
      </c>
      <c r="K283" s="31"/>
      <c r="L283" s="289"/>
      <c r="M283" s="1"/>
      <c r="N283" s="844">
        <f>N204</f>
        <v>0</v>
      </c>
      <c r="O283" s="844">
        <f t="shared" si="177"/>
        <v>0</v>
      </c>
      <c r="P283" s="844">
        <f t="shared" si="177"/>
        <v>0</v>
      </c>
      <c r="Q283" s="844">
        <f t="shared" si="177"/>
        <v>0</v>
      </c>
      <c r="R283" s="844">
        <f t="shared" si="177"/>
        <v>0</v>
      </c>
      <c r="S283" s="844">
        <f t="shared" si="177"/>
        <v>0</v>
      </c>
      <c r="T283" s="844">
        <f t="shared" si="177"/>
        <v>0</v>
      </c>
      <c r="U283" s="844">
        <f t="shared" si="177"/>
        <v>0</v>
      </c>
      <c r="V283" s="844">
        <f t="shared" si="177"/>
        <v>0</v>
      </c>
      <c r="W283" s="844">
        <f t="shared" si="177"/>
        <v>0</v>
      </c>
      <c r="X283" s="844">
        <f t="shared" si="177"/>
        <v>0</v>
      </c>
      <c r="Y283" s="844">
        <f t="shared" si="177"/>
        <v>0</v>
      </c>
      <c r="Z283" s="844">
        <f t="shared" si="177"/>
        <v>0</v>
      </c>
      <c r="AA283" s="844">
        <f t="shared" si="177"/>
        <v>0</v>
      </c>
      <c r="AB283" s="844">
        <f t="shared" si="177"/>
        <v>0</v>
      </c>
      <c r="AC283" s="844">
        <f t="shared" si="177"/>
        <v>0</v>
      </c>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row>
    <row r="284" spans="8:58" s="4" customFormat="1" ht="15.75" outlineLevel="1" x14ac:dyDescent="0.25">
      <c r="H284" s="1"/>
      <c r="I284" s="99"/>
      <c r="J284" s="31" t="s">
        <v>162</v>
      </c>
      <c r="K284" s="31"/>
      <c r="L284" s="289"/>
      <c r="M284" s="1"/>
      <c r="N284" s="844">
        <f t="shared" ref="N284:AC285" si="178">N205</f>
        <v>0</v>
      </c>
      <c r="O284" s="844">
        <f t="shared" si="178"/>
        <v>0</v>
      </c>
      <c r="P284" s="844">
        <f t="shared" si="178"/>
        <v>0</v>
      </c>
      <c r="Q284" s="844">
        <f t="shared" si="178"/>
        <v>0</v>
      </c>
      <c r="R284" s="844">
        <f t="shared" si="178"/>
        <v>0</v>
      </c>
      <c r="S284" s="844">
        <f t="shared" si="178"/>
        <v>0</v>
      </c>
      <c r="T284" s="844">
        <f t="shared" si="178"/>
        <v>0</v>
      </c>
      <c r="U284" s="844">
        <f t="shared" si="178"/>
        <v>0</v>
      </c>
      <c r="V284" s="844">
        <f t="shared" si="178"/>
        <v>0</v>
      </c>
      <c r="W284" s="844">
        <f t="shared" si="178"/>
        <v>0</v>
      </c>
      <c r="X284" s="844">
        <f t="shared" si="178"/>
        <v>0</v>
      </c>
      <c r="Y284" s="844">
        <f t="shared" si="178"/>
        <v>0</v>
      </c>
      <c r="Z284" s="844">
        <f t="shared" si="178"/>
        <v>0</v>
      </c>
      <c r="AA284" s="844">
        <f t="shared" si="178"/>
        <v>0</v>
      </c>
      <c r="AB284" s="844">
        <f t="shared" si="178"/>
        <v>0</v>
      </c>
      <c r="AC284" s="844">
        <f t="shared" si="178"/>
        <v>0</v>
      </c>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row>
    <row r="285" spans="8:58" s="4" customFormat="1" ht="15.75" outlineLevel="1" x14ac:dyDescent="0.25">
      <c r="H285" s="1"/>
      <c r="I285" s="99"/>
      <c r="J285" s="31" t="s">
        <v>221</v>
      </c>
      <c r="K285" s="31"/>
      <c r="L285" s="289"/>
      <c r="M285" s="1"/>
      <c r="N285" s="844">
        <f t="shared" si="178"/>
        <v>0</v>
      </c>
      <c r="O285" s="844">
        <f t="shared" si="178"/>
        <v>0</v>
      </c>
      <c r="P285" s="844">
        <f t="shared" si="178"/>
        <v>0</v>
      </c>
      <c r="Q285" s="844">
        <f t="shared" si="178"/>
        <v>0</v>
      </c>
      <c r="R285" s="844">
        <f t="shared" si="178"/>
        <v>0</v>
      </c>
      <c r="S285" s="844">
        <f t="shared" si="178"/>
        <v>0</v>
      </c>
      <c r="T285" s="844">
        <f t="shared" si="178"/>
        <v>0</v>
      </c>
      <c r="U285" s="844">
        <f t="shared" si="178"/>
        <v>0</v>
      </c>
      <c r="V285" s="844">
        <f t="shared" si="178"/>
        <v>0</v>
      </c>
      <c r="W285" s="844">
        <f t="shared" si="178"/>
        <v>0</v>
      </c>
      <c r="X285" s="844">
        <f t="shared" si="178"/>
        <v>0</v>
      </c>
      <c r="Y285" s="844">
        <f t="shared" si="178"/>
        <v>0</v>
      </c>
      <c r="Z285" s="844">
        <f t="shared" si="178"/>
        <v>0</v>
      </c>
      <c r="AA285" s="844">
        <f t="shared" si="178"/>
        <v>0</v>
      </c>
      <c r="AB285" s="844">
        <f t="shared" si="178"/>
        <v>0</v>
      </c>
      <c r="AC285" s="844">
        <f t="shared" si="178"/>
        <v>0</v>
      </c>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row>
    <row r="286" spans="8:58" s="4" customFormat="1" ht="15.75" outlineLevel="1" x14ac:dyDescent="0.25">
      <c r="H286" s="1"/>
      <c r="I286" s="99"/>
      <c r="J286" s="31" t="s">
        <v>168</v>
      </c>
      <c r="K286" s="31"/>
      <c r="L286" s="289"/>
      <c r="M286" s="1"/>
      <c r="N286" s="844">
        <f t="shared" ref="N286:AC287" si="179">-N211</f>
        <v>0</v>
      </c>
      <c r="O286" s="844">
        <f t="shared" si="179"/>
        <v>0</v>
      </c>
      <c r="P286" s="844">
        <f t="shared" si="179"/>
        <v>0</v>
      </c>
      <c r="Q286" s="844">
        <f t="shared" si="179"/>
        <v>0</v>
      </c>
      <c r="R286" s="844">
        <f t="shared" si="179"/>
        <v>0</v>
      </c>
      <c r="S286" s="844">
        <f t="shared" si="179"/>
        <v>0</v>
      </c>
      <c r="T286" s="844">
        <f t="shared" si="179"/>
        <v>0</v>
      </c>
      <c r="U286" s="844">
        <f t="shared" si="179"/>
        <v>0</v>
      </c>
      <c r="V286" s="844">
        <f t="shared" si="179"/>
        <v>0</v>
      </c>
      <c r="W286" s="844">
        <f t="shared" si="179"/>
        <v>0</v>
      </c>
      <c r="X286" s="844">
        <f t="shared" si="179"/>
        <v>0</v>
      </c>
      <c r="Y286" s="844">
        <f t="shared" si="179"/>
        <v>0</v>
      </c>
      <c r="Z286" s="844">
        <f t="shared" si="179"/>
        <v>0</v>
      </c>
      <c r="AA286" s="844">
        <f t="shared" si="179"/>
        <v>0</v>
      </c>
      <c r="AB286" s="844">
        <f t="shared" si="179"/>
        <v>0</v>
      </c>
      <c r="AC286" s="844">
        <f t="shared" si="179"/>
        <v>0</v>
      </c>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row>
    <row r="287" spans="8:58" s="4" customFormat="1" ht="15.75" outlineLevel="1" x14ac:dyDescent="0.25">
      <c r="H287" s="1"/>
      <c r="I287" s="99"/>
      <c r="J287" s="31" t="s">
        <v>222</v>
      </c>
      <c r="K287" s="31"/>
      <c r="L287" s="289"/>
      <c r="M287" s="1"/>
      <c r="N287" s="844">
        <f t="shared" si="179"/>
        <v>0</v>
      </c>
      <c r="O287" s="844">
        <f t="shared" si="179"/>
        <v>0</v>
      </c>
      <c r="P287" s="844">
        <f t="shared" si="179"/>
        <v>0</v>
      </c>
      <c r="Q287" s="844">
        <f t="shared" si="179"/>
        <v>0</v>
      </c>
      <c r="R287" s="844">
        <f t="shared" si="179"/>
        <v>0</v>
      </c>
      <c r="S287" s="844">
        <f t="shared" si="179"/>
        <v>0</v>
      </c>
      <c r="T287" s="844">
        <f t="shared" si="179"/>
        <v>0</v>
      </c>
      <c r="U287" s="844">
        <f t="shared" si="179"/>
        <v>0</v>
      </c>
      <c r="V287" s="844">
        <f t="shared" si="179"/>
        <v>0</v>
      </c>
      <c r="W287" s="844">
        <f t="shared" si="179"/>
        <v>0</v>
      </c>
      <c r="X287" s="844">
        <f t="shared" si="179"/>
        <v>0</v>
      </c>
      <c r="Y287" s="844">
        <f t="shared" si="179"/>
        <v>0</v>
      </c>
      <c r="Z287" s="844">
        <f t="shared" si="179"/>
        <v>0</v>
      </c>
      <c r="AA287" s="844">
        <f t="shared" si="179"/>
        <v>0</v>
      </c>
      <c r="AB287" s="844">
        <f t="shared" si="179"/>
        <v>0</v>
      </c>
      <c r="AC287" s="844">
        <f t="shared" si="179"/>
        <v>0</v>
      </c>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row>
    <row r="288" spans="8:58" s="4" customFormat="1" ht="15.75" outlineLevel="1" x14ac:dyDescent="0.25">
      <c r="H288" s="1"/>
      <c r="I288" s="99"/>
      <c r="J288" s="102" t="s">
        <v>223</v>
      </c>
      <c r="K288" s="102"/>
      <c r="L288" s="365"/>
      <c r="M288" s="1"/>
      <c r="N288" s="860">
        <f t="shared" ref="N288:AC288" si="180">SUM(N279:N287)</f>
        <v>0</v>
      </c>
      <c r="O288" s="860">
        <f t="shared" si="180"/>
        <v>0</v>
      </c>
      <c r="P288" s="860">
        <f t="shared" si="180"/>
        <v>0</v>
      </c>
      <c r="Q288" s="860">
        <f t="shared" si="180"/>
        <v>0</v>
      </c>
      <c r="R288" s="860">
        <f t="shared" si="180"/>
        <v>0</v>
      </c>
      <c r="S288" s="860">
        <f t="shared" si="180"/>
        <v>0</v>
      </c>
      <c r="T288" s="860">
        <f t="shared" si="180"/>
        <v>0</v>
      </c>
      <c r="U288" s="860">
        <f t="shared" si="180"/>
        <v>0</v>
      </c>
      <c r="V288" s="860">
        <f t="shared" si="180"/>
        <v>0</v>
      </c>
      <c r="W288" s="860">
        <f t="shared" si="180"/>
        <v>0</v>
      </c>
      <c r="X288" s="860">
        <f t="shared" si="180"/>
        <v>0</v>
      </c>
      <c r="Y288" s="860">
        <f t="shared" si="180"/>
        <v>0</v>
      </c>
      <c r="Z288" s="860">
        <f t="shared" si="180"/>
        <v>0</v>
      </c>
      <c r="AA288" s="860">
        <f t="shared" si="180"/>
        <v>0</v>
      </c>
      <c r="AB288" s="860">
        <f t="shared" si="180"/>
        <v>0</v>
      </c>
      <c r="AC288" s="860">
        <f t="shared" si="180"/>
        <v>0</v>
      </c>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row>
    <row r="289" spans="8:58" s="4" customFormat="1" ht="15.75" outlineLevel="1" x14ac:dyDescent="0.25">
      <c r="H289" s="1"/>
      <c r="I289" s="99"/>
      <c r="J289" s="31" t="s">
        <v>224</v>
      </c>
      <c r="K289" s="31"/>
      <c r="L289" s="289"/>
      <c r="M289" s="1"/>
      <c r="N289" s="861">
        <f>N288</f>
        <v>0</v>
      </c>
      <c r="O289" s="844">
        <f t="shared" ref="O289:AC289" si="181">O288-N288</f>
        <v>0</v>
      </c>
      <c r="P289" s="844">
        <f t="shared" si="181"/>
        <v>0</v>
      </c>
      <c r="Q289" s="844">
        <f t="shared" si="181"/>
        <v>0</v>
      </c>
      <c r="R289" s="844">
        <f t="shared" si="181"/>
        <v>0</v>
      </c>
      <c r="S289" s="844">
        <f t="shared" si="181"/>
        <v>0</v>
      </c>
      <c r="T289" s="844">
        <f t="shared" si="181"/>
        <v>0</v>
      </c>
      <c r="U289" s="844">
        <f t="shared" si="181"/>
        <v>0</v>
      </c>
      <c r="V289" s="844">
        <f t="shared" si="181"/>
        <v>0</v>
      </c>
      <c r="W289" s="844">
        <f t="shared" si="181"/>
        <v>0</v>
      </c>
      <c r="X289" s="844">
        <f t="shared" si="181"/>
        <v>0</v>
      </c>
      <c r="Y289" s="844">
        <f t="shared" si="181"/>
        <v>0</v>
      </c>
      <c r="Z289" s="844">
        <f t="shared" si="181"/>
        <v>0</v>
      </c>
      <c r="AA289" s="844">
        <f t="shared" si="181"/>
        <v>0</v>
      </c>
      <c r="AB289" s="844">
        <f t="shared" si="181"/>
        <v>0</v>
      </c>
      <c r="AC289" s="844">
        <f t="shared" si="181"/>
        <v>0</v>
      </c>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row>
    <row r="290" spans="8:58" s="4" customFormat="1" ht="15.75" outlineLevel="1" x14ac:dyDescent="0.25">
      <c r="H290" s="1"/>
      <c r="I290" s="99">
        <v>2</v>
      </c>
      <c r="J290" s="67" t="s">
        <v>225</v>
      </c>
      <c r="K290" s="31"/>
      <c r="L290" s="169"/>
      <c r="M290" s="1"/>
      <c r="N290" s="838"/>
      <c r="O290" s="838"/>
      <c r="P290" s="838"/>
      <c r="Q290" s="838"/>
      <c r="R290" s="838"/>
      <c r="S290" s="838"/>
      <c r="T290" s="838"/>
      <c r="U290" s="838"/>
      <c r="V290" s="838"/>
      <c r="W290" s="838"/>
      <c r="X290" s="838"/>
      <c r="Y290" s="838"/>
      <c r="Z290" s="838"/>
      <c r="AA290" s="838"/>
      <c r="AB290" s="838"/>
      <c r="AC290" s="838"/>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row>
    <row r="291" spans="8:58" s="4" customFormat="1" ht="15.75" outlineLevel="1" x14ac:dyDescent="0.25">
      <c r="H291" s="1"/>
      <c r="I291" s="99"/>
      <c r="J291" s="31" t="s">
        <v>226</v>
      </c>
      <c r="K291" s="31"/>
      <c r="L291" s="289"/>
      <c r="M291" s="1"/>
      <c r="N291" s="864"/>
      <c r="O291" s="844">
        <f t="shared" ref="O291:AC291" si="182">N293</f>
        <v>0</v>
      </c>
      <c r="P291" s="844">
        <f t="shared" si="182"/>
        <v>0</v>
      </c>
      <c r="Q291" s="844">
        <f t="shared" si="182"/>
        <v>0</v>
      </c>
      <c r="R291" s="844">
        <f t="shared" si="182"/>
        <v>0</v>
      </c>
      <c r="S291" s="844">
        <f t="shared" si="182"/>
        <v>0</v>
      </c>
      <c r="T291" s="844">
        <f t="shared" si="182"/>
        <v>0</v>
      </c>
      <c r="U291" s="844">
        <f t="shared" si="182"/>
        <v>0</v>
      </c>
      <c r="V291" s="844">
        <f t="shared" si="182"/>
        <v>0</v>
      </c>
      <c r="W291" s="844">
        <f t="shared" si="182"/>
        <v>0</v>
      </c>
      <c r="X291" s="844">
        <f t="shared" si="182"/>
        <v>0</v>
      </c>
      <c r="Y291" s="844">
        <f t="shared" si="182"/>
        <v>0</v>
      </c>
      <c r="Z291" s="844">
        <f t="shared" si="182"/>
        <v>0</v>
      </c>
      <c r="AA291" s="844">
        <f t="shared" si="182"/>
        <v>0</v>
      </c>
      <c r="AB291" s="844">
        <f t="shared" si="182"/>
        <v>0</v>
      </c>
      <c r="AC291" s="844">
        <f t="shared" si="182"/>
        <v>0</v>
      </c>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row>
    <row r="292" spans="8:58" s="4" customFormat="1" ht="15.75" outlineLevel="1" x14ac:dyDescent="0.25">
      <c r="H292" s="1"/>
      <c r="I292" s="99"/>
      <c r="J292" s="31" t="s">
        <v>227</v>
      </c>
      <c r="K292" s="31"/>
      <c r="L292" s="289"/>
      <c r="M292" s="1"/>
      <c r="N292" s="844">
        <f t="shared" ref="N292:AC292" si="183">+N70+N75</f>
        <v>0</v>
      </c>
      <c r="O292" s="844">
        <f t="shared" si="183"/>
        <v>0</v>
      </c>
      <c r="P292" s="844">
        <f t="shared" si="183"/>
        <v>0</v>
      </c>
      <c r="Q292" s="844">
        <f t="shared" si="183"/>
        <v>0</v>
      </c>
      <c r="R292" s="844">
        <f t="shared" si="183"/>
        <v>0</v>
      </c>
      <c r="S292" s="844">
        <f t="shared" si="183"/>
        <v>0</v>
      </c>
      <c r="T292" s="844">
        <f t="shared" si="183"/>
        <v>0</v>
      </c>
      <c r="U292" s="844">
        <f t="shared" si="183"/>
        <v>0</v>
      </c>
      <c r="V292" s="844">
        <f t="shared" si="183"/>
        <v>0</v>
      </c>
      <c r="W292" s="844">
        <f t="shared" si="183"/>
        <v>0</v>
      </c>
      <c r="X292" s="844">
        <f t="shared" si="183"/>
        <v>0</v>
      </c>
      <c r="Y292" s="844">
        <f t="shared" si="183"/>
        <v>0</v>
      </c>
      <c r="Z292" s="844">
        <f t="shared" si="183"/>
        <v>0</v>
      </c>
      <c r="AA292" s="844">
        <f t="shared" si="183"/>
        <v>0</v>
      </c>
      <c r="AB292" s="844">
        <f t="shared" si="183"/>
        <v>0</v>
      </c>
      <c r="AC292" s="844">
        <f t="shared" si="183"/>
        <v>0</v>
      </c>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row>
    <row r="293" spans="8:58" s="4" customFormat="1" ht="15.75" outlineLevel="1" x14ac:dyDescent="0.25">
      <c r="H293" s="1"/>
      <c r="I293" s="99"/>
      <c r="J293" s="102" t="s">
        <v>228</v>
      </c>
      <c r="K293" s="102"/>
      <c r="L293" s="365"/>
      <c r="M293" s="1"/>
      <c r="N293" s="860">
        <f t="shared" ref="N293:AC293" si="184">SUM(N291:N292)</f>
        <v>0</v>
      </c>
      <c r="O293" s="860">
        <f t="shared" si="184"/>
        <v>0</v>
      </c>
      <c r="P293" s="860">
        <f t="shared" si="184"/>
        <v>0</v>
      </c>
      <c r="Q293" s="860">
        <f t="shared" si="184"/>
        <v>0</v>
      </c>
      <c r="R293" s="860">
        <f t="shared" si="184"/>
        <v>0</v>
      </c>
      <c r="S293" s="860">
        <f t="shared" si="184"/>
        <v>0</v>
      </c>
      <c r="T293" s="860">
        <f t="shared" si="184"/>
        <v>0</v>
      </c>
      <c r="U293" s="860">
        <f t="shared" si="184"/>
        <v>0</v>
      </c>
      <c r="V293" s="860">
        <f t="shared" si="184"/>
        <v>0</v>
      </c>
      <c r="W293" s="860">
        <f t="shared" si="184"/>
        <v>0</v>
      </c>
      <c r="X293" s="860">
        <f t="shared" si="184"/>
        <v>0</v>
      </c>
      <c r="Y293" s="860">
        <f t="shared" si="184"/>
        <v>0</v>
      </c>
      <c r="Z293" s="860">
        <f t="shared" si="184"/>
        <v>0</v>
      </c>
      <c r="AA293" s="860">
        <f t="shared" si="184"/>
        <v>0</v>
      </c>
      <c r="AB293" s="860">
        <f t="shared" si="184"/>
        <v>0</v>
      </c>
      <c r="AC293" s="860">
        <f t="shared" si="184"/>
        <v>0</v>
      </c>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row>
    <row r="294" spans="8:58" s="4" customFormat="1" ht="15.75" outlineLevel="1" x14ac:dyDescent="0.25">
      <c r="H294" s="1"/>
      <c r="I294" s="99"/>
      <c r="J294" s="31" t="s">
        <v>229</v>
      </c>
      <c r="K294" s="31"/>
      <c r="L294" s="287"/>
      <c r="M294" s="1"/>
      <c r="N294" s="1062">
        <f>IF(N94=1,-N292,IF(N118=0,0,-SLN(N292,0,MAX(N94,1))*(13-$L$12)/12))</f>
        <v>0</v>
      </c>
      <c r="O294" s="1061">
        <f>IF(AND(SUM($N118:N118)=0,O118=0),0,IF(AND(N295&gt;0,N295&lt;=ABS(N294)),-N295,IF(N295&lt;=0,-SLN(O292,0,MAX(O94,1))*(13-$L$12)/12,-SLN(O291,0,MAX(O94,1))-SLN(O292,0,MAX(O94,1)))))</f>
        <v>0</v>
      </c>
      <c r="P294" s="1061">
        <f>IF(AND(SUM($N118:O118)=0,P118=0),0,IF(AND(O295&gt;0,O295&lt;=ABS(O294)),-O295,IF(O295&lt;=0,-SLN(P292,0,MAX(P94,1))*(13-$L$12)/12,-SLN(P291,0,MAX(P94,1))-SLN(P292,0,MAX(P94,1)))))</f>
        <v>0</v>
      </c>
      <c r="Q294" s="844">
        <f>IF(AND(SUM($N118:P118)=0,Q118=0),0,IF(AND(P295&gt;0,P295&lt;=ABS(P294)),-P295,IF(P295&lt;=0,-SLN(Q292,0,MAX(Q94,1))*(13-$L$12)/12,-SLN(Q291,0,MAX(Q94,1))-SLN(Q292,0,MAX(Q94,1)))))</f>
        <v>0</v>
      </c>
      <c r="R294" s="844">
        <f>IF(AND(SUM($N118:Q118)=0,R118=0),0,IF(AND(Q295&gt;0,Q295&lt;=ABS(Q294)),-Q295,IF(Q295&lt;=0,-SLN(R292,0,MAX(R94,1))*(13-$L$12)/12,-SLN(R291,0,MAX(R94,1))-SLN(R292,0,MAX(R94,1)))))</f>
        <v>0</v>
      </c>
      <c r="S294" s="844">
        <f>IF(AND(SUM($N118:R118)=0,S118=0),0,IF(AND(R295&gt;0,R295&lt;=ABS(R294)),-R295,IF(R295&lt;=0,-SLN(S292,0,MAX(S94,1))*(13-$L$12)/12,-SLN(S291,0,MAX(S94,1))-SLN(S292,0,MAX(S94,1)))))</f>
        <v>0</v>
      </c>
      <c r="T294" s="844">
        <f>IF(AND(SUM($N118:S118)=0,T118=0),0,IF(AND(S295&gt;0,S295&lt;=ABS(S294)),-S295,IF(S295&lt;=0,-SLN(T292,0,MAX(T94,1))*(13-$L$12)/12,-SLN(T291,0,MAX(T94,1))-SLN(T292,0,MAX(T94,1)))))</f>
        <v>0</v>
      </c>
      <c r="U294" s="844">
        <f>IF(AND(SUM($N118:T118)=0,U118=0),0,IF(AND(T295&gt;0,T295&lt;=ABS(T294)),-T295,IF(T295&lt;=0,-SLN(U292,0,MAX(U94,1))*(13-$L$12)/12,-SLN(U291,0,MAX(U94,1))-SLN(U292,0,MAX(U94,1)))))</f>
        <v>0</v>
      </c>
      <c r="V294" s="844">
        <f>IF(AND(SUM($N118:U118)=0,V118=0),0,IF(AND(U295&gt;0,U295&lt;=ABS(U294)),-U295,IF(U295&lt;=0,-SLN(V292,0,MAX(V94,1))*(13-$L$12)/12,-SLN(V291,0,MAX(V94,1))-SLN(V292,0,MAX(V94,1)))))</f>
        <v>0</v>
      </c>
      <c r="W294" s="844">
        <f>IF(AND(SUM($N118:V118)=0,W118=0),0,IF(AND(V295&gt;0,V295&lt;=ABS(V294)),-V295,IF(V295&lt;=0,-SLN(W292,0,MAX(W94,1))*(13-$L$12)/12,-SLN(W291,0,MAX(W94,1))-SLN(W292,0,MAX(W94,1)))))</f>
        <v>0</v>
      </c>
      <c r="X294" s="844">
        <f>IF(AND(SUM($N118:W118)=0,X118=0),0,IF(AND(W295&gt;0,W295&lt;=ABS(W294)),-W295,IF(W295&lt;=0,-SLN(X292,0,MAX(X94,1))*(13-$L$12)/12,-SLN(X291,0,MAX(X94,1))-SLN(X292,0,MAX(X94,1)))))</f>
        <v>0</v>
      </c>
      <c r="Y294" s="844">
        <f>IF(AND(SUM($N118:X118)=0,Y118=0),0,IF(AND(X295&gt;0,X295&lt;=ABS(X294)),-X295,IF(X295&lt;=0,-SLN(Y292,0,MAX(Y94,1))*(13-$L$12)/12,-SLN(Y291,0,MAX(Y94,1))-SLN(Y292,0,MAX(Y94,1)))))</f>
        <v>0</v>
      </c>
      <c r="Z294" s="844">
        <f>IF(AND(SUM($N118:Y118)=0,Z118=0),0,IF(AND(Y295&gt;0,Y295&lt;=ABS(Y294)),-Y295,IF(Y295&lt;=0,-SLN(Z292,0,MAX(Z94,1))*(13-$L$12)/12,-SLN(Z291,0,MAX(Z94,1))-SLN(Z292,0,MAX(Z94,1)))))</f>
        <v>0</v>
      </c>
      <c r="AA294" s="844">
        <f>IF(AND(SUM($N118:Z118)=0,AA118=0),0,IF(AND(Z295&gt;0,Z295&lt;=ABS(Z294)),-Z295,IF(Z295&lt;=0,-SLN(AA292,0,MAX(AA94,1))*(13-$L$12)/12,-SLN(AA291,0,MAX(AA94,1))-SLN(AA292,0,MAX(AA94,1)))))</f>
        <v>0</v>
      </c>
      <c r="AB294" s="844">
        <f>IF(AND(SUM($N118:AA118)=0,AB118=0),0,IF(AND(AA295&gt;0,AA295&lt;=ABS(AA294)),-AA295,IF(AA295&lt;=0,-SLN(AB292,0,MAX(AB94,1))*(13-$L$12)/12,-SLN(AB291,0,MAX(AB94,1))-SLN(AB292,0,MAX(AB94,1)))))</f>
        <v>0</v>
      </c>
      <c r="AC294" s="844">
        <f>IF(AND(SUM($N118:AB118)=0,AC118=0),0,IF(AND(AB295&gt;0,AB295&lt;=ABS(AB294)),-AB295,IF(AB295&lt;=0,-SLN(AC292,0,MAX(AC94,1))*(13-$L$12)/12,-SLN(AC291,0,MAX(AC94,1))-SLN(AC292,0,MAX(AC94,1)))))</f>
        <v>0</v>
      </c>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row>
    <row r="295" spans="8:58" s="4" customFormat="1" ht="15.75" outlineLevel="1" x14ac:dyDescent="0.25">
      <c r="H295" s="1"/>
      <c r="I295" s="99"/>
      <c r="J295" s="102" t="s">
        <v>230</v>
      </c>
      <c r="K295" s="102"/>
      <c r="L295" s="365"/>
      <c r="M295" s="1"/>
      <c r="N295" s="860">
        <f>N293+SUM($N294:N294)</f>
        <v>0</v>
      </c>
      <c r="O295" s="860">
        <f>O293+SUM($N294:O294)</f>
        <v>0</v>
      </c>
      <c r="P295" s="860">
        <f>P293+SUM($N294:P294)</f>
        <v>0</v>
      </c>
      <c r="Q295" s="860">
        <f>Q293+SUM($N294:Q294)</f>
        <v>0</v>
      </c>
      <c r="R295" s="860">
        <f>R293+SUM($N294:R294)</f>
        <v>0</v>
      </c>
      <c r="S295" s="860">
        <f>S293+SUM($N294:S294)</f>
        <v>0</v>
      </c>
      <c r="T295" s="860">
        <f>T293+SUM($N294:T294)</f>
        <v>0</v>
      </c>
      <c r="U295" s="860">
        <f>U293+SUM($N294:U294)</f>
        <v>0</v>
      </c>
      <c r="V295" s="860">
        <f>V293+SUM($N294:V294)</f>
        <v>0</v>
      </c>
      <c r="W295" s="860">
        <f>W293+SUM($N294:W294)</f>
        <v>0</v>
      </c>
      <c r="X295" s="860">
        <f>X293+SUM($N294:X294)</f>
        <v>0</v>
      </c>
      <c r="Y295" s="860">
        <f>Y293+SUM($N294:Y294)</f>
        <v>0</v>
      </c>
      <c r="Z295" s="860">
        <f>Z293+SUM($N294:Z294)</f>
        <v>0</v>
      </c>
      <c r="AA295" s="860">
        <f>AA293+SUM($N294:AA294)</f>
        <v>0</v>
      </c>
      <c r="AB295" s="860">
        <f>AB293+SUM($N294:AB294)</f>
        <v>0</v>
      </c>
      <c r="AC295" s="860">
        <f>AC293+SUM($N294:AC294)</f>
        <v>0</v>
      </c>
      <c r="AD295" s="1"/>
      <c r="AE295" s="366"/>
      <c r="AF295" s="366"/>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row>
    <row r="296" spans="8:58" s="4" customFormat="1" ht="15.75" outlineLevel="1" x14ac:dyDescent="0.25">
      <c r="H296" s="1"/>
      <c r="I296" s="99">
        <v>3</v>
      </c>
      <c r="J296" s="67" t="s">
        <v>461</v>
      </c>
      <c r="K296" s="110"/>
      <c r="L296" s="366"/>
      <c r="M296" s="366"/>
      <c r="N296" s="863"/>
      <c r="O296" s="863"/>
      <c r="P296" s="863"/>
      <c r="Q296" s="863"/>
      <c r="R296" s="863"/>
      <c r="S296" s="863"/>
      <c r="T296" s="863"/>
      <c r="U296" s="863"/>
      <c r="V296" s="863"/>
      <c r="W296" s="863"/>
      <c r="X296" s="863"/>
      <c r="Y296" s="863"/>
      <c r="Z296" s="863"/>
      <c r="AA296" s="863"/>
      <c r="AB296" s="863"/>
      <c r="AC296" s="863"/>
      <c r="AD296" s="366"/>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row>
    <row r="297" spans="8:58" s="4" customFormat="1" ht="15.75" outlineLevel="1" x14ac:dyDescent="0.25">
      <c r="H297" s="1"/>
      <c r="I297" s="99"/>
      <c r="J297" s="110" t="s">
        <v>462</v>
      </c>
      <c r="K297" s="367" t="str">
        <f>IF(ABS(K298)&lt;1,"OK,Fully Amortized","Error, Not full amortized")</f>
        <v>OK,Fully Amortized</v>
      </c>
      <c r="L297" s="323">
        <f>MAX(N297:AC297)</f>
        <v>0</v>
      </c>
      <c r="M297" s="1"/>
      <c r="N297" s="848">
        <f>+SUM($N74:N74)</f>
        <v>0</v>
      </c>
      <c r="O297" s="848">
        <f>+SUM($N74:O74)</f>
        <v>0</v>
      </c>
      <c r="P297" s="848">
        <f>+SUM($N74:P74)</f>
        <v>0</v>
      </c>
      <c r="Q297" s="848">
        <f>+SUM($N74:Q74)</f>
        <v>0</v>
      </c>
      <c r="R297" s="848">
        <f>+SUM($N74:R74)</f>
        <v>0</v>
      </c>
      <c r="S297" s="848">
        <f>+SUM($N74:S74)</f>
        <v>0</v>
      </c>
      <c r="T297" s="848">
        <f>+SUM($N74:T74)</f>
        <v>0</v>
      </c>
      <c r="U297" s="848">
        <f>+SUM($N74:U74)</f>
        <v>0</v>
      </c>
      <c r="V297" s="848">
        <f>+SUM($N74:V74)</f>
        <v>0</v>
      </c>
      <c r="W297" s="848">
        <f>+SUM($N74:W74)</f>
        <v>0</v>
      </c>
      <c r="X297" s="848">
        <f>+SUM($N74:X74)</f>
        <v>0</v>
      </c>
      <c r="Y297" s="848">
        <f>+SUM($N74:Y74)</f>
        <v>0</v>
      </c>
      <c r="Z297" s="848">
        <f>+SUM($N74:Z74)</f>
        <v>0</v>
      </c>
      <c r="AA297" s="848">
        <f>+SUM($N74:AA74)</f>
        <v>0</v>
      </c>
      <c r="AB297" s="848">
        <f>+SUM($N74:AB74)</f>
        <v>0</v>
      </c>
      <c r="AC297" s="848">
        <f>+SUM($N74:AC74)</f>
        <v>0</v>
      </c>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row>
    <row r="298" spans="8:58" s="4" customFormat="1" ht="15.75" outlineLevel="1" x14ac:dyDescent="0.25">
      <c r="H298" s="1"/>
      <c r="I298" s="99"/>
      <c r="J298" s="110" t="s">
        <v>231</v>
      </c>
      <c r="K298" s="323">
        <f>SUM(L297:L298)</f>
        <v>0</v>
      </c>
      <c r="L298" s="323">
        <f>SUM(N298:AC298)</f>
        <v>0</v>
      </c>
      <c r="M298" s="1"/>
      <c r="N298" s="848">
        <f t="shared" ref="N298:AC298" si="185">N131+N151</f>
        <v>0</v>
      </c>
      <c r="O298" s="848">
        <f t="shared" si="185"/>
        <v>0</v>
      </c>
      <c r="P298" s="848">
        <f t="shared" si="185"/>
        <v>0</v>
      </c>
      <c r="Q298" s="848">
        <f t="shared" si="185"/>
        <v>0</v>
      </c>
      <c r="R298" s="848">
        <f t="shared" si="185"/>
        <v>0</v>
      </c>
      <c r="S298" s="848">
        <f t="shared" si="185"/>
        <v>0</v>
      </c>
      <c r="T298" s="848">
        <f t="shared" si="185"/>
        <v>0</v>
      </c>
      <c r="U298" s="848">
        <f t="shared" si="185"/>
        <v>0</v>
      </c>
      <c r="V298" s="848">
        <f t="shared" si="185"/>
        <v>0</v>
      </c>
      <c r="W298" s="848">
        <f t="shared" si="185"/>
        <v>0</v>
      </c>
      <c r="X298" s="848">
        <f t="shared" si="185"/>
        <v>0</v>
      </c>
      <c r="Y298" s="848">
        <f t="shared" si="185"/>
        <v>0</v>
      </c>
      <c r="Z298" s="848">
        <f t="shared" si="185"/>
        <v>0</v>
      </c>
      <c r="AA298" s="848">
        <f t="shared" si="185"/>
        <v>0</v>
      </c>
      <c r="AB298" s="848">
        <f t="shared" si="185"/>
        <v>0</v>
      </c>
      <c r="AC298" s="848">
        <f t="shared" si="185"/>
        <v>0</v>
      </c>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row>
    <row r="299" spans="8:58" s="4" customFormat="1" ht="15.75" outlineLevel="1" x14ac:dyDescent="0.25">
      <c r="H299" s="1"/>
      <c r="I299" s="99"/>
      <c r="J299" s="210" t="s">
        <v>232</v>
      </c>
      <c r="K299" s="210"/>
      <c r="L299" s="292"/>
      <c r="M299" s="1"/>
      <c r="N299" s="860">
        <f>N297+SUM($N298:N298)</f>
        <v>0</v>
      </c>
      <c r="O299" s="860">
        <f>O297+SUM($N298:O298)</f>
        <v>0</v>
      </c>
      <c r="P299" s="860">
        <f>P297+SUM($N298:P298)</f>
        <v>0</v>
      </c>
      <c r="Q299" s="860">
        <f>Q297+SUM($N298:Q298)</f>
        <v>0</v>
      </c>
      <c r="R299" s="860">
        <f>R297+SUM($N298:R298)</f>
        <v>0</v>
      </c>
      <c r="S299" s="860">
        <f>S297+SUM($N298:S298)</f>
        <v>0</v>
      </c>
      <c r="T299" s="860">
        <f>T297+SUM($N298:T298)</f>
        <v>0</v>
      </c>
      <c r="U299" s="860">
        <f>U297+SUM($N298:U298)</f>
        <v>0</v>
      </c>
      <c r="V299" s="860">
        <f>V297+SUM($N298:V298)</f>
        <v>0</v>
      </c>
      <c r="W299" s="860">
        <f>W297+SUM($N298:W298)</f>
        <v>0</v>
      </c>
      <c r="X299" s="860">
        <f>X297+SUM($N298:X298)</f>
        <v>0</v>
      </c>
      <c r="Y299" s="860">
        <f>Y297+SUM($N298:Y298)</f>
        <v>0</v>
      </c>
      <c r="Z299" s="860">
        <f>Z297+SUM($N298:Z298)</f>
        <v>0</v>
      </c>
      <c r="AA299" s="860">
        <f>AA297+SUM($N298:AA298)</f>
        <v>0</v>
      </c>
      <c r="AB299" s="860">
        <f>AB297+SUM($N298:AB298)</f>
        <v>0</v>
      </c>
      <c r="AC299" s="860">
        <f>AC297+SUM($N298:AC298)</f>
        <v>0</v>
      </c>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row>
    <row r="300" spans="8:58" ht="15.75" outlineLevel="1" x14ac:dyDescent="0.25">
      <c r="I300" s="99">
        <v>4</v>
      </c>
      <c r="J300" s="67" t="s">
        <v>233</v>
      </c>
      <c r="K300" s="31"/>
      <c r="L300" s="289"/>
      <c r="N300" s="838"/>
      <c r="O300" s="838"/>
      <c r="P300" s="838"/>
      <c r="Q300" s="838"/>
      <c r="R300" s="838"/>
      <c r="S300" s="838"/>
      <c r="T300" s="838"/>
      <c r="U300" s="838"/>
      <c r="V300" s="838"/>
      <c r="W300" s="838"/>
      <c r="X300" s="838"/>
      <c r="Y300" s="838"/>
      <c r="Z300" s="838"/>
      <c r="AA300" s="838"/>
      <c r="AB300" s="838"/>
      <c r="AC300" s="838"/>
      <c r="AD300" s="1"/>
      <c r="AE300" s="1"/>
    </row>
    <row r="301" spans="8:58" ht="15.75" outlineLevel="1" x14ac:dyDescent="0.25">
      <c r="I301" s="99"/>
      <c r="J301" s="31" t="s">
        <v>234</v>
      </c>
      <c r="K301" s="31"/>
      <c r="L301" s="289"/>
      <c r="N301" s="864">
        <v>0</v>
      </c>
      <c r="O301" s="844">
        <f t="shared" ref="O301:AC301" si="186">N303</f>
        <v>0</v>
      </c>
      <c r="P301" s="844">
        <f t="shared" si="186"/>
        <v>0</v>
      </c>
      <c r="Q301" s="844">
        <f t="shared" si="186"/>
        <v>0</v>
      </c>
      <c r="R301" s="844">
        <f t="shared" si="186"/>
        <v>0</v>
      </c>
      <c r="S301" s="844">
        <f t="shared" si="186"/>
        <v>0</v>
      </c>
      <c r="T301" s="844">
        <f t="shared" si="186"/>
        <v>0</v>
      </c>
      <c r="U301" s="844">
        <f t="shared" si="186"/>
        <v>0</v>
      </c>
      <c r="V301" s="844">
        <f t="shared" si="186"/>
        <v>0</v>
      </c>
      <c r="W301" s="844">
        <f t="shared" si="186"/>
        <v>0</v>
      </c>
      <c r="X301" s="844">
        <f t="shared" si="186"/>
        <v>0</v>
      </c>
      <c r="Y301" s="844">
        <f t="shared" si="186"/>
        <v>0</v>
      </c>
      <c r="Z301" s="844">
        <f t="shared" si="186"/>
        <v>0</v>
      </c>
      <c r="AA301" s="844">
        <f t="shared" si="186"/>
        <v>0</v>
      </c>
      <c r="AB301" s="844">
        <f t="shared" si="186"/>
        <v>0</v>
      </c>
      <c r="AC301" s="844">
        <f t="shared" si="186"/>
        <v>0</v>
      </c>
      <c r="AD301" s="1"/>
      <c r="AE301" s="1"/>
    </row>
    <row r="302" spans="8:58" ht="15.75" outlineLevel="1" x14ac:dyDescent="0.25">
      <c r="I302" s="99"/>
      <c r="J302" s="31" t="s">
        <v>235</v>
      </c>
      <c r="K302" s="31"/>
      <c r="L302" s="289"/>
      <c r="N302" s="844">
        <f t="shared" ref="N302:AC302" si="187">+N101</f>
        <v>0</v>
      </c>
      <c r="O302" s="844">
        <f t="shared" si="187"/>
        <v>0</v>
      </c>
      <c r="P302" s="844">
        <f t="shared" si="187"/>
        <v>0</v>
      </c>
      <c r="Q302" s="844">
        <f t="shared" si="187"/>
        <v>0</v>
      </c>
      <c r="R302" s="844">
        <f t="shared" si="187"/>
        <v>0</v>
      </c>
      <c r="S302" s="844">
        <f t="shared" si="187"/>
        <v>0</v>
      </c>
      <c r="T302" s="844">
        <f t="shared" si="187"/>
        <v>0</v>
      </c>
      <c r="U302" s="844">
        <f t="shared" si="187"/>
        <v>0</v>
      </c>
      <c r="V302" s="844">
        <f t="shared" si="187"/>
        <v>0</v>
      </c>
      <c r="W302" s="844">
        <f t="shared" si="187"/>
        <v>0</v>
      </c>
      <c r="X302" s="844">
        <f t="shared" si="187"/>
        <v>0</v>
      </c>
      <c r="Y302" s="844">
        <f t="shared" si="187"/>
        <v>0</v>
      </c>
      <c r="Z302" s="844">
        <f t="shared" si="187"/>
        <v>0</v>
      </c>
      <c r="AA302" s="844">
        <f t="shared" si="187"/>
        <v>0</v>
      </c>
      <c r="AB302" s="844">
        <f t="shared" si="187"/>
        <v>0</v>
      </c>
      <c r="AC302" s="844">
        <f t="shared" si="187"/>
        <v>0</v>
      </c>
      <c r="AD302" s="1"/>
      <c r="AE302" s="1"/>
    </row>
    <row r="303" spans="8:58" ht="15.75" outlineLevel="1" x14ac:dyDescent="0.25">
      <c r="I303" s="99"/>
      <c r="J303" s="102" t="s">
        <v>236</v>
      </c>
      <c r="K303" s="102"/>
      <c r="L303" s="365"/>
      <c r="N303" s="860">
        <f t="shared" ref="N303:V303" si="188">SUM(N301:N302)</f>
        <v>0</v>
      </c>
      <c r="O303" s="860">
        <f t="shared" si="188"/>
        <v>0</v>
      </c>
      <c r="P303" s="860">
        <f t="shared" si="188"/>
        <v>0</v>
      </c>
      <c r="Q303" s="860">
        <f t="shared" si="188"/>
        <v>0</v>
      </c>
      <c r="R303" s="860">
        <f t="shared" si="188"/>
        <v>0</v>
      </c>
      <c r="S303" s="860">
        <f t="shared" si="188"/>
        <v>0</v>
      </c>
      <c r="T303" s="860">
        <f t="shared" si="188"/>
        <v>0</v>
      </c>
      <c r="U303" s="860">
        <f t="shared" si="188"/>
        <v>0</v>
      </c>
      <c r="V303" s="860">
        <f t="shared" si="188"/>
        <v>0</v>
      </c>
      <c r="W303" s="860">
        <f t="shared" ref="W303:AC303" si="189">SUM(W301:W302)</f>
        <v>0</v>
      </c>
      <c r="X303" s="860">
        <f t="shared" si="189"/>
        <v>0</v>
      </c>
      <c r="Y303" s="860">
        <f t="shared" si="189"/>
        <v>0</v>
      </c>
      <c r="Z303" s="860">
        <f t="shared" si="189"/>
        <v>0</v>
      </c>
      <c r="AA303" s="860">
        <f t="shared" si="189"/>
        <v>0</v>
      </c>
      <c r="AB303" s="860">
        <f t="shared" si="189"/>
        <v>0</v>
      </c>
      <c r="AC303" s="860">
        <f t="shared" si="189"/>
        <v>0</v>
      </c>
      <c r="AD303" s="1"/>
      <c r="AE303" s="1"/>
    </row>
    <row r="304" spans="8:58" ht="15.75" outlineLevel="1" x14ac:dyDescent="0.25">
      <c r="I304" s="99"/>
      <c r="J304" s="31" t="s">
        <v>237</v>
      </c>
      <c r="K304" s="31"/>
      <c r="L304" s="287"/>
      <c r="N304" s="844">
        <f t="shared" ref="N304:AC304" si="190">AVERAGE(N301,N303)*N100</f>
        <v>0</v>
      </c>
      <c r="O304" s="844">
        <f t="shared" si="190"/>
        <v>0</v>
      </c>
      <c r="P304" s="844">
        <f t="shared" si="190"/>
        <v>0</v>
      </c>
      <c r="Q304" s="844">
        <f t="shared" si="190"/>
        <v>0</v>
      </c>
      <c r="R304" s="844">
        <f t="shared" si="190"/>
        <v>0</v>
      </c>
      <c r="S304" s="844">
        <f t="shared" si="190"/>
        <v>0</v>
      </c>
      <c r="T304" s="844">
        <f t="shared" si="190"/>
        <v>0</v>
      </c>
      <c r="U304" s="844">
        <f t="shared" si="190"/>
        <v>0</v>
      </c>
      <c r="V304" s="844">
        <f t="shared" si="190"/>
        <v>0</v>
      </c>
      <c r="W304" s="844">
        <f t="shared" si="190"/>
        <v>0</v>
      </c>
      <c r="X304" s="844">
        <f t="shared" si="190"/>
        <v>0</v>
      </c>
      <c r="Y304" s="844">
        <f t="shared" si="190"/>
        <v>0</v>
      </c>
      <c r="Z304" s="844">
        <f t="shared" si="190"/>
        <v>0</v>
      </c>
      <c r="AA304" s="844">
        <f t="shared" si="190"/>
        <v>0</v>
      </c>
      <c r="AB304" s="844">
        <f t="shared" si="190"/>
        <v>0</v>
      </c>
      <c r="AC304" s="844">
        <f t="shared" si="190"/>
        <v>0</v>
      </c>
      <c r="AD304" s="1"/>
      <c r="AE304" s="1"/>
    </row>
    <row r="305" spans="8:58" ht="15.75" outlineLevel="1" x14ac:dyDescent="0.25">
      <c r="I305" s="99"/>
      <c r="J305" s="31" t="s">
        <v>238</v>
      </c>
      <c r="K305" s="31"/>
      <c r="L305" s="169"/>
      <c r="N305" s="368" t="str">
        <f t="shared" ref="N305:AC305" si="191">IF(ABS(SUM((N304+N168),(N303-N213),(N295-N208),(N294-N164),N288-SUM(N200:N206)+SUM(N211:N212)))&lt;=1,"OK","Wrong")</f>
        <v>OK</v>
      </c>
      <c r="O305" s="368" t="str">
        <f t="shared" si="191"/>
        <v>OK</v>
      </c>
      <c r="P305" s="368" t="str">
        <f t="shared" si="191"/>
        <v>OK</v>
      </c>
      <c r="Q305" s="368" t="str">
        <f t="shared" si="191"/>
        <v>OK</v>
      </c>
      <c r="R305" s="368" t="str">
        <f t="shared" si="191"/>
        <v>OK</v>
      </c>
      <c r="S305" s="368" t="str">
        <f t="shared" si="191"/>
        <v>OK</v>
      </c>
      <c r="T305" s="368" t="str">
        <f t="shared" si="191"/>
        <v>OK</v>
      </c>
      <c r="U305" s="368" t="str">
        <f t="shared" si="191"/>
        <v>OK</v>
      </c>
      <c r="V305" s="368" t="str">
        <f t="shared" si="191"/>
        <v>OK</v>
      </c>
      <c r="W305" s="368" t="str">
        <f t="shared" si="191"/>
        <v>OK</v>
      </c>
      <c r="X305" s="368" t="str">
        <f t="shared" si="191"/>
        <v>OK</v>
      </c>
      <c r="Y305" s="368" t="str">
        <f t="shared" si="191"/>
        <v>OK</v>
      </c>
      <c r="Z305" s="368" t="str">
        <f t="shared" si="191"/>
        <v>OK</v>
      </c>
      <c r="AA305" s="368" t="str">
        <f t="shared" si="191"/>
        <v>OK</v>
      </c>
      <c r="AB305" s="368" t="str">
        <f t="shared" si="191"/>
        <v>OK</v>
      </c>
      <c r="AC305" s="368" t="str">
        <f t="shared" si="191"/>
        <v>OK</v>
      </c>
      <c r="AD305" s="1"/>
    </row>
    <row r="306" spans="8:58" ht="15.75" outlineLevel="1" x14ac:dyDescent="0.25">
      <c r="I306" s="99"/>
      <c r="J306" s="31"/>
      <c r="K306" s="31"/>
      <c r="L306" s="169"/>
      <c r="N306" s="31"/>
      <c r="O306" s="31"/>
      <c r="P306" s="31"/>
      <c r="Q306" s="31"/>
      <c r="R306" s="31"/>
      <c r="S306" s="31"/>
      <c r="T306" s="31"/>
      <c r="U306" s="31"/>
      <c r="V306" s="31"/>
      <c r="W306" s="31"/>
      <c r="X306" s="31"/>
      <c r="Y306" s="31"/>
      <c r="Z306" s="31"/>
      <c r="AA306" s="31"/>
      <c r="AB306" s="31"/>
      <c r="AC306" s="31"/>
      <c r="AD306" s="1"/>
      <c r="AE306" s="1"/>
      <c r="AF306" s="4"/>
      <c r="AG306" s="4"/>
      <c r="AH306" s="4"/>
      <c r="AI306" s="4"/>
      <c r="AJ306" s="4"/>
      <c r="AK306" s="4"/>
      <c r="AL306" s="4"/>
      <c r="AM306" s="4"/>
      <c r="AN306" s="4"/>
      <c r="AO306" s="4"/>
      <c r="AP306" s="4"/>
      <c r="AQ306" s="4"/>
      <c r="AR306" s="4"/>
      <c r="AS306" s="4"/>
      <c r="AT306" s="4"/>
    </row>
    <row r="307" spans="8:58" s="4" customFormat="1" ht="18" x14ac:dyDescent="0.2">
      <c r="H307" s="1"/>
      <c r="I307" s="132" t="s">
        <v>239</v>
      </c>
      <c r="J307" s="33" t="s">
        <v>240</v>
      </c>
      <c r="K307" s="33"/>
      <c r="L307" s="364"/>
      <c r="M307" s="364"/>
      <c r="N307" s="133">
        <f>N$11</f>
        <v>2024</v>
      </c>
      <c r="O307" s="133">
        <f t="shared" ref="O307:AC307" si="192">O$11</f>
        <v>2025</v>
      </c>
      <c r="P307" s="133">
        <f t="shared" si="192"/>
        <v>2026</v>
      </c>
      <c r="Q307" s="133">
        <f t="shared" si="192"/>
        <v>2027</v>
      </c>
      <c r="R307" s="133">
        <f t="shared" si="192"/>
        <v>2028</v>
      </c>
      <c r="S307" s="133">
        <f t="shared" si="192"/>
        <v>2029</v>
      </c>
      <c r="T307" s="133">
        <f t="shared" si="192"/>
        <v>2030</v>
      </c>
      <c r="U307" s="133">
        <f t="shared" si="192"/>
        <v>2031</v>
      </c>
      <c r="V307" s="133">
        <f t="shared" si="192"/>
        <v>2032</v>
      </c>
      <c r="W307" s="133">
        <f t="shared" si="192"/>
        <v>2033</v>
      </c>
      <c r="X307" s="133">
        <f t="shared" si="192"/>
        <v>2034</v>
      </c>
      <c r="Y307" s="133">
        <f t="shared" si="192"/>
        <v>2035</v>
      </c>
      <c r="Z307" s="133">
        <f t="shared" si="192"/>
        <v>2036</v>
      </c>
      <c r="AA307" s="133">
        <f t="shared" si="192"/>
        <v>2037</v>
      </c>
      <c r="AB307" s="133">
        <f t="shared" si="192"/>
        <v>2038</v>
      </c>
      <c r="AC307" s="133">
        <f t="shared" si="192"/>
        <v>2039</v>
      </c>
      <c r="AD307" s="1"/>
      <c r="AF307" s="1"/>
      <c r="AG307" s="1"/>
      <c r="AH307" s="1"/>
      <c r="AI307" s="1"/>
      <c r="AJ307" s="1"/>
      <c r="AK307" s="1"/>
      <c r="AL307" s="1"/>
      <c r="AM307" s="1"/>
      <c r="AN307" s="1"/>
      <c r="AO307" s="1"/>
      <c r="AP307" s="1"/>
      <c r="AQ307" s="1"/>
      <c r="AR307" s="1"/>
      <c r="AS307" s="1"/>
      <c r="AT307" s="1"/>
      <c r="AV307" s="1"/>
      <c r="AW307" s="1"/>
      <c r="AX307" s="1"/>
      <c r="AY307" s="1"/>
      <c r="AZ307" s="1"/>
      <c r="BA307" s="1"/>
      <c r="BB307" s="1"/>
      <c r="BC307" s="1"/>
      <c r="BD307" s="1"/>
      <c r="BE307" s="1"/>
      <c r="BF307" s="1"/>
    </row>
    <row r="308" spans="8:58" ht="15.4" customHeight="1" x14ac:dyDescent="0.3">
      <c r="I308" s="99"/>
      <c r="J308" s="369" t="s">
        <v>241</v>
      </c>
      <c r="K308" s="370"/>
      <c r="L308" s="371"/>
      <c r="N308" s="371"/>
      <c r="O308" s="371"/>
      <c r="P308" s="371"/>
      <c r="Q308" s="371"/>
      <c r="R308" s="371"/>
      <c r="S308" s="371"/>
      <c r="T308" s="371"/>
      <c r="U308" s="371"/>
      <c r="V308" s="371"/>
      <c r="W308" s="371"/>
      <c r="X308" s="371"/>
      <c r="Y308" s="371"/>
      <c r="Z308" s="371"/>
      <c r="AA308" s="371"/>
      <c r="AB308" s="371"/>
      <c r="AC308" s="371"/>
      <c r="AD308" s="1"/>
    </row>
    <row r="309" spans="8:58" ht="15.4" customHeight="1" x14ac:dyDescent="0.3">
      <c r="I309" s="99"/>
      <c r="J309" s="372" t="s">
        <v>242</v>
      </c>
      <c r="K309" s="46"/>
      <c r="L309" s="373"/>
      <c r="N309" s="951">
        <f t="shared" ref="N309:AC309" si="193">SUM(N213)</f>
        <v>0</v>
      </c>
      <c r="O309" s="951">
        <f t="shared" si="193"/>
        <v>0</v>
      </c>
      <c r="P309" s="951">
        <f t="shared" si="193"/>
        <v>0</v>
      </c>
      <c r="Q309" s="951">
        <f t="shared" si="193"/>
        <v>0</v>
      </c>
      <c r="R309" s="951">
        <f t="shared" si="193"/>
        <v>0</v>
      </c>
      <c r="S309" s="951">
        <f t="shared" si="193"/>
        <v>0</v>
      </c>
      <c r="T309" s="951">
        <f t="shared" si="193"/>
        <v>0</v>
      </c>
      <c r="U309" s="951">
        <f t="shared" si="193"/>
        <v>0</v>
      </c>
      <c r="V309" s="951">
        <f t="shared" si="193"/>
        <v>0</v>
      </c>
      <c r="W309" s="951">
        <f t="shared" si="193"/>
        <v>0</v>
      </c>
      <c r="X309" s="951">
        <f t="shared" si="193"/>
        <v>0</v>
      </c>
      <c r="Y309" s="951">
        <f t="shared" si="193"/>
        <v>0</v>
      </c>
      <c r="Z309" s="951">
        <f t="shared" si="193"/>
        <v>0</v>
      </c>
      <c r="AA309" s="951">
        <f t="shared" si="193"/>
        <v>0</v>
      </c>
      <c r="AB309" s="951">
        <f t="shared" si="193"/>
        <v>0</v>
      </c>
      <c r="AC309" s="951">
        <f t="shared" si="193"/>
        <v>0</v>
      </c>
      <c r="AD309" s="1"/>
    </row>
    <row r="310" spans="8:58" ht="15.4" customHeight="1" x14ac:dyDescent="0.3">
      <c r="I310" s="99"/>
      <c r="J310" s="372" t="s">
        <v>243</v>
      </c>
      <c r="K310" s="46"/>
      <c r="L310" s="373"/>
      <c r="N310" s="951">
        <f t="shared" ref="N310:AC310" si="194">N209-N214</f>
        <v>0</v>
      </c>
      <c r="O310" s="951">
        <f t="shared" si="194"/>
        <v>0</v>
      </c>
      <c r="P310" s="951">
        <f t="shared" si="194"/>
        <v>0</v>
      </c>
      <c r="Q310" s="951">
        <f t="shared" si="194"/>
        <v>0</v>
      </c>
      <c r="R310" s="951">
        <f t="shared" si="194"/>
        <v>0</v>
      </c>
      <c r="S310" s="951">
        <f t="shared" si="194"/>
        <v>0</v>
      </c>
      <c r="T310" s="951">
        <f t="shared" si="194"/>
        <v>0</v>
      </c>
      <c r="U310" s="951">
        <f t="shared" si="194"/>
        <v>0</v>
      </c>
      <c r="V310" s="951">
        <f t="shared" si="194"/>
        <v>0</v>
      </c>
      <c r="W310" s="951">
        <f t="shared" si="194"/>
        <v>0</v>
      </c>
      <c r="X310" s="951">
        <f t="shared" si="194"/>
        <v>0</v>
      </c>
      <c r="Y310" s="951">
        <f t="shared" si="194"/>
        <v>0</v>
      </c>
      <c r="Z310" s="951">
        <f t="shared" si="194"/>
        <v>0</v>
      </c>
      <c r="AA310" s="951">
        <f t="shared" si="194"/>
        <v>0</v>
      </c>
      <c r="AB310" s="951">
        <f t="shared" si="194"/>
        <v>0</v>
      </c>
      <c r="AC310" s="951">
        <f t="shared" si="194"/>
        <v>0</v>
      </c>
      <c r="AD310" s="1"/>
      <c r="AE310" s="376"/>
      <c r="AF310" s="66"/>
      <c r="AG310" s="66"/>
      <c r="AH310" s="66"/>
      <c r="AI310" s="66"/>
      <c r="AJ310" s="66"/>
      <c r="AK310" s="66"/>
      <c r="AL310" s="66"/>
      <c r="AM310" s="66"/>
      <c r="AN310" s="66"/>
      <c r="AO310" s="66"/>
      <c r="AP310" s="66"/>
      <c r="AQ310" s="66"/>
      <c r="AR310" s="66"/>
      <c r="AS310" s="66"/>
      <c r="AT310" s="66"/>
    </row>
    <row r="311" spans="8:58" s="66" customFormat="1" ht="15.4" customHeight="1" x14ac:dyDescent="0.3">
      <c r="I311" s="99"/>
      <c r="J311" s="372" t="s">
        <v>244</v>
      </c>
      <c r="K311" s="46"/>
      <c r="L311" s="373"/>
      <c r="N311" s="952"/>
      <c r="O311" s="952"/>
      <c r="P311" s="952"/>
      <c r="Q311" s="952"/>
      <c r="R311" s="952"/>
      <c r="S311" s="952"/>
      <c r="T311" s="952"/>
      <c r="U311" s="952"/>
      <c r="V311" s="952"/>
      <c r="W311" s="952"/>
      <c r="X311" s="952"/>
      <c r="Y311" s="952"/>
      <c r="Z311" s="952"/>
      <c r="AA311" s="952"/>
      <c r="AB311" s="952"/>
      <c r="AC311" s="952"/>
      <c r="AE311" s="4"/>
      <c r="AF311" s="1"/>
      <c r="AG311" s="1"/>
      <c r="AH311" s="1"/>
      <c r="AI311" s="1"/>
      <c r="AJ311" s="1"/>
      <c r="AK311" s="1"/>
      <c r="AL311" s="1"/>
      <c r="AM311" s="1"/>
      <c r="AN311" s="1"/>
      <c r="AO311" s="1"/>
      <c r="AP311" s="1"/>
      <c r="AQ311" s="1"/>
      <c r="AR311" s="1"/>
      <c r="AS311" s="1"/>
      <c r="AT311" s="1"/>
    </row>
    <row r="312" spans="8:58" ht="15.4" customHeight="1" x14ac:dyDescent="0.3">
      <c r="I312" s="99"/>
      <c r="J312" s="372" t="s">
        <v>245</v>
      </c>
      <c r="K312" s="46"/>
      <c r="L312" s="377"/>
      <c r="N312" s="953"/>
      <c r="O312" s="953"/>
      <c r="P312" s="953"/>
      <c r="Q312" s="953"/>
      <c r="R312" s="953"/>
      <c r="S312" s="953"/>
      <c r="T312" s="953"/>
      <c r="U312" s="953"/>
      <c r="V312" s="953"/>
      <c r="W312" s="953"/>
      <c r="X312" s="953"/>
      <c r="Y312" s="953"/>
      <c r="Z312" s="953"/>
      <c r="AA312" s="953"/>
      <c r="AB312" s="953"/>
      <c r="AC312" s="953"/>
      <c r="AD312" s="17"/>
    </row>
    <row r="313" spans="8:58" ht="15.4" customHeight="1" x14ac:dyDescent="0.3">
      <c r="I313" s="99"/>
      <c r="J313" s="372" t="s">
        <v>246</v>
      </c>
      <c r="K313" s="46"/>
      <c r="L313" s="377"/>
      <c r="N313" s="951">
        <f t="shared" ref="N313:AC313" si="195">N199</f>
        <v>0</v>
      </c>
      <c r="O313" s="951">
        <f t="shared" si="195"/>
        <v>0</v>
      </c>
      <c r="P313" s="951">
        <f t="shared" si="195"/>
        <v>0</v>
      </c>
      <c r="Q313" s="951">
        <f t="shared" si="195"/>
        <v>0</v>
      </c>
      <c r="R313" s="951">
        <f t="shared" si="195"/>
        <v>0</v>
      </c>
      <c r="S313" s="951">
        <f t="shared" si="195"/>
        <v>0</v>
      </c>
      <c r="T313" s="951">
        <f t="shared" si="195"/>
        <v>0</v>
      </c>
      <c r="U313" s="951">
        <f t="shared" si="195"/>
        <v>0</v>
      </c>
      <c r="V313" s="951">
        <f t="shared" si="195"/>
        <v>0</v>
      </c>
      <c r="W313" s="951">
        <f t="shared" si="195"/>
        <v>0</v>
      </c>
      <c r="X313" s="951">
        <f t="shared" si="195"/>
        <v>0</v>
      </c>
      <c r="Y313" s="951">
        <f t="shared" si="195"/>
        <v>0</v>
      </c>
      <c r="Z313" s="951">
        <f t="shared" si="195"/>
        <v>0</v>
      </c>
      <c r="AA313" s="951">
        <f t="shared" si="195"/>
        <v>0</v>
      </c>
      <c r="AB313" s="951">
        <f t="shared" si="195"/>
        <v>0</v>
      </c>
      <c r="AC313" s="951">
        <f t="shared" si="195"/>
        <v>0</v>
      </c>
      <c r="AD313" s="1"/>
      <c r="AE313" s="376"/>
      <c r="AF313" s="66"/>
      <c r="AG313" s="66"/>
      <c r="AH313" s="66"/>
      <c r="AI313" s="66"/>
      <c r="AJ313" s="66"/>
      <c r="AK313" s="66"/>
      <c r="AL313" s="66"/>
      <c r="AM313" s="66"/>
      <c r="AN313" s="66"/>
      <c r="AO313" s="66"/>
      <c r="AP313" s="66"/>
      <c r="AQ313" s="66"/>
      <c r="AR313" s="66"/>
      <c r="AS313" s="66"/>
      <c r="AT313" s="66"/>
    </row>
    <row r="314" spans="8:58" s="66" customFormat="1" ht="15.4" customHeight="1" x14ac:dyDescent="0.3">
      <c r="I314" s="99"/>
      <c r="J314" s="379" t="s">
        <v>247</v>
      </c>
      <c r="K314" s="47" t="s">
        <v>248</v>
      </c>
      <c r="L314" s="374">
        <f>IFERROR(AVERAGEIF(N314:AC314,"&gt;0"),)</f>
        <v>0</v>
      </c>
      <c r="N314" s="951">
        <f>N309+N310+N311-N312-N313</f>
        <v>0</v>
      </c>
      <c r="O314" s="951">
        <f t="shared" ref="O314:AC314" si="196">O309+O310+O311-O312-O313</f>
        <v>0</v>
      </c>
      <c r="P314" s="951">
        <f t="shared" si="196"/>
        <v>0</v>
      </c>
      <c r="Q314" s="951">
        <f t="shared" si="196"/>
        <v>0</v>
      </c>
      <c r="R314" s="951">
        <f t="shared" si="196"/>
        <v>0</v>
      </c>
      <c r="S314" s="951">
        <f t="shared" si="196"/>
        <v>0</v>
      </c>
      <c r="T314" s="951">
        <f t="shared" si="196"/>
        <v>0</v>
      </c>
      <c r="U314" s="951">
        <f t="shared" si="196"/>
        <v>0</v>
      </c>
      <c r="V314" s="951">
        <f t="shared" si="196"/>
        <v>0</v>
      </c>
      <c r="W314" s="951">
        <f t="shared" si="196"/>
        <v>0</v>
      </c>
      <c r="X314" s="951">
        <f t="shared" si="196"/>
        <v>0</v>
      </c>
      <c r="Y314" s="951">
        <f t="shared" si="196"/>
        <v>0</v>
      </c>
      <c r="Z314" s="951">
        <f t="shared" si="196"/>
        <v>0</v>
      </c>
      <c r="AA314" s="951">
        <f t="shared" si="196"/>
        <v>0</v>
      </c>
      <c r="AB314" s="951">
        <f t="shared" si="196"/>
        <v>0</v>
      </c>
      <c r="AC314" s="951">
        <f t="shared" si="196"/>
        <v>0</v>
      </c>
      <c r="AE314" s="4"/>
      <c r="AF314" s="1"/>
      <c r="AG314" s="1"/>
      <c r="AH314" s="1"/>
      <c r="AI314" s="1"/>
      <c r="AJ314" s="1"/>
      <c r="AK314" s="1"/>
      <c r="AL314" s="1"/>
      <c r="AM314" s="1"/>
      <c r="AN314" s="1"/>
      <c r="AO314" s="1"/>
      <c r="AP314" s="1"/>
      <c r="AQ314" s="1"/>
      <c r="AR314" s="1"/>
      <c r="AS314" s="1"/>
      <c r="AT314" s="1"/>
    </row>
    <row r="315" spans="8:58" ht="15.4" customHeight="1" x14ac:dyDescent="0.3">
      <c r="I315" s="99"/>
      <c r="J315" s="379"/>
      <c r="K315" s="47" t="s">
        <v>249</v>
      </c>
      <c r="L315" s="380">
        <f>COUNTIF(N16:AC16,"&gt;0")</f>
        <v>0</v>
      </c>
      <c r="N315" s="954"/>
      <c r="O315" s="954"/>
      <c r="P315" s="954"/>
      <c r="Q315" s="954"/>
      <c r="R315" s="954"/>
      <c r="S315" s="954"/>
      <c r="T315" s="954"/>
      <c r="U315" s="954"/>
      <c r="V315" s="954"/>
      <c r="W315" s="954"/>
      <c r="X315" s="954"/>
      <c r="Y315" s="954"/>
      <c r="Z315" s="954"/>
      <c r="AA315" s="954"/>
      <c r="AB315" s="954"/>
      <c r="AC315" s="954"/>
      <c r="AD315" s="1"/>
    </row>
    <row r="316" spans="8:58" ht="15.4" customHeight="1" x14ac:dyDescent="0.3">
      <c r="I316" s="99"/>
      <c r="J316" s="379" t="s">
        <v>250</v>
      </c>
      <c r="K316" s="46"/>
      <c r="L316" s="377"/>
      <c r="N316" s="951">
        <f t="shared" ref="N316:AC316" si="197">IFERROR((N143+N164)*(1+N170/N169),0)</f>
        <v>0</v>
      </c>
      <c r="O316" s="951">
        <f t="shared" si="197"/>
        <v>0</v>
      </c>
      <c r="P316" s="951">
        <f t="shared" si="197"/>
        <v>0</v>
      </c>
      <c r="Q316" s="951">
        <f t="shared" si="197"/>
        <v>0</v>
      </c>
      <c r="R316" s="951">
        <f t="shared" si="197"/>
        <v>0</v>
      </c>
      <c r="S316" s="951">
        <f t="shared" si="197"/>
        <v>0</v>
      </c>
      <c r="T316" s="951">
        <f t="shared" si="197"/>
        <v>0</v>
      </c>
      <c r="U316" s="951">
        <f t="shared" si="197"/>
        <v>0</v>
      </c>
      <c r="V316" s="951">
        <f t="shared" si="197"/>
        <v>0</v>
      </c>
      <c r="W316" s="951">
        <f t="shared" si="197"/>
        <v>0</v>
      </c>
      <c r="X316" s="951">
        <f t="shared" si="197"/>
        <v>0</v>
      </c>
      <c r="Y316" s="951">
        <f t="shared" si="197"/>
        <v>0</v>
      </c>
      <c r="Z316" s="951">
        <f t="shared" si="197"/>
        <v>0</v>
      </c>
      <c r="AA316" s="951">
        <f t="shared" si="197"/>
        <v>0</v>
      </c>
      <c r="AB316" s="951">
        <f t="shared" si="197"/>
        <v>0</v>
      </c>
      <c r="AC316" s="951">
        <f t="shared" si="197"/>
        <v>0</v>
      </c>
      <c r="AD316" s="1"/>
    </row>
    <row r="317" spans="8:58" ht="15.4" customHeight="1" x14ac:dyDescent="0.3">
      <c r="I317" s="99"/>
      <c r="J317" s="382"/>
      <c r="K317" s="383"/>
      <c r="L317" s="384"/>
      <c r="N317" s="31"/>
      <c r="O317" s="31"/>
      <c r="P317" s="31"/>
      <c r="Q317" s="31"/>
      <c r="R317" s="31"/>
      <c r="S317" s="31"/>
      <c r="T317" s="31"/>
      <c r="U317" s="31"/>
      <c r="V317" s="31"/>
      <c r="W317" s="31"/>
      <c r="X317" s="31"/>
      <c r="Y317" s="31"/>
      <c r="Z317" s="31"/>
      <c r="AA317" s="31"/>
      <c r="AB317" s="31"/>
      <c r="AC317" s="31"/>
      <c r="AD317" s="1"/>
      <c r="AE317" s="1"/>
    </row>
    <row r="318" spans="8:58" ht="18" outlineLevel="1" x14ac:dyDescent="0.2">
      <c r="I318" s="104" t="s">
        <v>251</v>
      </c>
      <c r="J318" s="105" t="s">
        <v>252</v>
      </c>
      <c r="K318" s="105"/>
      <c r="L318" s="105"/>
      <c r="M318" s="106"/>
      <c r="N318" s="107"/>
      <c r="O318" s="107"/>
      <c r="P318" s="107"/>
      <c r="Q318" s="107"/>
      <c r="R318" s="107"/>
      <c r="S318" s="107"/>
      <c r="T318" s="107"/>
      <c r="U318" s="107"/>
      <c r="V318" s="107"/>
      <c r="W318" s="107"/>
      <c r="X318" s="107"/>
      <c r="Y318" s="107"/>
      <c r="Z318" s="107"/>
      <c r="AA318" s="107"/>
      <c r="AB318" s="107"/>
      <c r="AC318" s="107"/>
      <c r="AD318" s="1"/>
    </row>
    <row r="319" spans="8:58" ht="15.4" customHeight="1" outlineLevel="1" x14ac:dyDescent="0.3">
      <c r="I319" s="99"/>
      <c r="J319" s="385"/>
      <c r="K319" s="31"/>
      <c r="L319" s="169"/>
      <c r="N319" s="31"/>
      <c r="O319" s="31"/>
      <c r="P319" s="31"/>
      <c r="Q319" s="31"/>
      <c r="R319" s="31"/>
      <c r="S319" s="31"/>
      <c r="T319" s="31"/>
      <c r="U319" s="31"/>
      <c r="V319" s="31"/>
      <c r="W319" s="31"/>
      <c r="X319" s="31"/>
      <c r="Y319" s="31"/>
      <c r="Z319" s="31"/>
      <c r="AA319" s="31"/>
      <c r="AB319" s="31"/>
      <c r="AC319" s="31"/>
      <c r="AD319" s="1"/>
    </row>
    <row r="320" spans="8:58" ht="18.75" outlineLevel="1" x14ac:dyDescent="0.3">
      <c r="I320" s="99"/>
      <c r="J320" s="386" t="s">
        <v>253</v>
      </c>
      <c r="K320" s="387"/>
      <c r="L320" s="388" t="s">
        <v>11</v>
      </c>
      <c r="N320" s="386">
        <v>0</v>
      </c>
      <c r="O320" s="386">
        <f t="shared" ref="O320:AC320" si="198">N320+1</f>
        <v>1</v>
      </c>
      <c r="P320" s="386">
        <f t="shared" si="198"/>
        <v>2</v>
      </c>
      <c r="Q320" s="386">
        <f t="shared" si="198"/>
        <v>3</v>
      </c>
      <c r="R320" s="386">
        <f t="shared" si="198"/>
        <v>4</v>
      </c>
      <c r="S320" s="386">
        <f t="shared" si="198"/>
        <v>5</v>
      </c>
      <c r="T320" s="386">
        <f t="shared" si="198"/>
        <v>6</v>
      </c>
      <c r="U320" s="386">
        <f t="shared" si="198"/>
        <v>7</v>
      </c>
      <c r="V320" s="386">
        <f t="shared" si="198"/>
        <v>8</v>
      </c>
      <c r="W320" s="386">
        <f t="shared" si="198"/>
        <v>9</v>
      </c>
      <c r="X320" s="386">
        <f t="shared" si="198"/>
        <v>10</v>
      </c>
      <c r="Y320" s="386">
        <f t="shared" si="198"/>
        <v>11</v>
      </c>
      <c r="Z320" s="386">
        <f t="shared" si="198"/>
        <v>12</v>
      </c>
      <c r="AA320" s="386">
        <f t="shared" si="198"/>
        <v>13</v>
      </c>
      <c r="AB320" s="386">
        <f t="shared" si="198"/>
        <v>14</v>
      </c>
      <c r="AC320" s="386">
        <f t="shared" si="198"/>
        <v>15</v>
      </c>
      <c r="AD320" s="1"/>
    </row>
    <row r="321" spans="9:54" ht="15.4" customHeight="1" outlineLevel="1" x14ac:dyDescent="0.3">
      <c r="I321" s="99"/>
      <c r="J321" s="385" t="s">
        <v>254</v>
      </c>
      <c r="K321" s="31"/>
      <c r="L321" s="289"/>
      <c r="N321" s="389">
        <f t="shared" ref="N321:AC321" si="199">1/(1+$L$98)^N320</f>
        <v>1</v>
      </c>
      <c r="O321" s="389">
        <f t="shared" si="199"/>
        <v>0.86956521739130443</v>
      </c>
      <c r="P321" s="389">
        <f t="shared" si="199"/>
        <v>0.7561436672967865</v>
      </c>
      <c r="Q321" s="389">
        <f t="shared" si="199"/>
        <v>0.65751623243198831</v>
      </c>
      <c r="R321" s="389">
        <f t="shared" si="199"/>
        <v>0.57175324559303342</v>
      </c>
      <c r="S321" s="389">
        <f t="shared" si="199"/>
        <v>0.49717673529828987</v>
      </c>
      <c r="T321" s="389">
        <f t="shared" si="199"/>
        <v>0.43232759591155645</v>
      </c>
      <c r="U321" s="389">
        <f t="shared" si="199"/>
        <v>0.37593703992309269</v>
      </c>
      <c r="V321" s="389">
        <f t="shared" si="199"/>
        <v>0.32690177384616753</v>
      </c>
      <c r="W321" s="389">
        <f t="shared" si="199"/>
        <v>0.28426241204014574</v>
      </c>
      <c r="X321" s="389">
        <f t="shared" si="199"/>
        <v>0.24718470612186585</v>
      </c>
      <c r="Y321" s="389">
        <f t="shared" si="199"/>
        <v>0.21494322271466598</v>
      </c>
      <c r="Z321" s="389">
        <f t="shared" si="199"/>
        <v>0.18690715018666609</v>
      </c>
      <c r="AA321" s="389">
        <f t="shared" si="199"/>
        <v>0.16252795668405748</v>
      </c>
      <c r="AB321" s="389">
        <f t="shared" si="199"/>
        <v>0.14132865798613695</v>
      </c>
      <c r="AC321" s="389">
        <f t="shared" si="199"/>
        <v>0.1228944852053365</v>
      </c>
      <c r="AD321" s="1"/>
    </row>
    <row r="322" spans="9:54" ht="15.4" customHeight="1" outlineLevel="1" x14ac:dyDescent="0.3">
      <c r="I322" s="99"/>
      <c r="J322" s="385" t="s">
        <v>255</v>
      </c>
      <c r="K322" s="31"/>
      <c r="L322" s="955">
        <f>SUM(N322:AC322)</f>
        <v>0</v>
      </c>
      <c r="N322" s="844">
        <f t="shared" ref="N322:AC322" si="200">N228</f>
        <v>0</v>
      </c>
      <c r="O322" s="844">
        <f t="shared" si="200"/>
        <v>0</v>
      </c>
      <c r="P322" s="844">
        <f t="shared" si="200"/>
        <v>0</v>
      </c>
      <c r="Q322" s="844">
        <f t="shared" si="200"/>
        <v>0</v>
      </c>
      <c r="R322" s="844">
        <f t="shared" si="200"/>
        <v>0</v>
      </c>
      <c r="S322" s="844">
        <f t="shared" si="200"/>
        <v>0</v>
      </c>
      <c r="T322" s="844">
        <f t="shared" si="200"/>
        <v>0</v>
      </c>
      <c r="U322" s="844">
        <f t="shared" si="200"/>
        <v>0</v>
      </c>
      <c r="V322" s="844">
        <f t="shared" si="200"/>
        <v>0</v>
      </c>
      <c r="W322" s="844">
        <f t="shared" si="200"/>
        <v>0</v>
      </c>
      <c r="X322" s="844">
        <f t="shared" si="200"/>
        <v>0</v>
      </c>
      <c r="Y322" s="844">
        <f t="shared" si="200"/>
        <v>0</v>
      </c>
      <c r="Z322" s="844">
        <f t="shared" si="200"/>
        <v>0</v>
      </c>
      <c r="AA322" s="844">
        <f t="shared" si="200"/>
        <v>0</v>
      </c>
      <c r="AB322" s="844">
        <f t="shared" si="200"/>
        <v>0</v>
      </c>
      <c r="AC322" s="844">
        <f t="shared" si="200"/>
        <v>0</v>
      </c>
      <c r="AD322" s="1"/>
      <c r="AO322" s="391"/>
      <c r="AP322" s="391"/>
      <c r="AQ322" s="391"/>
      <c r="AR322" s="391"/>
      <c r="AS322" s="391"/>
      <c r="AT322" s="391"/>
    </row>
    <row r="323" spans="9:54" ht="15.4" customHeight="1" outlineLevel="1" x14ac:dyDescent="0.3">
      <c r="I323" s="99"/>
      <c r="J323" s="385" t="s">
        <v>256</v>
      </c>
      <c r="K323" s="31"/>
      <c r="L323" s="955">
        <f>SUM(N323:AC323)</f>
        <v>0</v>
      </c>
      <c r="N323" s="844">
        <f t="shared" ref="N323:AC323" si="201">-N230+IF($L$99="No",0,-N231)</f>
        <v>0</v>
      </c>
      <c r="O323" s="844">
        <f t="shared" si="201"/>
        <v>0</v>
      </c>
      <c r="P323" s="844">
        <f t="shared" si="201"/>
        <v>0</v>
      </c>
      <c r="Q323" s="844">
        <f t="shared" si="201"/>
        <v>0</v>
      </c>
      <c r="R323" s="844">
        <f t="shared" si="201"/>
        <v>0</v>
      </c>
      <c r="S323" s="844">
        <f t="shared" si="201"/>
        <v>0</v>
      </c>
      <c r="T323" s="844">
        <f t="shared" si="201"/>
        <v>0</v>
      </c>
      <c r="U323" s="844">
        <f t="shared" si="201"/>
        <v>0</v>
      </c>
      <c r="V323" s="844">
        <f t="shared" si="201"/>
        <v>0</v>
      </c>
      <c r="W323" s="844">
        <f t="shared" si="201"/>
        <v>0</v>
      </c>
      <c r="X323" s="844">
        <f t="shared" si="201"/>
        <v>0</v>
      </c>
      <c r="Y323" s="844">
        <f t="shared" si="201"/>
        <v>0</v>
      </c>
      <c r="Z323" s="844">
        <f t="shared" si="201"/>
        <v>0</v>
      </c>
      <c r="AA323" s="844">
        <f t="shared" si="201"/>
        <v>0</v>
      </c>
      <c r="AB323" s="844">
        <f t="shared" si="201"/>
        <v>0</v>
      </c>
      <c r="AC323" s="844">
        <f t="shared" si="201"/>
        <v>0</v>
      </c>
      <c r="AD323" s="1"/>
      <c r="AO323" s="391"/>
      <c r="AP323" s="391"/>
      <c r="AQ323" s="391"/>
      <c r="AR323" s="391"/>
      <c r="AS323" s="391"/>
      <c r="AT323" s="391"/>
      <c r="AU323" s="391"/>
      <c r="AV323" s="391"/>
      <c r="AW323" s="391"/>
      <c r="AX323" s="391"/>
      <c r="AY323" s="391"/>
      <c r="AZ323" s="391"/>
      <c r="BA323" s="391"/>
      <c r="BB323" s="391"/>
    </row>
    <row r="324" spans="9:54" ht="15.4" customHeight="1" outlineLevel="1" x14ac:dyDescent="0.3">
      <c r="I324" s="99"/>
      <c r="J324" s="385" t="s">
        <v>257</v>
      </c>
      <c r="K324" s="31"/>
      <c r="L324" s="955">
        <f>SUM(N324:AC324)</f>
        <v>0</v>
      </c>
      <c r="N324" s="844">
        <f>N322+N323</f>
        <v>0</v>
      </c>
      <c r="O324" s="844">
        <f t="shared" ref="O324:AC324" si="202">O322+O323</f>
        <v>0</v>
      </c>
      <c r="P324" s="844">
        <f t="shared" si="202"/>
        <v>0</v>
      </c>
      <c r="Q324" s="844">
        <f t="shared" si="202"/>
        <v>0</v>
      </c>
      <c r="R324" s="844">
        <f t="shared" si="202"/>
        <v>0</v>
      </c>
      <c r="S324" s="844">
        <f t="shared" si="202"/>
        <v>0</v>
      </c>
      <c r="T324" s="844">
        <f t="shared" si="202"/>
        <v>0</v>
      </c>
      <c r="U324" s="844">
        <f t="shared" si="202"/>
        <v>0</v>
      </c>
      <c r="V324" s="844">
        <f t="shared" si="202"/>
        <v>0</v>
      </c>
      <c r="W324" s="844">
        <f t="shared" si="202"/>
        <v>0</v>
      </c>
      <c r="X324" s="844">
        <f t="shared" si="202"/>
        <v>0</v>
      </c>
      <c r="Y324" s="844">
        <f t="shared" si="202"/>
        <v>0</v>
      </c>
      <c r="Z324" s="844">
        <f t="shared" si="202"/>
        <v>0</v>
      </c>
      <c r="AA324" s="844">
        <f t="shared" si="202"/>
        <v>0</v>
      </c>
      <c r="AB324" s="844">
        <f t="shared" si="202"/>
        <v>0</v>
      </c>
      <c r="AC324" s="844">
        <f t="shared" si="202"/>
        <v>0</v>
      </c>
      <c r="AD324" s="1"/>
      <c r="AO324" s="391"/>
      <c r="AP324" s="391"/>
      <c r="AQ324" s="391"/>
      <c r="AR324" s="391"/>
      <c r="AS324" s="391"/>
      <c r="AT324" s="391"/>
      <c r="AU324" s="391"/>
      <c r="AV324" s="391"/>
      <c r="AW324" s="391"/>
      <c r="AX324" s="391"/>
      <c r="AY324" s="391"/>
      <c r="AZ324" s="391"/>
      <c r="BA324" s="391"/>
      <c r="BB324" s="391"/>
    </row>
    <row r="325" spans="9:54" ht="15.4" customHeight="1" outlineLevel="1" x14ac:dyDescent="0.3">
      <c r="I325" s="99"/>
      <c r="J325" s="385" t="s">
        <v>258</v>
      </c>
      <c r="K325" s="31"/>
      <c r="L325" s="956"/>
      <c r="N325" s="844">
        <f>SUM($N324:N324)</f>
        <v>0</v>
      </c>
      <c r="O325" s="844">
        <f>SUM($N324:O324)</f>
        <v>0</v>
      </c>
      <c r="P325" s="844">
        <f>SUM($N324:P324)</f>
        <v>0</v>
      </c>
      <c r="Q325" s="844">
        <f>SUM($N324:Q324)</f>
        <v>0</v>
      </c>
      <c r="R325" s="844">
        <f>SUM($N324:R324)</f>
        <v>0</v>
      </c>
      <c r="S325" s="844">
        <f>SUM($N324:S324)</f>
        <v>0</v>
      </c>
      <c r="T325" s="844">
        <f>SUM($N324:T324)</f>
        <v>0</v>
      </c>
      <c r="U325" s="844">
        <f>SUM($N324:U324)</f>
        <v>0</v>
      </c>
      <c r="V325" s="844">
        <f>SUM($N324:V324)</f>
        <v>0</v>
      </c>
      <c r="W325" s="844">
        <f>SUM($N324:W324)</f>
        <v>0</v>
      </c>
      <c r="X325" s="844">
        <f>SUM($N324:X324)</f>
        <v>0</v>
      </c>
      <c r="Y325" s="844">
        <f>SUM($N324:Y324)</f>
        <v>0</v>
      </c>
      <c r="Z325" s="844">
        <f>SUM($N324:Z324)</f>
        <v>0</v>
      </c>
      <c r="AA325" s="844">
        <f>SUM($N324:AA324)</f>
        <v>0</v>
      </c>
      <c r="AB325" s="844">
        <f>SUM($N324:AB324)</f>
        <v>0</v>
      </c>
      <c r="AC325" s="844">
        <f>SUM($N324:AC324)</f>
        <v>0</v>
      </c>
      <c r="AD325" s="1"/>
      <c r="AO325" s="391"/>
      <c r="AP325" s="391"/>
      <c r="AQ325" s="391"/>
      <c r="AR325" s="391"/>
      <c r="AS325" s="391"/>
      <c r="AT325" s="391"/>
      <c r="AU325" s="391"/>
      <c r="AV325" s="391"/>
      <c r="AW325" s="391"/>
      <c r="AX325" s="391"/>
      <c r="AY325" s="391"/>
      <c r="AZ325" s="391"/>
      <c r="BA325" s="391"/>
      <c r="BB325" s="391"/>
    </row>
    <row r="326" spans="9:54" ht="15.4" customHeight="1" outlineLevel="1" x14ac:dyDescent="0.3">
      <c r="I326" s="99"/>
      <c r="J326" s="385" t="s">
        <v>259</v>
      </c>
      <c r="K326" s="31"/>
      <c r="L326" s="957">
        <f>SUM(N326:AC326)</f>
        <v>0</v>
      </c>
      <c r="N326" s="394">
        <f>IFERROR(IF(N325&lt;-L16*0.05%,$P$348,-N323/N322),)</f>
        <v>0</v>
      </c>
      <c r="O326" s="395">
        <f>IFERROR(IF(O325&lt;-$L$16*0.05%,1,IF(N325&gt;0,0,(O324-O325)/O324)),)</f>
        <v>0</v>
      </c>
      <c r="P326" s="395">
        <f>IFERROR(IF(P325&lt;-$L$16*0.05%,1,IF(O325&gt;0,0,(P324-P325)/P324)),)</f>
        <v>0</v>
      </c>
      <c r="Q326" s="395">
        <f t="shared" ref="Q326:AC326" si="203">IFERROR(IF(Q325&lt;-$L$16*0.05%,1,IF(P325&gt;0,0,(Q324-Q325)/Q324)),)</f>
        <v>0</v>
      </c>
      <c r="R326" s="395">
        <f t="shared" si="203"/>
        <v>0</v>
      </c>
      <c r="S326" s="395">
        <f t="shared" si="203"/>
        <v>0</v>
      </c>
      <c r="T326" s="395">
        <f t="shared" si="203"/>
        <v>0</v>
      </c>
      <c r="U326" s="395">
        <f t="shared" si="203"/>
        <v>0</v>
      </c>
      <c r="V326" s="395">
        <f t="shared" si="203"/>
        <v>0</v>
      </c>
      <c r="W326" s="395">
        <f t="shared" si="203"/>
        <v>0</v>
      </c>
      <c r="X326" s="395">
        <f t="shared" si="203"/>
        <v>0</v>
      </c>
      <c r="Y326" s="395">
        <f t="shared" si="203"/>
        <v>0</v>
      </c>
      <c r="Z326" s="395">
        <f t="shared" si="203"/>
        <v>0</v>
      </c>
      <c r="AA326" s="395">
        <f t="shared" si="203"/>
        <v>0</v>
      </c>
      <c r="AB326" s="395">
        <f t="shared" si="203"/>
        <v>0</v>
      </c>
      <c r="AC326" s="395">
        <f t="shared" si="203"/>
        <v>0</v>
      </c>
      <c r="AD326" s="1"/>
      <c r="AO326" s="391"/>
      <c r="AP326" s="391"/>
      <c r="AQ326" s="391"/>
      <c r="AR326" s="391"/>
      <c r="AS326" s="391"/>
      <c r="AT326" s="391"/>
      <c r="AU326" s="391"/>
      <c r="AV326" s="391"/>
      <c r="AW326" s="391"/>
      <c r="AX326" s="391"/>
      <c r="AY326" s="391"/>
      <c r="AZ326" s="391"/>
      <c r="BA326" s="391"/>
      <c r="BB326" s="391"/>
    </row>
    <row r="327" spans="9:54" ht="15.4" customHeight="1" outlineLevel="1" x14ac:dyDescent="0.3">
      <c r="I327" s="99"/>
      <c r="J327" s="385" t="s">
        <v>260</v>
      </c>
      <c r="K327" s="31"/>
      <c r="L327" s="955">
        <f>SUM(N327:AC327)</f>
        <v>0</v>
      </c>
      <c r="N327" s="844">
        <f t="shared" ref="N327:AC327" si="204">N324*N321</f>
        <v>0</v>
      </c>
      <c r="O327" s="844">
        <f t="shared" si="204"/>
        <v>0</v>
      </c>
      <c r="P327" s="844">
        <f t="shared" si="204"/>
        <v>0</v>
      </c>
      <c r="Q327" s="844">
        <f t="shared" si="204"/>
        <v>0</v>
      </c>
      <c r="R327" s="844">
        <f t="shared" si="204"/>
        <v>0</v>
      </c>
      <c r="S327" s="844">
        <f t="shared" si="204"/>
        <v>0</v>
      </c>
      <c r="T327" s="844">
        <f t="shared" si="204"/>
        <v>0</v>
      </c>
      <c r="U327" s="844">
        <f t="shared" si="204"/>
        <v>0</v>
      </c>
      <c r="V327" s="844">
        <f t="shared" si="204"/>
        <v>0</v>
      </c>
      <c r="W327" s="844">
        <f t="shared" si="204"/>
        <v>0</v>
      </c>
      <c r="X327" s="844">
        <f t="shared" si="204"/>
        <v>0</v>
      </c>
      <c r="Y327" s="844">
        <f t="shared" si="204"/>
        <v>0</v>
      </c>
      <c r="Z327" s="844">
        <f t="shared" si="204"/>
        <v>0</v>
      </c>
      <c r="AA327" s="844">
        <f t="shared" si="204"/>
        <v>0</v>
      </c>
      <c r="AB327" s="844">
        <f t="shared" si="204"/>
        <v>0</v>
      </c>
      <c r="AC327" s="844">
        <f t="shared" si="204"/>
        <v>0</v>
      </c>
      <c r="AD327" s="1"/>
      <c r="AO327" s="391"/>
      <c r="AP327" s="391"/>
      <c r="AQ327" s="391"/>
      <c r="AR327" s="391"/>
      <c r="AS327" s="391"/>
      <c r="AT327" s="391"/>
      <c r="AU327" s="391"/>
      <c r="AV327" s="391"/>
      <c r="AW327" s="391"/>
      <c r="AX327" s="391"/>
      <c r="AY327" s="391"/>
      <c r="AZ327" s="391"/>
      <c r="BA327" s="391"/>
      <c r="BB327" s="391"/>
    </row>
    <row r="328" spans="9:54" ht="13.5" customHeight="1" outlineLevel="1" x14ac:dyDescent="0.3">
      <c r="I328" s="99"/>
      <c r="J328" s="385" t="s">
        <v>261</v>
      </c>
      <c r="K328" s="31"/>
      <c r="L328" s="956"/>
      <c r="N328" s="844">
        <f>SUM($N327:N327)</f>
        <v>0</v>
      </c>
      <c r="O328" s="844">
        <f>SUM($N327:O327)</f>
        <v>0</v>
      </c>
      <c r="P328" s="844">
        <f>SUM($N327:P327)</f>
        <v>0</v>
      </c>
      <c r="Q328" s="844">
        <f>SUM($N327:Q327)</f>
        <v>0</v>
      </c>
      <c r="R328" s="844">
        <f>SUM($N327:R327)</f>
        <v>0</v>
      </c>
      <c r="S328" s="844">
        <f>SUM($N327:S327)</f>
        <v>0</v>
      </c>
      <c r="T328" s="844">
        <f>SUM($N327:T327)</f>
        <v>0</v>
      </c>
      <c r="U328" s="844">
        <f>SUM($N327:U327)</f>
        <v>0</v>
      </c>
      <c r="V328" s="844">
        <f>SUM($N327:V327)</f>
        <v>0</v>
      </c>
      <c r="W328" s="844">
        <f>SUM($N327:W327)</f>
        <v>0</v>
      </c>
      <c r="X328" s="844">
        <f>SUM($N327:X327)</f>
        <v>0</v>
      </c>
      <c r="Y328" s="844">
        <f>SUM($N327:Y327)</f>
        <v>0</v>
      </c>
      <c r="Z328" s="844">
        <f>SUM($N327:Z327)</f>
        <v>0</v>
      </c>
      <c r="AA328" s="844">
        <f>SUM($N327:AA327)</f>
        <v>0</v>
      </c>
      <c r="AB328" s="844">
        <f>SUM($N327:AB327)</f>
        <v>0</v>
      </c>
      <c r="AC328" s="844">
        <f>SUM($N327:AC327)</f>
        <v>0</v>
      </c>
      <c r="AD328" s="1"/>
      <c r="AO328" s="391"/>
      <c r="AP328" s="391"/>
      <c r="AQ328" s="391"/>
      <c r="AR328" s="391"/>
      <c r="AS328" s="391"/>
      <c r="AT328" s="391"/>
      <c r="AU328" s="391"/>
      <c r="AV328" s="391"/>
      <c r="AW328" s="391"/>
      <c r="AX328" s="391"/>
      <c r="AY328" s="391"/>
      <c r="AZ328" s="391"/>
      <c r="BA328" s="391"/>
      <c r="BB328" s="391"/>
    </row>
    <row r="329" spans="9:54" ht="15.4" customHeight="1" outlineLevel="1" x14ac:dyDescent="0.3">
      <c r="I329" s="99"/>
      <c r="J329" s="385" t="s">
        <v>262</v>
      </c>
      <c r="K329" s="31"/>
      <c r="L329" s="957">
        <f>SUM(N329:AC329)</f>
        <v>0</v>
      </c>
      <c r="N329" s="394">
        <f>IFERROR(IF(N325&lt;-L16*0.05%,$P$348,-N323/N322),)</f>
        <v>0</v>
      </c>
      <c r="O329" s="395">
        <f t="shared" ref="O329:AC329" si="205">IFERROR(IF(O328=N328,0,IF(O328&lt;0,1,IF(N328&gt;0,0,(O327-O328)/O327))),)</f>
        <v>0</v>
      </c>
      <c r="P329" s="395">
        <f t="shared" si="205"/>
        <v>0</v>
      </c>
      <c r="Q329" s="395">
        <f t="shared" si="205"/>
        <v>0</v>
      </c>
      <c r="R329" s="395">
        <f t="shared" si="205"/>
        <v>0</v>
      </c>
      <c r="S329" s="395">
        <f t="shared" si="205"/>
        <v>0</v>
      </c>
      <c r="T329" s="395">
        <f t="shared" si="205"/>
        <v>0</v>
      </c>
      <c r="U329" s="395">
        <f t="shared" si="205"/>
        <v>0</v>
      </c>
      <c r="V329" s="395">
        <f t="shared" si="205"/>
        <v>0</v>
      </c>
      <c r="W329" s="395">
        <f t="shared" si="205"/>
        <v>0</v>
      </c>
      <c r="X329" s="395">
        <f t="shared" si="205"/>
        <v>0</v>
      </c>
      <c r="Y329" s="395">
        <f t="shared" si="205"/>
        <v>0</v>
      </c>
      <c r="Z329" s="395">
        <f t="shared" si="205"/>
        <v>0</v>
      </c>
      <c r="AA329" s="395">
        <f t="shared" si="205"/>
        <v>0</v>
      </c>
      <c r="AB329" s="395">
        <f t="shared" si="205"/>
        <v>0</v>
      </c>
      <c r="AC329" s="395">
        <f t="shared" si="205"/>
        <v>0</v>
      </c>
      <c r="AD329" s="1"/>
      <c r="AO329" s="391"/>
      <c r="AP329" s="391"/>
      <c r="AQ329" s="391"/>
      <c r="AR329" s="391"/>
      <c r="AS329" s="391"/>
      <c r="AT329" s="391"/>
      <c r="AU329" s="391"/>
      <c r="AV329" s="391"/>
      <c r="AW329" s="391"/>
      <c r="AX329" s="391"/>
      <c r="AY329" s="391"/>
      <c r="AZ329" s="391"/>
      <c r="BA329" s="391"/>
      <c r="BB329" s="391"/>
    </row>
    <row r="330" spans="9:54" ht="15.4" customHeight="1" outlineLevel="1" x14ac:dyDescent="0.3">
      <c r="I330" s="99"/>
      <c r="J330" s="385" t="s">
        <v>263</v>
      </c>
      <c r="K330" s="31"/>
      <c r="L330" s="958">
        <f>L324-L327</f>
        <v>0</v>
      </c>
      <c r="N330" s="959">
        <f t="shared" ref="N330:AC330" si="206">N324-N327</f>
        <v>0</v>
      </c>
      <c r="O330" s="959">
        <f t="shared" si="206"/>
        <v>0</v>
      </c>
      <c r="P330" s="959">
        <f t="shared" si="206"/>
        <v>0</v>
      </c>
      <c r="Q330" s="959">
        <f t="shared" si="206"/>
        <v>0</v>
      </c>
      <c r="R330" s="959">
        <f t="shared" si="206"/>
        <v>0</v>
      </c>
      <c r="S330" s="959">
        <f t="shared" si="206"/>
        <v>0</v>
      </c>
      <c r="T330" s="959">
        <f t="shared" si="206"/>
        <v>0</v>
      </c>
      <c r="U330" s="959">
        <f t="shared" si="206"/>
        <v>0</v>
      </c>
      <c r="V330" s="959">
        <f t="shared" si="206"/>
        <v>0</v>
      </c>
      <c r="W330" s="959">
        <f t="shared" si="206"/>
        <v>0</v>
      </c>
      <c r="X330" s="959">
        <f t="shared" si="206"/>
        <v>0</v>
      </c>
      <c r="Y330" s="959">
        <f t="shared" si="206"/>
        <v>0</v>
      </c>
      <c r="Z330" s="959">
        <f t="shared" si="206"/>
        <v>0</v>
      </c>
      <c r="AA330" s="959">
        <f t="shared" si="206"/>
        <v>0</v>
      </c>
      <c r="AB330" s="959">
        <f t="shared" si="206"/>
        <v>0</v>
      </c>
      <c r="AC330" s="959">
        <f t="shared" si="206"/>
        <v>0</v>
      </c>
      <c r="AD330" s="1"/>
      <c r="AO330" s="391"/>
      <c r="AP330" s="391"/>
      <c r="AQ330" s="391"/>
      <c r="AR330" s="391"/>
      <c r="AS330" s="391"/>
      <c r="AT330" s="391"/>
      <c r="AU330" s="391"/>
      <c r="AV330" s="391"/>
      <c r="AW330" s="391"/>
      <c r="AX330" s="391"/>
      <c r="AY330" s="391"/>
      <c r="AZ330" s="391"/>
      <c r="BA330" s="391"/>
      <c r="BB330" s="391"/>
    </row>
    <row r="331" spans="9:54" outlineLevel="1" x14ac:dyDescent="0.3">
      <c r="I331" s="99"/>
      <c r="J331" s="385"/>
      <c r="K331" s="31"/>
      <c r="L331" s="398"/>
      <c r="N331" s="399"/>
      <c r="O331" s="399"/>
      <c r="P331" s="399"/>
      <c r="Q331" s="399"/>
      <c r="R331" s="399"/>
      <c r="S331" s="399"/>
      <c r="T331" s="399"/>
      <c r="U331" s="399"/>
      <c r="V331" s="399"/>
      <c r="W331" s="399"/>
      <c r="X331" s="399"/>
      <c r="Y331" s="399"/>
      <c r="Z331" s="399"/>
      <c r="AA331" s="399"/>
      <c r="AB331" s="399"/>
      <c r="AC331" s="399"/>
      <c r="AD331" s="399"/>
      <c r="AO331" s="391"/>
      <c r="AP331" s="391"/>
      <c r="AQ331" s="391"/>
      <c r="AR331" s="391"/>
      <c r="AS331" s="391"/>
      <c r="AT331" s="391"/>
      <c r="AU331" s="391"/>
      <c r="AV331" s="391"/>
      <c r="AW331" s="391"/>
      <c r="AX331" s="391"/>
      <c r="AY331" s="391"/>
      <c r="AZ331" s="391"/>
      <c r="BA331" s="391"/>
      <c r="BB331" s="391"/>
    </row>
    <row r="332" spans="9:54" outlineLevel="1" x14ac:dyDescent="0.3">
      <c r="I332" s="99"/>
      <c r="J332" s="385"/>
      <c r="K332" s="31"/>
      <c r="L332" s="169"/>
      <c r="O332" s="400" t="s">
        <v>371</v>
      </c>
      <c r="P332" s="31"/>
      <c r="Q332" s="31"/>
      <c r="R332" s="31"/>
      <c r="S332" s="31"/>
      <c r="T332" s="31"/>
      <c r="U332" s="31"/>
      <c r="V332" s="31"/>
      <c r="W332" s="31"/>
      <c r="X332" s="31"/>
      <c r="Y332" s="31"/>
      <c r="Z332" s="31"/>
      <c r="AA332" s="31"/>
      <c r="AB332" s="31"/>
      <c r="AC332" s="31"/>
      <c r="AD332" s="1"/>
      <c r="AO332" s="391"/>
      <c r="AP332" s="391"/>
      <c r="AQ332" s="391"/>
      <c r="AR332" s="391"/>
      <c r="AS332" s="391"/>
      <c r="AT332" s="391"/>
      <c r="AU332" s="391"/>
      <c r="AV332" s="391"/>
      <c r="AW332" s="391"/>
      <c r="AX332" s="391"/>
      <c r="AY332" s="391"/>
      <c r="AZ332" s="391"/>
      <c r="BA332" s="391"/>
      <c r="BB332" s="391"/>
    </row>
    <row r="333" spans="9:54" outlineLevel="1" x14ac:dyDescent="0.3">
      <c r="I333" s="99"/>
      <c r="J333" s="401" t="s">
        <v>264</v>
      </c>
      <c r="K333" s="402"/>
      <c r="L333" s="960">
        <f>SUM(M327:AC327)</f>
        <v>0</v>
      </c>
      <c r="N333" s="31"/>
      <c r="O333" s="404" t="s">
        <v>265</v>
      </c>
      <c r="P333" s="405" t="s">
        <v>372</v>
      </c>
      <c r="Q333" s="406"/>
      <c r="R333" s="407"/>
      <c r="S333" s="407"/>
      <c r="T333" s="407"/>
      <c r="U333" s="408"/>
      <c r="V333" s="31"/>
      <c r="AD333" s="1"/>
      <c r="AO333" s="391"/>
      <c r="AP333" s="391"/>
      <c r="AQ333" s="391"/>
      <c r="AR333" s="391"/>
      <c r="AS333" s="391"/>
      <c r="AT333" s="391"/>
      <c r="AU333" s="391"/>
      <c r="AV333" s="391"/>
      <c r="AW333" s="391"/>
      <c r="AX333" s="391"/>
      <c r="AY333" s="391"/>
      <c r="AZ333" s="391"/>
      <c r="BA333" s="391"/>
      <c r="BB333" s="391"/>
    </row>
    <row r="334" spans="9:54" outlineLevel="1" x14ac:dyDescent="0.3">
      <c r="I334" s="99"/>
      <c r="J334" s="401" t="s">
        <v>267</v>
      </c>
      <c r="K334" s="402"/>
      <c r="L334" s="409">
        <f>IFERROR(IRR(N324:AC324,12%),0)</f>
        <v>0</v>
      </c>
      <c r="N334" s="31"/>
      <c r="O334" s="410">
        <v>1</v>
      </c>
      <c r="P334" s="467">
        <f>ROUND(10/12,1)</f>
        <v>0.8</v>
      </c>
      <c r="Q334" s="468" t="s">
        <v>268</v>
      </c>
      <c r="R334" s="411"/>
      <c r="S334" s="411"/>
      <c r="T334" s="411"/>
      <c r="U334" s="412"/>
      <c r="V334" s="31"/>
      <c r="AD334" s="1"/>
      <c r="AO334" s="391"/>
      <c r="AP334" s="391"/>
      <c r="AQ334" s="391"/>
      <c r="AR334" s="391"/>
      <c r="AS334" s="391"/>
      <c r="AT334" s="391"/>
      <c r="AU334" s="391"/>
      <c r="AV334" s="391"/>
      <c r="AW334" s="391"/>
      <c r="AX334" s="391"/>
      <c r="AY334" s="391"/>
      <c r="AZ334" s="391"/>
      <c r="BA334" s="391"/>
      <c r="BB334" s="391"/>
    </row>
    <row r="335" spans="9:54" outlineLevel="1" x14ac:dyDescent="0.3">
      <c r="I335" s="99"/>
      <c r="J335" s="401" t="s">
        <v>269</v>
      </c>
      <c r="K335" s="402"/>
      <c r="L335" s="961">
        <f>IF(AC325&lt;0,"No Full Recovery",SUM(N326:AC326))</f>
        <v>0</v>
      </c>
      <c r="N335" s="31"/>
      <c r="O335" s="469">
        <v>2</v>
      </c>
      <c r="P335" s="467">
        <f>ROUND(9/12,1)</f>
        <v>0.8</v>
      </c>
      <c r="Q335" s="468" t="s">
        <v>268</v>
      </c>
      <c r="R335" s="411"/>
      <c r="S335" s="411"/>
      <c r="T335" s="411"/>
      <c r="U335" s="412"/>
      <c r="V335" s="31"/>
      <c r="AD335" s="1"/>
      <c r="AO335" s="391"/>
      <c r="AP335" s="391"/>
      <c r="AQ335" s="391"/>
      <c r="AR335" s="391"/>
      <c r="AS335" s="391"/>
      <c r="AT335" s="391"/>
      <c r="AU335" s="391"/>
      <c r="AV335" s="391"/>
      <c r="AW335" s="391"/>
      <c r="AX335" s="391"/>
      <c r="AY335" s="391"/>
      <c r="AZ335" s="391"/>
      <c r="BA335" s="391"/>
      <c r="BB335" s="391"/>
    </row>
    <row r="336" spans="9:54" ht="15.75" outlineLevel="1" x14ac:dyDescent="0.25">
      <c r="I336" s="99"/>
      <c r="J336" s="31"/>
      <c r="K336" s="31"/>
      <c r="L336" s="31"/>
      <c r="M336" s="31"/>
      <c r="N336" s="31"/>
      <c r="O336" s="410">
        <v>3</v>
      </c>
      <c r="P336" s="467">
        <f>ROUND(8/12,1)</f>
        <v>0.7</v>
      </c>
      <c r="Q336" s="468" t="s">
        <v>268</v>
      </c>
      <c r="R336" s="411"/>
      <c r="S336" s="411"/>
      <c r="T336" s="411"/>
      <c r="U336" s="412"/>
      <c r="V336" s="31"/>
      <c r="AD336" s="1"/>
      <c r="AO336" s="391"/>
      <c r="AP336" s="391"/>
      <c r="AQ336" s="391"/>
      <c r="AR336" s="391"/>
      <c r="AS336" s="391"/>
      <c r="AT336" s="391"/>
      <c r="AU336" s="391"/>
      <c r="AV336" s="391"/>
      <c r="AW336" s="391"/>
      <c r="AX336" s="391"/>
      <c r="AY336" s="391"/>
      <c r="AZ336" s="391"/>
      <c r="BA336" s="391"/>
      <c r="BB336" s="391"/>
    </row>
    <row r="337" spans="9:54" ht="15.75" outlineLevel="1" x14ac:dyDescent="0.25">
      <c r="I337" s="99"/>
      <c r="J337" s="31"/>
      <c r="K337" s="31"/>
      <c r="L337" s="31"/>
      <c r="M337" s="31"/>
      <c r="N337" s="31"/>
      <c r="O337" s="410">
        <v>4</v>
      </c>
      <c r="P337" s="467">
        <f>ROUND(7/12,1)</f>
        <v>0.6</v>
      </c>
      <c r="Q337" s="468" t="s">
        <v>270</v>
      </c>
      <c r="R337" s="414"/>
      <c r="S337" s="411"/>
      <c r="T337" s="411"/>
      <c r="U337" s="412"/>
      <c r="V337" s="31"/>
      <c r="AD337" s="1"/>
      <c r="AO337" s="391"/>
      <c r="AP337" s="391"/>
      <c r="AQ337" s="391"/>
      <c r="AR337" s="391"/>
      <c r="AS337" s="391"/>
      <c r="AT337" s="391"/>
      <c r="AU337" s="391"/>
      <c r="AV337" s="391"/>
      <c r="AW337" s="391"/>
      <c r="AX337" s="391"/>
      <c r="AY337" s="391"/>
      <c r="AZ337" s="391"/>
      <c r="BA337" s="391"/>
      <c r="BB337" s="391"/>
    </row>
    <row r="338" spans="9:54" ht="15.75" outlineLevel="1" x14ac:dyDescent="0.25">
      <c r="I338" s="99"/>
      <c r="J338" s="31"/>
      <c r="K338" s="31"/>
      <c r="L338" s="31"/>
      <c r="M338" s="31"/>
      <c r="N338" s="31"/>
      <c r="O338" s="469">
        <v>5</v>
      </c>
      <c r="P338" s="467">
        <f>ROUND(7/12,1)</f>
        <v>0.6</v>
      </c>
      <c r="Q338" s="468" t="s">
        <v>270</v>
      </c>
      <c r="R338" s="414"/>
      <c r="S338" s="411"/>
      <c r="T338" s="411"/>
      <c r="U338" s="412"/>
      <c r="V338" s="31"/>
      <c r="AD338" s="1"/>
      <c r="AO338" s="391"/>
      <c r="AP338" s="391"/>
      <c r="AQ338" s="391"/>
      <c r="AR338" s="391"/>
      <c r="AS338" s="391"/>
      <c r="AT338" s="391"/>
      <c r="AU338" s="391"/>
      <c r="AV338" s="391"/>
      <c r="AW338" s="391"/>
      <c r="AX338" s="391"/>
      <c r="AY338" s="391"/>
      <c r="AZ338" s="391"/>
      <c r="BA338" s="391"/>
      <c r="BB338" s="391"/>
    </row>
    <row r="339" spans="9:54" ht="15.75" outlineLevel="1" x14ac:dyDescent="0.25">
      <c r="I339" s="99"/>
      <c r="J339" s="31"/>
      <c r="K339" s="31"/>
      <c r="L339" s="31"/>
      <c r="M339" s="31"/>
      <c r="N339" s="31"/>
      <c r="O339" s="410">
        <v>6</v>
      </c>
      <c r="P339" s="467">
        <f>ROUND(6/12,1)</f>
        <v>0.5</v>
      </c>
      <c r="Q339" s="468" t="s">
        <v>270</v>
      </c>
      <c r="R339" s="414"/>
      <c r="S339" s="411"/>
      <c r="T339" s="411"/>
      <c r="U339" s="412"/>
      <c r="V339" s="31"/>
      <c r="AD339" s="1"/>
      <c r="AO339" s="391"/>
      <c r="AP339" s="391"/>
      <c r="AQ339" s="391"/>
      <c r="AR339" s="391"/>
      <c r="AS339" s="391"/>
      <c r="AT339" s="391"/>
      <c r="AU339" s="391"/>
      <c r="AV339" s="391"/>
      <c r="AW339" s="391"/>
      <c r="AX339" s="391"/>
      <c r="AY339" s="391"/>
      <c r="AZ339" s="391"/>
      <c r="BA339" s="391"/>
      <c r="BB339" s="391"/>
    </row>
    <row r="340" spans="9:54" ht="15.75" outlineLevel="1" x14ac:dyDescent="0.25">
      <c r="I340" s="99"/>
      <c r="J340" s="31"/>
      <c r="K340" s="1"/>
      <c r="L340" s="31"/>
      <c r="M340" s="31"/>
      <c r="N340" s="31"/>
      <c r="O340" s="410">
        <v>7</v>
      </c>
      <c r="P340" s="467">
        <f>ROUND(6/12,1)</f>
        <v>0.5</v>
      </c>
      <c r="Q340" s="468" t="s">
        <v>270</v>
      </c>
      <c r="R340" s="414"/>
      <c r="S340" s="411"/>
      <c r="T340" s="411"/>
      <c r="U340" s="412"/>
      <c r="V340" s="31"/>
      <c r="AD340" s="1"/>
      <c r="AO340" s="391"/>
      <c r="AP340" s="391"/>
      <c r="AQ340" s="391"/>
      <c r="AR340" s="391"/>
      <c r="AS340" s="391"/>
      <c r="AT340" s="391"/>
      <c r="AU340" s="391"/>
      <c r="AV340" s="391"/>
      <c r="AW340" s="391"/>
      <c r="AX340" s="391"/>
      <c r="AY340" s="391"/>
      <c r="AZ340" s="391"/>
      <c r="BA340" s="391"/>
      <c r="BB340" s="391"/>
    </row>
    <row r="341" spans="9:54" ht="15.75" outlineLevel="1" x14ac:dyDescent="0.25">
      <c r="I341" s="99"/>
      <c r="K341" s="1"/>
      <c r="N341" s="31"/>
      <c r="O341" s="469">
        <v>8</v>
      </c>
      <c r="P341" s="467">
        <f>ROUND(5/12,1)</f>
        <v>0.4</v>
      </c>
      <c r="Q341" s="468" t="s">
        <v>270</v>
      </c>
      <c r="R341" s="414"/>
      <c r="S341" s="411"/>
      <c r="T341" s="411"/>
      <c r="U341" s="412"/>
      <c r="V341" s="31"/>
      <c r="AD341" s="1"/>
      <c r="AO341" s="391"/>
      <c r="AP341" s="391"/>
      <c r="AQ341" s="391"/>
      <c r="AR341" s="391"/>
      <c r="AS341" s="391"/>
      <c r="AT341" s="391"/>
      <c r="AU341" s="391"/>
      <c r="AV341" s="391"/>
      <c r="AW341" s="391"/>
      <c r="AX341" s="391"/>
      <c r="AY341" s="391"/>
      <c r="AZ341" s="391"/>
      <c r="BA341" s="391"/>
      <c r="BB341" s="391"/>
    </row>
    <row r="342" spans="9:54" ht="15.75" outlineLevel="1" x14ac:dyDescent="0.25">
      <c r="I342" s="99"/>
      <c r="K342" s="1"/>
      <c r="N342" s="31"/>
      <c r="O342" s="410">
        <v>9</v>
      </c>
      <c r="P342" s="467">
        <f>ROUND(4/12,1)</f>
        <v>0.3</v>
      </c>
      <c r="Q342" s="468" t="s">
        <v>270</v>
      </c>
      <c r="R342" s="414"/>
      <c r="S342" s="411"/>
      <c r="T342" s="411"/>
      <c r="U342" s="412"/>
      <c r="V342" s="31"/>
      <c r="AD342" s="1"/>
      <c r="AO342" s="391"/>
      <c r="AP342" s="391"/>
      <c r="AQ342" s="391"/>
      <c r="AR342" s="391"/>
      <c r="AS342" s="391"/>
      <c r="AT342" s="391"/>
      <c r="AU342" s="391"/>
      <c r="AV342" s="391"/>
      <c r="AW342" s="391"/>
      <c r="AX342" s="391"/>
      <c r="AY342" s="391"/>
      <c r="AZ342" s="391"/>
      <c r="BA342" s="391"/>
      <c r="BB342" s="391"/>
    </row>
    <row r="343" spans="9:54" ht="15.75" outlineLevel="1" x14ac:dyDescent="0.25">
      <c r="I343" s="99"/>
      <c r="K343" s="1"/>
      <c r="N343" s="31"/>
      <c r="O343" s="410">
        <v>10</v>
      </c>
      <c r="P343" s="467">
        <f>ROUND(3/12,1)</f>
        <v>0.3</v>
      </c>
      <c r="Q343" s="468" t="s">
        <v>271</v>
      </c>
      <c r="R343" s="414"/>
      <c r="S343" s="411"/>
      <c r="T343" s="411"/>
      <c r="U343" s="412"/>
      <c r="V343" s="31"/>
      <c r="AD343" s="1"/>
      <c r="AO343" s="391"/>
      <c r="AP343" s="391"/>
      <c r="AQ343" s="391"/>
      <c r="AR343" s="391"/>
      <c r="AS343" s="391"/>
      <c r="AT343" s="391"/>
      <c r="AU343" s="391"/>
      <c r="AV343" s="391"/>
      <c r="AW343" s="391"/>
      <c r="AX343" s="391"/>
      <c r="AY343" s="391"/>
      <c r="AZ343" s="391"/>
      <c r="BA343" s="391"/>
      <c r="BB343" s="391"/>
    </row>
    <row r="344" spans="9:54" ht="15.75" outlineLevel="1" x14ac:dyDescent="0.25">
      <c r="I344" s="99"/>
      <c r="K344" s="1"/>
      <c r="N344" s="31"/>
      <c r="O344" s="469">
        <v>11</v>
      </c>
      <c r="P344" s="467">
        <f>ROUND(2/12,1)</f>
        <v>0.2</v>
      </c>
      <c r="Q344" s="468" t="s">
        <v>271</v>
      </c>
      <c r="R344" s="414"/>
      <c r="S344" s="411"/>
      <c r="T344" s="411"/>
      <c r="U344" s="412"/>
      <c r="V344" s="31"/>
      <c r="AD344" s="1"/>
      <c r="AO344" s="391"/>
      <c r="AP344" s="391"/>
      <c r="AQ344" s="391"/>
      <c r="AR344" s="391"/>
      <c r="AS344" s="391"/>
      <c r="AT344" s="391"/>
      <c r="AU344" s="391"/>
      <c r="AV344" s="391"/>
      <c r="AW344" s="391"/>
      <c r="AX344" s="391"/>
      <c r="AY344" s="391"/>
      <c r="AZ344" s="391"/>
      <c r="BA344" s="391"/>
      <c r="BB344" s="391"/>
    </row>
    <row r="345" spans="9:54" ht="15.75" outlineLevel="1" x14ac:dyDescent="0.25">
      <c r="I345" s="99"/>
      <c r="K345" s="1"/>
      <c r="N345" s="31"/>
      <c r="O345" s="415">
        <v>12</v>
      </c>
      <c r="P345" s="467">
        <f>ROUND(1/12,1)</f>
        <v>0.1</v>
      </c>
      <c r="Q345" s="470" t="s">
        <v>271</v>
      </c>
      <c r="R345" s="416"/>
      <c r="S345" s="417"/>
      <c r="T345" s="417"/>
      <c r="U345" s="418"/>
      <c r="V345" s="31"/>
      <c r="AD345" s="1"/>
      <c r="AO345" s="391"/>
      <c r="AP345" s="391"/>
      <c r="AQ345" s="391"/>
      <c r="AR345" s="391"/>
      <c r="AS345" s="391"/>
      <c r="AT345" s="391"/>
      <c r="AU345" s="391"/>
      <c r="AV345" s="391"/>
      <c r="AW345" s="391"/>
      <c r="AX345" s="391"/>
      <c r="AY345" s="391"/>
      <c r="AZ345" s="391"/>
      <c r="BA345" s="391"/>
      <c r="BB345" s="391"/>
    </row>
    <row r="346" spans="9:54" ht="15.75" outlineLevel="1" x14ac:dyDescent="0.25">
      <c r="I346" s="99"/>
      <c r="K346" s="1"/>
      <c r="N346" s="31"/>
      <c r="O346" s="419"/>
      <c r="P346" s="406"/>
      <c r="Q346" s="406"/>
      <c r="R346" s="406"/>
      <c r="S346" s="407"/>
      <c r="T346" s="407"/>
      <c r="U346" s="408"/>
      <c r="V346" s="31"/>
      <c r="AD346" s="1"/>
      <c r="AO346" s="391"/>
      <c r="AP346" s="391"/>
      <c r="AQ346" s="391"/>
      <c r="AR346" s="391"/>
      <c r="AS346" s="391"/>
      <c r="AT346" s="391"/>
      <c r="AU346" s="391"/>
      <c r="AV346" s="391"/>
      <c r="AW346" s="391"/>
      <c r="AX346" s="391"/>
      <c r="AY346" s="391"/>
      <c r="AZ346" s="391"/>
      <c r="BA346" s="391"/>
      <c r="BB346" s="391"/>
    </row>
    <row r="347" spans="9:54" outlineLevel="1" x14ac:dyDescent="0.3">
      <c r="I347" s="99"/>
      <c r="K347" s="1"/>
      <c r="O347" s="420" t="s">
        <v>272</v>
      </c>
      <c r="P347" s="421">
        <f>$L$12</f>
        <v>6</v>
      </c>
      <c r="Q347" s="468" t="str">
        <f>"This is the month project will SOP in the SOP year. SOP on "&amp;L12&amp;"-"&amp;L11</f>
        <v>This is the month project will SOP in the SOP year. SOP on 6-2025</v>
      </c>
      <c r="R347" s="414"/>
      <c r="S347" s="411"/>
      <c r="T347" s="411"/>
      <c r="U347" s="412"/>
      <c r="V347" s="31"/>
      <c r="AD347" s="1"/>
      <c r="AO347" s="391"/>
      <c r="AP347" s="391"/>
      <c r="AQ347" s="391"/>
      <c r="AR347" s="391"/>
      <c r="AS347" s="391"/>
      <c r="AT347" s="391"/>
      <c r="AU347" s="391"/>
      <c r="AV347" s="391"/>
      <c r="AW347" s="391"/>
      <c r="AX347" s="391"/>
      <c r="AY347" s="391"/>
      <c r="AZ347" s="391"/>
      <c r="BA347" s="391"/>
      <c r="BB347" s="391"/>
    </row>
    <row r="348" spans="9:54" outlineLevel="1" x14ac:dyDescent="0.3">
      <c r="I348" s="99"/>
      <c r="K348" s="1"/>
      <c r="N348" s="170"/>
      <c r="O348" s="530" t="s">
        <v>373</v>
      </c>
      <c r="P348" s="471">
        <f>VLOOKUP($P$347,$O$334:$P$345,2,FALSE)</f>
        <v>0.5</v>
      </c>
      <c r="Q348" s="416" t="str">
        <f>VLOOKUP(P348,P334:Q345,2,FALSE)</f>
        <v>3-9 mths revenue in yr1, therefore assume around mid-year</v>
      </c>
      <c r="R348" s="416"/>
      <c r="S348" s="417"/>
      <c r="T348" s="417"/>
      <c r="U348" s="418"/>
      <c r="V348" s="31"/>
      <c r="AD348" s="1"/>
      <c r="AO348" s="391"/>
      <c r="AP348" s="391"/>
      <c r="AQ348" s="391"/>
      <c r="AR348" s="391"/>
      <c r="AS348" s="391"/>
      <c r="AT348" s="391"/>
      <c r="AU348" s="391"/>
      <c r="AV348" s="391"/>
      <c r="AW348" s="391"/>
      <c r="AX348" s="391"/>
      <c r="AY348" s="391"/>
      <c r="AZ348" s="391"/>
      <c r="BA348" s="391"/>
      <c r="BB348" s="391"/>
    </row>
    <row r="349" spans="9:54" ht="15.75" outlineLevel="1" x14ac:dyDescent="0.25">
      <c r="I349" s="99"/>
      <c r="K349" s="1"/>
      <c r="N349" s="31"/>
      <c r="O349" s="31"/>
      <c r="Q349" s="31"/>
      <c r="R349" s="31"/>
      <c r="S349" s="31"/>
      <c r="T349" s="31"/>
      <c r="U349" s="31"/>
      <c r="V349" s="31"/>
      <c r="AD349" s="1"/>
      <c r="AE349" s="1"/>
      <c r="AU349" s="391"/>
      <c r="AV349" s="391"/>
      <c r="AW349" s="391"/>
      <c r="AX349" s="391"/>
      <c r="AY349" s="391"/>
      <c r="AZ349" s="391"/>
      <c r="BA349" s="391"/>
      <c r="BB349" s="391"/>
    </row>
    <row r="350" spans="9:54" ht="18" x14ac:dyDescent="0.2">
      <c r="I350" s="104">
        <v>8</v>
      </c>
      <c r="J350" s="105" t="s">
        <v>439</v>
      </c>
      <c r="K350" s="105"/>
      <c r="L350" s="105"/>
      <c r="M350" s="106"/>
      <c r="N350" s="107"/>
      <c r="O350" s="107"/>
      <c r="P350" s="107"/>
      <c r="Q350" s="107"/>
      <c r="R350" s="107"/>
      <c r="S350" s="107"/>
      <c r="T350" s="107"/>
      <c r="U350" s="107"/>
      <c r="V350" s="107"/>
      <c r="W350" s="107"/>
      <c r="X350" s="107"/>
      <c r="Y350" s="107"/>
      <c r="Z350" s="107"/>
      <c r="AA350" s="107"/>
      <c r="AB350" s="107"/>
      <c r="AC350" s="107"/>
      <c r="AD350" s="1"/>
      <c r="AO350" s="391"/>
      <c r="AP350" s="391"/>
      <c r="AQ350" s="391"/>
      <c r="AR350" s="391"/>
      <c r="AS350" s="391"/>
      <c r="AT350" s="391"/>
    </row>
    <row r="351" spans="9:54" ht="15.75" x14ac:dyDescent="0.25">
      <c r="I351" s="31"/>
      <c r="J351" s="31"/>
      <c r="K351" s="31"/>
      <c r="L351" s="31"/>
      <c r="M351" s="31"/>
      <c r="N351" s="31"/>
      <c r="O351" s="31"/>
      <c r="P351" s="31"/>
      <c r="Q351" s="31"/>
      <c r="R351" s="31"/>
      <c r="S351" s="31"/>
      <c r="T351" s="31"/>
      <c r="U351" s="31"/>
      <c r="V351" s="31"/>
      <c r="AD351" s="1"/>
      <c r="AO351" s="391"/>
      <c r="AP351" s="391"/>
      <c r="AQ351" s="391"/>
      <c r="AR351" s="391"/>
      <c r="AS351" s="391"/>
      <c r="AT351" s="391"/>
      <c r="AU351" s="391"/>
      <c r="AV351" s="391"/>
      <c r="AW351" s="391"/>
      <c r="AX351" s="391"/>
      <c r="AY351" s="391"/>
      <c r="AZ351" s="391"/>
      <c r="BA351" s="391"/>
      <c r="BB351" s="391"/>
    </row>
    <row r="352" spans="9:54" x14ac:dyDescent="0.3">
      <c r="I352" s="1"/>
      <c r="O352" s="697" t="str">
        <f>J11</f>
        <v>Currency:</v>
      </c>
      <c r="P352" s="698" t="s">
        <v>11</v>
      </c>
      <c r="Q352" s="699"/>
      <c r="R352" s="700" t="s">
        <v>273</v>
      </c>
      <c r="S352" s="701" t="str">
        <f>COUNTIF(N16:AC16,"&gt;100")&amp;" yrs"</f>
        <v>0 yrs</v>
      </c>
      <c r="U352" s="697" t="str">
        <f>N363</f>
        <v>USD</v>
      </c>
      <c r="V352" s="698" t="s">
        <v>11</v>
      </c>
      <c r="W352" s="699"/>
      <c r="X352" s="700" t="s">
        <v>273</v>
      </c>
      <c r="Y352" s="701" t="str">
        <f>COUNTIF(N16:AC16,"&gt;100")&amp;" yrs"</f>
        <v>0 yrs</v>
      </c>
    </row>
    <row r="353" spans="8:31" x14ac:dyDescent="0.3">
      <c r="I353" s="1"/>
      <c r="O353" s="702" t="s">
        <v>445</v>
      </c>
      <c r="P353" s="703">
        <f>L16</f>
        <v>0</v>
      </c>
      <c r="Q353" s="110"/>
      <c r="R353" s="704" t="s">
        <v>381</v>
      </c>
      <c r="S353" s="705" t="str">
        <f>ROUND($L$94,1)&amp;" yrs"</f>
        <v>8 yrs</v>
      </c>
      <c r="U353" s="702" t="s">
        <v>445</v>
      </c>
      <c r="V353" s="706">
        <f>L372</f>
        <v>0</v>
      </c>
      <c r="W353" s="110"/>
      <c r="X353" s="704" t="s">
        <v>381</v>
      </c>
      <c r="Y353" s="705" t="str">
        <f>ROUND(L94,1)&amp;" yrs"</f>
        <v>8 yrs</v>
      </c>
    </row>
    <row r="354" spans="8:31" x14ac:dyDescent="0.3">
      <c r="I354" s="1"/>
      <c r="O354" s="702" t="s">
        <v>274</v>
      </c>
      <c r="P354" s="703">
        <f>MAX(N16:AC16)</f>
        <v>0</v>
      </c>
      <c r="Q354" s="110"/>
      <c r="R354" s="704" t="s">
        <v>275</v>
      </c>
      <c r="S354" s="705" t="str">
        <f>L12&amp;"-"&amp;L11</f>
        <v>6-2025</v>
      </c>
      <c r="U354" s="702" t="s">
        <v>274</v>
      </c>
      <c r="V354" s="706">
        <f>MAX(N372:AC372)</f>
        <v>0</v>
      </c>
      <c r="W354" s="110"/>
      <c r="X354" s="704" t="s">
        <v>275</v>
      </c>
      <c r="Y354" s="705" t="str">
        <f>L12&amp;"-"&amp;L11</f>
        <v>6-2025</v>
      </c>
    </row>
    <row r="355" spans="8:31" x14ac:dyDescent="0.3">
      <c r="I355" s="1"/>
      <c r="O355" s="702" t="s">
        <v>446</v>
      </c>
      <c r="P355" s="703">
        <f>L20</f>
        <v>0</v>
      </c>
      <c r="Q355" s="110"/>
      <c r="R355" s="704" t="s">
        <v>447</v>
      </c>
      <c r="S355" s="707">
        <f>L17</f>
        <v>0</v>
      </c>
      <c r="U355" s="702" t="s">
        <v>446</v>
      </c>
      <c r="V355" s="706">
        <f>L376</f>
        <v>0</v>
      </c>
      <c r="W355" s="110"/>
      <c r="X355" s="704" t="s">
        <v>447</v>
      </c>
      <c r="Y355" s="707">
        <f>L17</f>
        <v>0</v>
      </c>
    </row>
    <row r="356" spans="8:31" x14ac:dyDescent="0.3">
      <c r="I356" s="1"/>
      <c r="O356" s="702" t="s">
        <v>382</v>
      </c>
      <c r="P356" s="703">
        <f>L24</f>
        <v>0</v>
      </c>
      <c r="Q356" s="110"/>
      <c r="R356" s="704" t="s">
        <v>448</v>
      </c>
      <c r="S356" s="708">
        <f>L19</f>
        <v>0</v>
      </c>
      <c r="U356" s="702" t="s">
        <v>382</v>
      </c>
      <c r="V356" s="706">
        <f>L380</f>
        <v>0</v>
      </c>
      <c r="W356" s="110"/>
      <c r="X356" s="704" t="s">
        <v>448</v>
      </c>
      <c r="Y356" s="708">
        <f>L19</f>
        <v>0</v>
      </c>
    </row>
    <row r="357" spans="8:31" x14ac:dyDescent="0.3">
      <c r="I357" s="1"/>
      <c r="O357" s="709" t="s">
        <v>383</v>
      </c>
      <c r="P357" s="703">
        <f>L25</f>
        <v>0</v>
      </c>
      <c r="Q357" s="110"/>
      <c r="R357" s="704" t="s">
        <v>449</v>
      </c>
      <c r="S357" s="710">
        <f>L21</f>
        <v>0</v>
      </c>
      <c r="U357" s="709" t="s">
        <v>383</v>
      </c>
      <c r="V357" s="706">
        <f>L381</f>
        <v>0</v>
      </c>
      <c r="W357" s="110"/>
      <c r="X357" s="704" t="s">
        <v>449</v>
      </c>
      <c r="Y357" s="710">
        <f>L21</f>
        <v>0</v>
      </c>
    </row>
    <row r="358" spans="8:31" x14ac:dyDescent="0.3">
      <c r="I358" s="1"/>
      <c r="O358" s="709" t="s">
        <v>276</v>
      </c>
      <c r="P358" s="703">
        <f>L27</f>
        <v>0</v>
      </c>
      <c r="Q358" s="110"/>
      <c r="R358" s="704" t="s">
        <v>450</v>
      </c>
      <c r="S358" s="707">
        <f>K166</f>
        <v>0</v>
      </c>
      <c r="U358" s="709" t="s">
        <v>276</v>
      </c>
      <c r="V358" s="706">
        <f>L383</f>
        <v>0</v>
      </c>
      <c r="W358" s="110"/>
      <c r="X358" s="704" t="s">
        <v>450</v>
      </c>
      <c r="Y358" s="707">
        <f>K166</f>
        <v>0</v>
      </c>
    </row>
    <row r="359" spans="8:31" x14ac:dyDescent="0.3">
      <c r="I359" s="1"/>
      <c r="O359" s="711" t="s">
        <v>278</v>
      </c>
      <c r="P359" s="712">
        <f>L38</f>
        <v>0</v>
      </c>
      <c r="Q359" s="713"/>
      <c r="R359" s="714" t="s">
        <v>277</v>
      </c>
      <c r="S359" s="715">
        <f>L326</f>
        <v>0</v>
      </c>
      <c r="U359" s="711" t="s">
        <v>278</v>
      </c>
      <c r="V359" s="716">
        <f>L394</f>
        <v>0</v>
      </c>
      <c r="W359" s="713"/>
      <c r="X359" s="714" t="s">
        <v>277</v>
      </c>
      <c r="Y359" s="715">
        <f>L326</f>
        <v>0</v>
      </c>
    </row>
    <row r="360" spans="8:31" ht="17.25" thickBot="1" x14ac:dyDescent="0.35">
      <c r="H360" s="423"/>
      <c r="I360" s="424"/>
      <c r="J360" s="423"/>
      <c r="K360" s="425"/>
      <c r="L360" s="423"/>
      <c r="M360" s="423"/>
      <c r="N360" s="423"/>
      <c r="O360" s="423"/>
      <c r="P360" s="423"/>
      <c r="Q360" s="423"/>
      <c r="R360" s="423"/>
      <c r="S360" s="423"/>
      <c r="T360" s="423"/>
      <c r="U360" s="423"/>
      <c r="V360" s="423"/>
      <c r="W360" s="423"/>
      <c r="X360" s="423"/>
      <c r="Y360" s="423"/>
      <c r="Z360" s="423"/>
      <c r="AA360" s="423"/>
      <c r="AB360" s="423"/>
      <c r="AC360" s="423"/>
      <c r="AE360" s="1"/>
    </row>
    <row r="361" spans="8:31" ht="15" thickTop="1" x14ac:dyDescent="0.2">
      <c r="I361" s="1"/>
      <c r="K361" s="581"/>
      <c r="L361" s="581"/>
      <c r="M361" s="581"/>
      <c r="N361" s="581"/>
      <c r="AD361" s="1"/>
      <c r="AE361" s="1"/>
    </row>
    <row r="362" spans="8:31" ht="18" x14ac:dyDescent="0.2">
      <c r="I362" s="582">
        <v>9</v>
      </c>
      <c r="J362" s="583" t="s">
        <v>417</v>
      </c>
      <c r="K362" s="583"/>
      <c r="L362" s="584"/>
      <c r="M362" s="584"/>
      <c r="N362" s="585"/>
      <c r="O362" s="585"/>
      <c r="P362" s="585"/>
      <c r="Q362" s="585"/>
      <c r="R362" s="585"/>
      <c r="S362" s="585"/>
      <c r="T362" s="585"/>
      <c r="U362" s="585"/>
      <c r="V362" s="585"/>
      <c r="W362" s="585"/>
      <c r="X362" s="585"/>
      <c r="Y362" s="585"/>
      <c r="Z362" s="585"/>
      <c r="AA362" s="585"/>
      <c r="AB362" s="585"/>
      <c r="AC362" s="585"/>
      <c r="AD362" s="1"/>
      <c r="AE362" s="1"/>
    </row>
    <row r="363" spans="8:31" ht="15.4" customHeight="1" x14ac:dyDescent="0.25">
      <c r="I363" s="1191" t="s">
        <v>418</v>
      </c>
      <c r="J363" s="1191"/>
      <c r="K363" s="1184" t="s">
        <v>419</v>
      </c>
      <c r="L363" s="1184"/>
      <c r="N363" s="719" t="s">
        <v>420</v>
      </c>
      <c r="AD363" s="1"/>
      <c r="AE363" s="1"/>
    </row>
    <row r="364" spans="8:31" ht="15.75" x14ac:dyDescent="0.25">
      <c r="I364" s="1191"/>
      <c r="J364" s="1191"/>
      <c r="K364" s="1184" t="s">
        <v>421</v>
      </c>
      <c r="L364" s="1184"/>
      <c r="N364" s="719" t="str">
        <f>L8</f>
        <v>Currency:</v>
      </c>
      <c r="AD364" s="1"/>
      <c r="AE364" s="1"/>
    </row>
    <row r="365" spans="8:31" ht="15.4" customHeight="1" x14ac:dyDescent="0.2">
      <c r="I365" s="586"/>
      <c r="J365" s="587"/>
      <c r="K365" s="1184" t="str">
        <f>"Exch.Rate "&amp;N363&amp;"1.0 = "&amp;N364&amp;":?"</f>
        <v>Exch.Rate USD1.0 = Currency::?</v>
      </c>
      <c r="L365" s="1184"/>
      <c r="N365" s="588">
        <v>1</v>
      </c>
      <c r="O365" s="589" t="s">
        <v>422</v>
      </c>
      <c r="AD365" s="1"/>
      <c r="AE365" s="1"/>
    </row>
    <row r="366" spans="8:31" ht="6" customHeight="1" x14ac:dyDescent="0.2">
      <c r="I366" s="1"/>
      <c r="K366" s="1"/>
      <c r="AD366" s="1"/>
      <c r="AE366" s="1"/>
    </row>
    <row r="367" spans="8:31" ht="16.5" customHeight="1" x14ac:dyDescent="0.25">
      <c r="I367" s="590"/>
      <c r="J367" s="1185" t="s">
        <v>420</v>
      </c>
      <c r="K367" s="22" t="s">
        <v>5</v>
      </c>
      <c r="L367" s="591">
        <f>L11</f>
        <v>2025</v>
      </c>
      <c r="N367" s="592">
        <f t="shared" ref="N367:AC368" si="207">N11</f>
        <v>2024</v>
      </c>
      <c r="O367" s="24">
        <f t="shared" si="207"/>
        <v>2025</v>
      </c>
      <c r="P367" s="24">
        <f t="shared" si="207"/>
        <v>2026</v>
      </c>
      <c r="Q367" s="24">
        <f t="shared" si="207"/>
        <v>2027</v>
      </c>
      <c r="R367" s="24">
        <f t="shared" si="207"/>
        <v>2028</v>
      </c>
      <c r="S367" s="24">
        <f t="shared" si="207"/>
        <v>2029</v>
      </c>
      <c r="T367" s="24">
        <f t="shared" si="207"/>
        <v>2030</v>
      </c>
      <c r="U367" s="24">
        <f t="shared" si="207"/>
        <v>2031</v>
      </c>
      <c r="V367" s="24">
        <f t="shared" si="207"/>
        <v>2032</v>
      </c>
      <c r="W367" s="24">
        <f t="shared" si="207"/>
        <v>2033</v>
      </c>
      <c r="X367" s="24">
        <f t="shared" si="207"/>
        <v>2034</v>
      </c>
      <c r="Y367" s="24">
        <f t="shared" si="207"/>
        <v>2035</v>
      </c>
      <c r="Z367" s="24">
        <f t="shared" si="207"/>
        <v>2036</v>
      </c>
      <c r="AA367" s="24">
        <f t="shared" si="207"/>
        <v>2037</v>
      </c>
      <c r="AB367" s="24">
        <f t="shared" si="207"/>
        <v>2038</v>
      </c>
      <c r="AC367" s="25">
        <f t="shared" si="207"/>
        <v>2039</v>
      </c>
      <c r="AD367" s="1"/>
      <c r="AE367" s="1"/>
    </row>
    <row r="368" spans="8:31" ht="21" customHeight="1" x14ac:dyDescent="0.3">
      <c r="I368" s="593"/>
      <c r="J368" s="1185"/>
      <c r="K368" s="27" t="s">
        <v>6</v>
      </c>
      <c r="L368" s="594">
        <f>L12</f>
        <v>6</v>
      </c>
      <c r="N368" s="595" t="str">
        <f t="shared" si="207"/>
        <v>Calendar Year</v>
      </c>
      <c r="O368" s="29" t="str">
        <f t="shared" si="207"/>
        <v>Calendar Year</v>
      </c>
      <c r="P368" s="29" t="str">
        <f t="shared" si="207"/>
        <v>Calendar Year</v>
      </c>
      <c r="Q368" s="29" t="str">
        <f t="shared" si="207"/>
        <v>Calendar Year</v>
      </c>
      <c r="R368" s="29" t="str">
        <f t="shared" si="207"/>
        <v>Calendar Year</v>
      </c>
      <c r="S368" s="29" t="str">
        <f t="shared" si="207"/>
        <v>Calendar Year</v>
      </c>
      <c r="T368" s="29" t="str">
        <f t="shared" si="207"/>
        <v>Calendar Year</v>
      </c>
      <c r="U368" s="29" t="str">
        <f t="shared" si="207"/>
        <v>Calendar Year</v>
      </c>
      <c r="V368" s="29" t="str">
        <f t="shared" si="207"/>
        <v>Calendar Year</v>
      </c>
      <c r="W368" s="29" t="str">
        <f t="shared" si="207"/>
        <v>Calendar Year</v>
      </c>
      <c r="X368" s="29" t="str">
        <f t="shared" si="207"/>
        <v>Calendar Year</v>
      </c>
      <c r="Y368" s="29" t="str">
        <f t="shared" si="207"/>
        <v>Calendar Year</v>
      </c>
      <c r="Z368" s="29" t="str">
        <f t="shared" si="207"/>
        <v>Calendar Year</v>
      </c>
      <c r="AA368" s="29" t="str">
        <f t="shared" si="207"/>
        <v>Calendar Year</v>
      </c>
      <c r="AB368" s="29" t="str">
        <f t="shared" si="207"/>
        <v>Calendar Year</v>
      </c>
      <c r="AC368" s="30" t="str">
        <f t="shared" si="207"/>
        <v>Calendar Year</v>
      </c>
      <c r="AD368" s="1"/>
      <c r="AE368" s="1"/>
    </row>
    <row r="369" spans="9:31" ht="17.25" thickBot="1" x14ac:dyDescent="0.35">
      <c r="AD369" s="1"/>
      <c r="AE369" s="1"/>
    </row>
    <row r="370" spans="9:31" ht="18" x14ac:dyDescent="0.2">
      <c r="I370" s="132">
        <v>1</v>
      </c>
      <c r="J370" s="33" t="s">
        <v>7</v>
      </c>
      <c r="K370" s="33"/>
      <c r="L370" s="34" t="s">
        <v>8</v>
      </c>
      <c r="N370" s="35"/>
      <c r="O370" s="36"/>
      <c r="P370" s="36"/>
      <c r="Q370" s="36"/>
      <c r="R370" s="36"/>
      <c r="S370" s="36"/>
      <c r="T370" s="36"/>
      <c r="U370" s="36"/>
      <c r="V370" s="36"/>
      <c r="W370" s="36"/>
      <c r="X370" s="36"/>
      <c r="Y370" s="36"/>
      <c r="Z370" s="36"/>
      <c r="AA370" s="36"/>
      <c r="AB370" s="36"/>
      <c r="AC370" s="37"/>
      <c r="AD370" s="1"/>
      <c r="AE370" s="1"/>
    </row>
    <row r="371" spans="9:31" ht="18" x14ac:dyDescent="0.4">
      <c r="I371" s="596" t="s">
        <v>9</v>
      </c>
      <c r="J371" s="597" t="s">
        <v>10</v>
      </c>
      <c r="K371" s="598"/>
      <c r="L371" s="599" t="s">
        <v>11</v>
      </c>
      <c r="N371" s="600"/>
      <c r="O371" s="601"/>
      <c r="P371" s="601"/>
      <c r="Q371" s="601"/>
      <c r="R371" s="601"/>
      <c r="S371" s="601"/>
      <c r="T371" s="601"/>
      <c r="U371" s="601"/>
      <c r="V371" s="601"/>
      <c r="W371" s="601"/>
      <c r="X371" s="601"/>
      <c r="Y371" s="601"/>
      <c r="Z371" s="601"/>
      <c r="AA371" s="601"/>
      <c r="AB371" s="601"/>
      <c r="AC371" s="602"/>
      <c r="AD371" s="1"/>
      <c r="AE371" s="1"/>
    </row>
    <row r="372" spans="9:31" ht="17.25" thickBot="1" x14ac:dyDescent="0.35">
      <c r="I372" s="596"/>
      <c r="J372" s="603" t="s">
        <v>12</v>
      </c>
      <c r="K372" s="45" t="str">
        <f>"Years of Rev: "&amp;COUNTIF(N372:AC372,"&gt;0")&amp;" yrs"</f>
        <v>Years of Rev: 0 yrs</v>
      </c>
      <c r="L372" s="604">
        <f>SUM(N372:AC372)</f>
        <v>0</v>
      </c>
      <c r="N372" s="605">
        <f t="shared" ref="N372:AC372" si="208">N16/$N$365</f>
        <v>0</v>
      </c>
      <c r="O372" s="606">
        <f t="shared" si="208"/>
        <v>0</v>
      </c>
      <c r="P372" s="606">
        <f t="shared" si="208"/>
        <v>0</v>
      </c>
      <c r="Q372" s="606">
        <f t="shared" si="208"/>
        <v>0</v>
      </c>
      <c r="R372" s="606">
        <f t="shared" si="208"/>
        <v>0</v>
      </c>
      <c r="S372" s="606">
        <f t="shared" si="208"/>
        <v>0</v>
      </c>
      <c r="T372" s="606">
        <f t="shared" si="208"/>
        <v>0</v>
      </c>
      <c r="U372" s="606">
        <f t="shared" si="208"/>
        <v>0</v>
      </c>
      <c r="V372" s="606">
        <f t="shared" si="208"/>
        <v>0</v>
      </c>
      <c r="W372" s="606">
        <f t="shared" si="208"/>
        <v>0</v>
      </c>
      <c r="X372" s="606">
        <f t="shared" si="208"/>
        <v>0</v>
      </c>
      <c r="Y372" s="606">
        <f t="shared" si="208"/>
        <v>0</v>
      </c>
      <c r="Z372" s="606">
        <f t="shared" si="208"/>
        <v>0</v>
      </c>
      <c r="AA372" s="606">
        <f t="shared" si="208"/>
        <v>0</v>
      </c>
      <c r="AB372" s="606">
        <f t="shared" si="208"/>
        <v>0</v>
      </c>
      <c r="AC372" s="607">
        <f t="shared" si="208"/>
        <v>0</v>
      </c>
      <c r="AD372" s="1"/>
      <c r="AE372" s="1"/>
    </row>
    <row r="373" spans="9:31" thickTop="1" x14ac:dyDescent="0.25">
      <c r="I373" s="608"/>
      <c r="J373" s="609" t="s">
        <v>13</v>
      </c>
      <c r="K373" s="608"/>
      <c r="L373" s="610">
        <f>L17</f>
        <v>0</v>
      </c>
      <c r="M373" s="50"/>
      <c r="N373" s="611">
        <f t="shared" ref="N373:AC373" si="209">N17</f>
        <v>0</v>
      </c>
      <c r="O373" s="612">
        <f t="shared" si="209"/>
        <v>0</v>
      </c>
      <c r="P373" s="612">
        <f t="shared" si="209"/>
        <v>0</v>
      </c>
      <c r="Q373" s="612">
        <f t="shared" si="209"/>
        <v>0</v>
      </c>
      <c r="R373" s="612">
        <f t="shared" si="209"/>
        <v>0</v>
      </c>
      <c r="S373" s="612">
        <f t="shared" si="209"/>
        <v>0</v>
      </c>
      <c r="T373" s="612">
        <f t="shared" si="209"/>
        <v>0</v>
      </c>
      <c r="U373" s="612">
        <f t="shared" si="209"/>
        <v>0</v>
      </c>
      <c r="V373" s="612">
        <f t="shared" si="209"/>
        <v>0</v>
      </c>
      <c r="W373" s="612">
        <f t="shared" si="209"/>
        <v>0</v>
      </c>
      <c r="X373" s="612">
        <f t="shared" si="209"/>
        <v>0</v>
      </c>
      <c r="Y373" s="612">
        <f t="shared" si="209"/>
        <v>0</v>
      </c>
      <c r="Z373" s="612">
        <f t="shared" si="209"/>
        <v>0</v>
      </c>
      <c r="AA373" s="612">
        <f t="shared" si="209"/>
        <v>0</v>
      </c>
      <c r="AB373" s="612">
        <f t="shared" si="209"/>
        <v>0</v>
      </c>
      <c r="AC373" s="613">
        <f t="shared" si="209"/>
        <v>0</v>
      </c>
      <c r="AD373" s="1"/>
      <c r="AE373" s="1"/>
    </row>
    <row r="374" spans="9:31" ht="15.75" x14ac:dyDescent="0.25">
      <c r="I374" s="596"/>
      <c r="J374" s="614" t="s">
        <v>14</v>
      </c>
      <c r="K374" s="596"/>
      <c r="L374" s="615">
        <f>SUM(N374:AC374)</f>
        <v>0</v>
      </c>
      <c r="N374" s="616">
        <f t="shared" ref="N374:AC374" si="210">N18/$N$365</f>
        <v>0</v>
      </c>
      <c r="O374" s="617">
        <f t="shared" si="210"/>
        <v>0</v>
      </c>
      <c r="P374" s="617">
        <f t="shared" si="210"/>
        <v>0</v>
      </c>
      <c r="Q374" s="617">
        <f t="shared" si="210"/>
        <v>0</v>
      </c>
      <c r="R374" s="617">
        <f t="shared" si="210"/>
        <v>0</v>
      </c>
      <c r="S374" s="617">
        <f t="shared" si="210"/>
        <v>0</v>
      </c>
      <c r="T374" s="617">
        <f t="shared" si="210"/>
        <v>0</v>
      </c>
      <c r="U374" s="617">
        <f t="shared" si="210"/>
        <v>0</v>
      </c>
      <c r="V374" s="617">
        <f t="shared" si="210"/>
        <v>0</v>
      </c>
      <c r="W374" s="617">
        <f t="shared" si="210"/>
        <v>0</v>
      </c>
      <c r="X374" s="617">
        <f t="shared" si="210"/>
        <v>0</v>
      </c>
      <c r="Y374" s="617">
        <f t="shared" si="210"/>
        <v>0</v>
      </c>
      <c r="Z374" s="617">
        <f t="shared" si="210"/>
        <v>0</v>
      </c>
      <c r="AA374" s="617">
        <f t="shared" si="210"/>
        <v>0</v>
      </c>
      <c r="AB374" s="617">
        <f t="shared" si="210"/>
        <v>0</v>
      </c>
      <c r="AC374" s="618">
        <f t="shared" si="210"/>
        <v>0</v>
      </c>
      <c r="AD374" s="1"/>
      <c r="AE374" s="1"/>
    </row>
    <row r="375" spans="9:31" ht="15.75" x14ac:dyDescent="0.25">
      <c r="I375" s="596"/>
      <c r="J375" s="614" t="s">
        <v>15</v>
      </c>
      <c r="K375" s="596"/>
      <c r="L375" s="619">
        <f>IFERROR(L374/L$372,0)</f>
        <v>0</v>
      </c>
      <c r="N375" s="620">
        <f>IFERROR(N374/N372,)</f>
        <v>0</v>
      </c>
      <c r="O375" s="621">
        <f t="shared" ref="O375:AC375" si="211">IFERROR(O374/O372,)</f>
        <v>0</v>
      </c>
      <c r="P375" s="621">
        <f t="shared" si="211"/>
        <v>0</v>
      </c>
      <c r="Q375" s="621">
        <f t="shared" si="211"/>
        <v>0</v>
      </c>
      <c r="R375" s="621">
        <f t="shared" si="211"/>
        <v>0</v>
      </c>
      <c r="S375" s="621">
        <f t="shared" si="211"/>
        <v>0</v>
      </c>
      <c r="T375" s="621">
        <f t="shared" si="211"/>
        <v>0</v>
      </c>
      <c r="U375" s="621">
        <f t="shared" si="211"/>
        <v>0</v>
      </c>
      <c r="V375" s="621">
        <f t="shared" si="211"/>
        <v>0</v>
      </c>
      <c r="W375" s="621">
        <f t="shared" si="211"/>
        <v>0</v>
      </c>
      <c r="X375" s="621">
        <f t="shared" si="211"/>
        <v>0</v>
      </c>
      <c r="Y375" s="621">
        <f t="shared" si="211"/>
        <v>0</v>
      </c>
      <c r="Z375" s="621">
        <f t="shared" si="211"/>
        <v>0</v>
      </c>
      <c r="AA375" s="621">
        <f t="shared" si="211"/>
        <v>0</v>
      </c>
      <c r="AB375" s="621">
        <f t="shared" si="211"/>
        <v>0</v>
      </c>
      <c r="AC375" s="622">
        <f t="shared" si="211"/>
        <v>0</v>
      </c>
      <c r="AD375" s="1"/>
      <c r="AE375" s="1"/>
    </row>
    <row r="376" spans="9:31" ht="15.75" x14ac:dyDescent="0.25">
      <c r="I376" s="596"/>
      <c r="J376" s="603" t="s">
        <v>16</v>
      </c>
      <c r="K376" s="596"/>
      <c r="L376" s="623">
        <f>SUM(N376:AC376)</f>
        <v>0</v>
      </c>
      <c r="N376" s="624">
        <f t="shared" ref="N376:AC376" si="212">N20/$N$365</f>
        <v>0</v>
      </c>
      <c r="O376" s="625">
        <f t="shared" si="212"/>
        <v>0</v>
      </c>
      <c r="P376" s="625">
        <f t="shared" si="212"/>
        <v>0</v>
      </c>
      <c r="Q376" s="625">
        <f t="shared" si="212"/>
        <v>0</v>
      </c>
      <c r="R376" s="625">
        <f t="shared" si="212"/>
        <v>0</v>
      </c>
      <c r="S376" s="625">
        <f t="shared" si="212"/>
        <v>0</v>
      </c>
      <c r="T376" s="625">
        <f t="shared" si="212"/>
        <v>0</v>
      </c>
      <c r="U376" s="625">
        <f t="shared" si="212"/>
        <v>0</v>
      </c>
      <c r="V376" s="625">
        <f t="shared" si="212"/>
        <v>0</v>
      </c>
      <c r="W376" s="625">
        <f t="shared" si="212"/>
        <v>0</v>
      </c>
      <c r="X376" s="625">
        <f t="shared" si="212"/>
        <v>0</v>
      </c>
      <c r="Y376" s="625">
        <f t="shared" si="212"/>
        <v>0</v>
      </c>
      <c r="Z376" s="625">
        <f t="shared" si="212"/>
        <v>0</v>
      </c>
      <c r="AA376" s="625">
        <f t="shared" si="212"/>
        <v>0</v>
      </c>
      <c r="AB376" s="625">
        <f t="shared" si="212"/>
        <v>0</v>
      </c>
      <c r="AC376" s="626">
        <f t="shared" si="212"/>
        <v>0</v>
      </c>
      <c r="AD376" s="1"/>
      <c r="AE376" s="1"/>
    </row>
    <row r="377" spans="9:31" ht="15.75" x14ac:dyDescent="0.25">
      <c r="I377" s="596"/>
      <c r="J377" s="566" t="s">
        <v>423</v>
      </c>
      <c r="K377" s="596"/>
      <c r="L377" s="627">
        <f>L21</f>
        <v>0</v>
      </c>
      <c r="N377" s="628">
        <f t="shared" ref="N377:AC378" si="213">N21</f>
        <v>0</v>
      </c>
      <c r="O377" s="629">
        <f t="shared" si="213"/>
        <v>0</v>
      </c>
      <c r="P377" s="629">
        <f t="shared" si="213"/>
        <v>0</v>
      </c>
      <c r="Q377" s="629">
        <f t="shared" si="213"/>
        <v>0</v>
      </c>
      <c r="R377" s="629">
        <f t="shared" si="213"/>
        <v>0</v>
      </c>
      <c r="S377" s="629">
        <f t="shared" si="213"/>
        <v>0</v>
      </c>
      <c r="T377" s="629">
        <f t="shared" si="213"/>
        <v>0</v>
      </c>
      <c r="U377" s="629">
        <f t="shared" si="213"/>
        <v>0</v>
      </c>
      <c r="V377" s="629">
        <f t="shared" si="213"/>
        <v>0</v>
      </c>
      <c r="W377" s="629">
        <f t="shared" si="213"/>
        <v>0</v>
      </c>
      <c r="X377" s="629">
        <f t="shared" si="213"/>
        <v>0</v>
      </c>
      <c r="Y377" s="629">
        <f t="shared" si="213"/>
        <v>0</v>
      </c>
      <c r="Z377" s="629">
        <f t="shared" si="213"/>
        <v>0</v>
      </c>
      <c r="AA377" s="629">
        <f t="shared" si="213"/>
        <v>0</v>
      </c>
      <c r="AB377" s="629">
        <f t="shared" si="213"/>
        <v>0</v>
      </c>
      <c r="AC377" s="630">
        <f t="shared" si="213"/>
        <v>0</v>
      </c>
      <c r="AD377" s="1"/>
      <c r="AE377" s="1"/>
    </row>
    <row r="378" spans="9:31" ht="15.75" x14ac:dyDescent="0.25">
      <c r="I378" s="631"/>
      <c r="J378" s="538" t="s">
        <v>424</v>
      </c>
      <c r="K378" s="631"/>
      <c r="L378" s="632">
        <f>L22</f>
        <v>0</v>
      </c>
      <c r="M378" s="633"/>
      <c r="N378" s="634">
        <f t="shared" si="213"/>
        <v>0</v>
      </c>
      <c r="O378" s="635">
        <f t="shared" si="213"/>
        <v>0</v>
      </c>
      <c r="P378" s="635">
        <f t="shared" si="213"/>
        <v>0</v>
      </c>
      <c r="Q378" s="635">
        <f t="shared" si="213"/>
        <v>0</v>
      </c>
      <c r="R378" s="635">
        <f t="shared" si="213"/>
        <v>0</v>
      </c>
      <c r="S378" s="635">
        <f t="shared" si="213"/>
        <v>0</v>
      </c>
      <c r="T378" s="635">
        <f t="shared" si="213"/>
        <v>0</v>
      </c>
      <c r="U378" s="635">
        <f t="shared" si="213"/>
        <v>0</v>
      </c>
      <c r="V378" s="635">
        <f t="shared" si="213"/>
        <v>0</v>
      </c>
      <c r="W378" s="635">
        <f t="shared" si="213"/>
        <v>0</v>
      </c>
      <c r="X378" s="635">
        <f t="shared" si="213"/>
        <v>0</v>
      </c>
      <c r="Y378" s="635">
        <f t="shared" si="213"/>
        <v>0</v>
      </c>
      <c r="Z378" s="635">
        <f t="shared" si="213"/>
        <v>0</v>
      </c>
      <c r="AA378" s="635">
        <f t="shared" si="213"/>
        <v>0</v>
      </c>
      <c r="AB378" s="635">
        <f t="shared" si="213"/>
        <v>0</v>
      </c>
      <c r="AC378" s="636">
        <f t="shared" si="213"/>
        <v>0</v>
      </c>
      <c r="AD378" s="1"/>
      <c r="AE378" s="1"/>
    </row>
    <row r="379" spans="9:31" thickBot="1" x14ac:dyDescent="0.3">
      <c r="I379" s="596"/>
      <c r="J379" s="598" t="s">
        <v>17</v>
      </c>
      <c r="K379" s="596"/>
      <c r="L379" s="637">
        <f>SUM(N379:AC379)</f>
        <v>0</v>
      </c>
      <c r="N379" s="638">
        <f t="shared" ref="N379:AC383" si="214">N23/$N$365</f>
        <v>0</v>
      </c>
      <c r="O379" s="639">
        <f t="shared" si="214"/>
        <v>0</v>
      </c>
      <c r="P379" s="639">
        <f t="shared" si="214"/>
        <v>0</v>
      </c>
      <c r="Q379" s="639">
        <f t="shared" si="214"/>
        <v>0</v>
      </c>
      <c r="R379" s="639">
        <f t="shared" si="214"/>
        <v>0</v>
      </c>
      <c r="S379" s="639">
        <f t="shared" si="214"/>
        <v>0</v>
      </c>
      <c r="T379" s="639">
        <f t="shared" si="214"/>
        <v>0</v>
      </c>
      <c r="U379" s="639">
        <f t="shared" si="214"/>
        <v>0</v>
      </c>
      <c r="V379" s="639">
        <f t="shared" si="214"/>
        <v>0</v>
      </c>
      <c r="W379" s="639">
        <f t="shared" si="214"/>
        <v>0</v>
      </c>
      <c r="X379" s="639">
        <f t="shared" si="214"/>
        <v>0</v>
      </c>
      <c r="Y379" s="639">
        <f t="shared" si="214"/>
        <v>0</v>
      </c>
      <c r="Z379" s="639">
        <f t="shared" si="214"/>
        <v>0</v>
      </c>
      <c r="AA379" s="639">
        <f t="shared" si="214"/>
        <v>0</v>
      </c>
      <c r="AB379" s="639">
        <f t="shared" si="214"/>
        <v>0</v>
      </c>
      <c r="AC379" s="640">
        <f t="shared" si="214"/>
        <v>0</v>
      </c>
      <c r="AD379" s="1"/>
      <c r="AE379" s="1"/>
    </row>
    <row r="380" spans="9:31" x14ac:dyDescent="0.3">
      <c r="I380" s="596"/>
      <c r="J380" s="641" t="s">
        <v>374</v>
      </c>
      <c r="K380" s="45" t="str">
        <f>"Useful Life@"&amp;ROUND(L497,2)&amp;"yrs"</f>
        <v>Useful Life@0yrs</v>
      </c>
      <c r="L380" s="642">
        <f>SUM(N380:AC380)</f>
        <v>0</v>
      </c>
      <c r="N380" s="643">
        <f t="shared" si="214"/>
        <v>0</v>
      </c>
      <c r="O380" s="644">
        <f t="shared" si="214"/>
        <v>0</v>
      </c>
      <c r="P380" s="644">
        <f t="shared" si="214"/>
        <v>0</v>
      </c>
      <c r="Q380" s="644">
        <f t="shared" si="214"/>
        <v>0</v>
      </c>
      <c r="R380" s="644">
        <f t="shared" si="214"/>
        <v>0</v>
      </c>
      <c r="S380" s="644">
        <f t="shared" si="214"/>
        <v>0</v>
      </c>
      <c r="T380" s="644">
        <f t="shared" si="214"/>
        <v>0</v>
      </c>
      <c r="U380" s="644">
        <f t="shared" si="214"/>
        <v>0</v>
      </c>
      <c r="V380" s="644">
        <f t="shared" si="214"/>
        <v>0</v>
      </c>
      <c r="W380" s="644">
        <f t="shared" si="214"/>
        <v>0</v>
      </c>
      <c r="X380" s="644">
        <f t="shared" si="214"/>
        <v>0</v>
      </c>
      <c r="Y380" s="644">
        <f t="shared" si="214"/>
        <v>0</v>
      </c>
      <c r="Z380" s="644">
        <f t="shared" si="214"/>
        <v>0</v>
      </c>
      <c r="AA380" s="644">
        <f t="shared" si="214"/>
        <v>0</v>
      </c>
      <c r="AB380" s="644">
        <f t="shared" si="214"/>
        <v>0</v>
      </c>
      <c r="AC380" s="645">
        <f t="shared" si="214"/>
        <v>0</v>
      </c>
      <c r="AD380" s="1"/>
      <c r="AE380" s="1"/>
    </row>
    <row r="381" spans="9:31" thickBot="1" x14ac:dyDescent="0.3">
      <c r="I381" s="596"/>
      <c r="J381" s="641" t="s">
        <v>375</v>
      </c>
      <c r="K381" s="596"/>
      <c r="L381" s="646">
        <f>SUM(N381:AC381)</f>
        <v>0</v>
      </c>
      <c r="N381" s="647">
        <f t="shared" si="214"/>
        <v>0</v>
      </c>
      <c r="O381" s="648">
        <f t="shared" si="214"/>
        <v>0</v>
      </c>
      <c r="P381" s="648">
        <f t="shared" si="214"/>
        <v>0</v>
      </c>
      <c r="Q381" s="648">
        <f t="shared" si="214"/>
        <v>0</v>
      </c>
      <c r="R381" s="648">
        <f t="shared" si="214"/>
        <v>0</v>
      </c>
      <c r="S381" s="648">
        <f t="shared" si="214"/>
        <v>0</v>
      </c>
      <c r="T381" s="648">
        <f t="shared" si="214"/>
        <v>0</v>
      </c>
      <c r="U381" s="648">
        <f t="shared" si="214"/>
        <v>0</v>
      </c>
      <c r="V381" s="648">
        <f t="shared" si="214"/>
        <v>0</v>
      </c>
      <c r="W381" s="648">
        <f t="shared" si="214"/>
        <v>0</v>
      </c>
      <c r="X381" s="648">
        <f t="shared" si="214"/>
        <v>0</v>
      </c>
      <c r="Y381" s="648">
        <f t="shared" si="214"/>
        <v>0</v>
      </c>
      <c r="Z381" s="648">
        <f t="shared" si="214"/>
        <v>0</v>
      </c>
      <c r="AA381" s="648">
        <f t="shared" si="214"/>
        <v>0</v>
      </c>
      <c r="AB381" s="648">
        <f t="shared" si="214"/>
        <v>0</v>
      </c>
      <c r="AC381" s="649">
        <f t="shared" si="214"/>
        <v>0</v>
      </c>
      <c r="AD381" s="1"/>
      <c r="AE381" s="1"/>
    </row>
    <row r="382" spans="9:31" ht="15.75" x14ac:dyDescent="0.25">
      <c r="I382" s="596"/>
      <c r="J382" s="650" t="str">
        <f>IF(L478&gt;0,"Annual Funding Gap (including IC asset transfer)","Annual Funding Gap")</f>
        <v>Annual Funding Gap</v>
      </c>
      <c r="K382" s="596"/>
      <c r="L382" s="651">
        <f>SUM(N382:AC382)</f>
        <v>0</v>
      </c>
      <c r="N382" s="643">
        <f t="shared" si="214"/>
        <v>0</v>
      </c>
      <c r="O382" s="644">
        <f t="shared" si="214"/>
        <v>0</v>
      </c>
      <c r="P382" s="644">
        <f t="shared" si="214"/>
        <v>0</v>
      </c>
      <c r="Q382" s="644">
        <f t="shared" si="214"/>
        <v>0</v>
      </c>
      <c r="R382" s="644">
        <f t="shared" si="214"/>
        <v>0</v>
      </c>
      <c r="S382" s="644">
        <f t="shared" si="214"/>
        <v>0</v>
      </c>
      <c r="T382" s="644">
        <f t="shared" si="214"/>
        <v>0</v>
      </c>
      <c r="U382" s="644">
        <f t="shared" si="214"/>
        <v>0</v>
      </c>
      <c r="V382" s="644">
        <f t="shared" si="214"/>
        <v>0</v>
      </c>
      <c r="W382" s="644">
        <f t="shared" si="214"/>
        <v>0</v>
      </c>
      <c r="X382" s="644">
        <f t="shared" si="214"/>
        <v>0</v>
      </c>
      <c r="Y382" s="644">
        <f t="shared" si="214"/>
        <v>0</v>
      </c>
      <c r="Z382" s="644">
        <f t="shared" si="214"/>
        <v>0</v>
      </c>
      <c r="AA382" s="644">
        <f t="shared" si="214"/>
        <v>0</v>
      </c>
      <c r="AB382" s="644">
        <f t="shared" si="214"/>
        <v>0</v>
      </c>
      <c r="AC382" s="645">
        <f t="shared" si="214"/>
        <v>0</v>
      </c>
      <c r="AD382" s="1"/>
      <c r="AE382" s="1"/>
    </row>
    <row r="383" spans="9:31" thickBot="1" x14ac:dyDescent="0.3">
      <c r="I383" s="596"/>
      <c r="J383" s="650" t="str">
        <f>IF(L478&gt;0,"Peak Funding Gap (including IC asset transfer)","Peak Funding Gap")</f>
        <v>Peak Funding Gap</v>
      </c>
      <c r="K383" s="596"/>
      <c r="L383" s="652">
        <f>MIN(N383:AC383)</f>
        <v>0</v>
      </c>
      <c r="N383" s="647">
        <f t="shared" si="214"/>
        <v>0</v>
      </c>
      <c r="O383" s="648">
        <f t="shared" si="214"/>
        <v>0</v>
      </c>
      <c r="P383" s="648">
        <f t="shared" si="214"/>
        <v>0</v>
      </c>
      <c r="Q383" s="648">
        <f t="shared" si="214"/>
        <v>0</v>
      </c>
      <c r="R383" s="648">
        <f t="shared" si="214"/>
        <v>0</v>
      </c>
      <c r="S383" s="648">
        <f t="shared" si="214"/>
        <v>0</v>
      </c>
      <c r="T383" s="648">
        <f t="shared" si="214"/>
        <v>0</v>
      </c>
      <c r="U383" s="648">
        <f t="shared" si="214"/>
        <v>0</v>
      </c>
      <c r="V383" s="648">
        <f t="shared" si="214"/>
        <v>0</v>
      </c>
      <c r="W383" s="648">
        <f t="shared" si="214"/>
        <v>0</v>
      </c>
      <c r="X383" s="648">
        <f t="shared" si="214"/>
        <v>0</v>
      </c>
      <c r="Y383" s="648">
        <f t="shared" si="214"/>
        <v>0</v>
      </c>
      <c r="Z383" s="648">
        <f t="shared" si="214"/>
        <v>0</v>
      </c>
      <c r="AA383" s="648">
        <f t="shared" si="214"/>
        <v>0</v>
      </c>
      <c r="AB383" s="648">
        <f t="shared" si="214"/>
        <v>0</v>
      </c>
      <c r="AC383" s="649">
        <f t="shared" si="214"/>
        <v>0</v>
      </c>
      <c r="AD383" s="1"/>
      <c r="AE383" s="1"/>
    </row>
    <row r="384" spans="9:31" ht="14.25" outlineLevel="1" x14ac:dyDescent="0.2">
      <c r="I384" s="1"/>
      <c r="K384" s="1"/>
      <c r="AD384" s="1"/>
      <c r="AE384" s="1"/>
    </row>
    <row r="385" spans="9:31" ht="18" outlineLevel="1" x14ac:dyDescent="0.4">
      <c r="I385" s="1"/>
      <c r="J385" s="653" t="s">
        <v>18</v>
      </c>
      <c r="K385" s="1"/>
      <c r="AD385" s="1"/>
      <c r="AE385" s="1"/>
    </row>
    <row r="386" spans="9:31" outlineLevel="1" x14ac:dyDescent="0.3">
      <c r="I386" s="596"/>
      <c r="J386" s="654" t="s">
        <v>19</v>
      </c>
      <c r="K386" s="655" t="s">
        <v>20</v>
      </c>
      <c r="L386" s="656">
        <f>SUM(N386:AC386)</f>
        <v>0</v>
      </c>
      <c r="M386" s="76"/>
      <c r="N386" s="657">
        <f t="shared" ref="N386:AC387" si="215">N30/$N$365</f>
        <v>0</v>
      </c>
      <c r="O386" s="658">
        <f t="shared" si="215"/>
        <v>0</v>
      </c>
      <c r="P386" s="658">
        <f t="shared" si="215"/>
        <v>0</v>
      </c>
      <c r="Q386" s="658">
        <f t="shared" si="215"/>
        <v>0</v>
      </c>
      <c r="R386" s="658">
        <f t="shared" si="215"/>
        <v>0</v>
      </c>
      <c r="S386" s="658">
        <f t="shared" si="215"/>
        <v>0</v>
      </c>
      <c r="T386" s="658">
        <f t="shared" si="215"/>
        <v>0</v>
      </c>
      <c r="U386" s="658">
        <f t="shared" si="215"/>
        <v>0</v>
      </c>
      <c r="V386" s="658">
        <f t="shared" si="215"/>
        <v>0</v>
      </c>
      <c r="W386" s="658">
        <f t="shared" si="215"/>
        <v>0</v>
      </c>
      <c r="X386" s="658">
        <f t="shared" si="215"/>
        <v>0</v>
      </c>
      <c r="Y386" s="658">
        <f t="shared" si="215"/>
        <v>0</v>
      </c>
      <c r="Z386" s="658">
        <f t="shared" si="215"/>
        <v>0</v>
      </c>
      <c r="AA386" s="658">
        <f t="shared" si="215"/>
        <v>0</v>
      </c>
      <c r="AB386" s="658">
        <f t="shared" si="215"/>
        <v>0</v>
      </c>
      <c r="AC386" s="659">
        <f t="shared" si="215"/>
        <v>0</v>
      </c>
      <c r="AD386" s="1"/>
      <c r="AE386" s="1"/>
    </row>
    <row r="387" spans="9:31" outlineLevel="1" x14ac:dyDescent="0.3">
      <c r="I387" s="596"/>
      <c r="J387" s="660" t="s">
        <v>21</v>
      </c>
      <c r="K387" s="655" t="str">
        <f>IF(P510="Yes","Imputed in ROI","Not imputed in ROI")</f>
        <v>Not imputed in ROI</v>
      </c>
      <c r="L387" s="661">
        <f>SUM(N387:AC387)</f>
        <v>0</v>
      </c>
      <c r="M387" s="76"/>
      <c r="N387" s="662">
        <f t="shared" si="215"/>
        <v>0</v>
      </c>
      <c r="O387" s="663">
        <f t="shared" si="215"/>
        <v>0</v>
      </c>
      <c r="P387" s="663">
        <f t="shared" si="215"/>
        <v>0</v>
      </c>
      <c r="Q387" s="663">
        <f t="shared" si="215"/>
        <v>0</v>
      </c>
      <c r="R387" s="663">
        <f t="shared" si="215"/>
        <v>0</v>
      </c>
      <c r="S387" s="663">
        <f t="shared" si="215"/>
        <v>0</v>
      </c>
      <c r="T387" s="663">
        <f t="shared" si="215"/>
        <v>0</v>
      </c>
      <c r="U387" s="663">
        <f t="shared" si="215"/>
        <v>0</v>
      </c>
      <c r="V387" s="663">
        <f t="shared" si="215"/>
        <v>0</v>
      </c>
      <c r="W387" s="663">
        <f t="shared" si="215"/>
        <v>0</v>
      </c>
      <c r="X387" s="663">
        <f t="shared" si="215"/>
        <v>0</v>
      </c>
      <c r="Y387" s="663">
        <f t="shared" si="215"/>
        <v>0</v>
      </c>
      <c r="Z387" s="663">
        <f t="shared" si="215"/>
        <v>0</v>
      </c>
      <c r="AA387" s="663">
        <f t="shared" si="215"/>
        <v>0</v>
      </c>
      <c r="AB387" s="663">
        <f t="shared" si="215"/>
        <v>0</v>
      </c>
      <c r="AC387" s="664">
        <f t="shared" si="215"/>
        <v>0</v>
      </c>
      <c r="AD387" s="1"/>
      <c r="AE387" s="1"/>
    </row>
    <row r="388" spans="9:31" outlineLevel="1" thickBot="1" x14ac:dyDescent="0.3">
      <c r="I388" s="596"/>
      <c r="J388" s="641"/>
      <c r="K388" s="641"/>
      <c r="L388" s="641"/>
      <c r="N388" s="641"/>
      <c r="O388" s="641"/>
      <c r="P388" s="641"/>
      <c r="Q388" s="641"/>
      <c r="R388" s="641"/>
      <c r="S388" s="641"/>
      <c r="T388" s="641"/>
      <c r="U388" s="641"/>
      <c r="V388" s="641"/>
      <c r="W388" s="641"/>
      <c r="X388" s="641"/>
      <c r="Y388" s="641"/>
      <c r="Z388" s="641"/>
      <c r="AA388" s="641"/>
      <c r="AB388" s="641"/>
      <c r="AC388" s="641"/>
      <c r="AD388" s="1"/>
      <c r="AE388" s="1"/>
    </row>
    <row r="389" spans="9:31" ht="18" x14ac:dyDescent="0.4">
      <c r="I389" s="596" t="s">
        <v>22</v>
      </c>
      <c r="J389" s="597" t="s">
        <v>23</v>
      </c>
      <c r="K389" s="598"/>
      <c r="L389" s="665"/>
      <c r="N389" s="666"/>
      <c r="O389" s="667"/>
      <c r="P389" s="667"/>
      <c r="Q389" s="667"/>
      <c r="R389" s="667"/>
      <c r="S389" s="667"/>
      <c r="T389" s="667"/>
      <c r="U389" s="667"/>
      <c r="V389" s="667"/>
      <c r="W389" s="667"/>
      <c r="X389" s="667"/>
      <c r="Y389" s="667"/>
      <c r="Z389" s="667"/>
      <c r="AA389" s="667"/>
      <c r="AB389" s="667"/>
      <c r="AC389" s="668"/>
      <c r="AD389" s="1"/>
      <c r="AE389" s="1"/>
    </row>
    <row r="390" spans="9:31" ht="15.75" x14ac:dyDescent="0.25">
      <c r="I390" s="596"/>
      <c r="J390" s="598" t="s">
        <v>24</v>
      </c>
      <c r="K390" s="1186" t="str">
        <f>IFERROR(CONCATENATE("CPCF Multiple: ",ROUND(L390/L468,1),"x"),"MOIC Multiple")</f>
        <v>MOIC Multiple</v>
      </c>
      <c r="L390" s="669">
        <f>AC390</f>
        <v>0</v>
      </c>
      <c r="N390" s="616">
        <f t="shared" ref="N390:AC390" si="216">N34/$N$365</f>
        <v>0</v>
      </c>
      <c r="O390" s="617">
        <f t="shared" si="216"/>
        <v>0</v>
      </c>
      <c r="P390" s="617">
        <f t="shared" si="216"/>
        <v>0</v>
      </c>
      <c r="Q390" s="617">
        <f t="shared" si="216"/>
        <v>0</v>
      </c>
      <c r="R390" s="617">
        <f t="shared" si="216"/>
        <v>0</v>
      </c>
      <c r="S390" s="617">
        <f t="shared" si="216"/>
        <v>0</v>
      </c>
      <c r="T390" s="617">
        <f t="shared" si="216"/>
        <v>0</v>
      </c>
      <c r="U390" s="617">
        <f t="shared" si="216"/>
        <v>0</v>
      </c>
      <c r="V390" s="617">
        <f t="shared" si="216"/>
        <v>0</v>
      </c>
      <c r="W390" s="617">
        <f t="shared" si="216"/>
        <v>0</v>
      </c>
      <c r="X390" s="617">
        <f t="shared" si="216"/>
        <v>0</v>
      </c>
      <c r="Y390" s="617">
        <f t="shared" si="216"/>
        <v>0</v>
      </c>
      <c r="Z390" s="617">
        <f t="shared" si="216"/>
        <v>0</v>
      </c>
      <c r="AA390" s="617">
        <f t="shared" si="216"/>
        <v>0</v>
      </c>
      <c r="AB390" s="617">
        <f t="shared" si="216"/>
        <v>0</v>
      </c>
      <c r="AC390" s="618">
        <f t="shared" si="216"/>
        <v>0</v>
      </c>
      <c r="AD390" s="1"/>
      <c r="AE390" s="1"/>
    </row>
    <row r="391" spans="9:31" ht="16.5" customHeight="1" x14ac:dyDescent="0.25">
      <c r="I391" s="596"/>
      <c r="J391" s="598" t="s">
        <v>25</v>
      </c>
      <c r="K391" s="1186"/>
      <c r="L391" s="669" t="str">
        <f>L35</f>
        <v>0 yrs</v>
      </c>
      <c r="N391" s="670" t="str">
        <f t="shared" ref="N391:AC391" si="217">N35</f>
        <v>0 yrs</v>
      </c>
      <c r="O391" s="671" t="str">
        <f t="shared" si="217"/>
        <v>0 yrs</v>
      </c>
      <c r="P391" s="671" t="str">
        <f t="shared" si="217"/>
        <v>0 yrs</v>
      </c>
      <c r="Q391" s="671" t="str">
        <f t="shared" si="217"/>
        <v>0 yrs</v>
      </c>
      <c r="R391" s="671" t="str">
        <f t="shared" si="217"/>
        <v>0 yrs</v>
      </c>
      <c r="S391" s="671" t="str">
        <f t="shared" si="217"/>
        <v>0 yrs</v>
      </c>
      <c r="T391" s="671" t="str">
        <f t="shared" si="217"/>
        <v>0 yrs</v>
      </c>
      <c r="U391" s="671" t="str">
        <f t="shared" si="217"/>
        <v>0 yrs</v>
      </c>
      <c r="V391" s="671" t="str">
        <f t="shared" si="217"/>
        <v>0 yrs</v>
      </c>
      <c r="W391" s="671" t="str">
        <f t="shared" si="217"/>
        <v>0 yrs</v>
      </c>
      <c r="X391" s="671" t="str">
        <f t="shared" si="217"/>
        <v>0 yrs</v>
      </c>
      <c r="Y391" s="671" t="str">
        <f t="shared" si="217"/>
        <v>0 yrs</v>
      </c>
      <c r="Z391" s="671" t="str">
        <f t="shared" si="217"/>
        <v>0 yrs</v>
      </c>
      <c r="AA391" s="671" t="str">
        <f t="shared" si="217"/>
        <v>0 yrs</v>
      </c>
      <c r="AB391" s="671" t="str">
        <f t="shared" si="217"/>
        <v>0 yrs</v>
      </c>
      <c r="AC391" s="672" t="str">
        <f t="shared" si="217"/>
        <v>0 yrs</v>
      </c>
      <c r="AD391" s="1"/>
      <c r="AE391" s="1"/>
    </row>
    <row r="392" spans="9:31" ht="23.25" customHeight="1" x14ac:dyDescent="0.25">
      <c r="I392" s="596"/>
      <c r="J392" s="598" t="s">
        <v>26</v>
      </c>
      <c r="K392" s="673" t="str">
        <f>CONCATENATE("WACC@",$L$98*100,"%")</f>
        <v>WACC@15%</v>
      </c>
      <c r="L392" s="669">
        <f>AC392</f>
        <v>0</v>
      </c>
      <c r="N392" s="616">
        <f t="shared" ref="N392:AC392" si="218">N36/$N$365</f>
        <v>0</v>
      </c>
      <c r="O392" s="617">
        <f t="shared" si="218"/>
        <v>0</v>
      </c>
      <c r="P392" s="617">
        <f t="shared" si="218"/>
        <v>0</v>
      </c>
      <c r="Q392" s="617">
        <f t="shared" si="218"/>
        <v>0</v>
      </c>
      <c r="R392" s="617">
        <f t="shared" si="218"/>
        <v>0</v>
      </c>
      <c r="S392" s="617">
        <f t="shared" si="218"/>
        <v>0</v>
      </c>
      <c r="T392" s="617">
        <f t="shared" si="218"/>
        <v>0</v>
      </c>
      <c r="U392" s="617">
        <f t="shared" si="218"/>
        <v>0</v>
      </c>
      <c r="V392" s="617">
        <f t="shared" si="218"/>
        <v>0</v>
      </c>
      <c r="W392" s="617">
        <f t="shared" si="218"/>
        <v>0</v>
      </c>
      <c r="X392" s="617">
        <f t="shared" si="218"/>
        <v>0</v>
      </c>
      <c r="Y392" s="617">
        <f t="shared" si="218"/>
        <v>0</v>
      </c>
      <c r="Z392" s="617">
        <f t="shared" si="218"/>
        <v>0</v>
      </c>
      <c r="AA392" s="617">
        <f t="shared" si="218"/>
        <v>0</v>
      </c>
      <c r="AB392" s="617">
        <f t="shared" si="218"/>
        <v>0</v>
      </c>
      <c r="AC392" s="618">
        <f t="shared" si="218"/>
        <v>0</v>
      </c>
      <c r="AD392" s="1"/>
      <c r="AE392" s="1"/>
    </row>
    <row r="393" spans="9:31" ht="23.25" customHeight="1" x14ac:dyDescent="0.25">
      <c r="I393" s="596"/>
      <c r="J393" s="598"/>
      <c r="K393" s="673" t="str">
        <f>CONCATENATE("IRR: ",ROUND($L$334*100,1),"%")</f>
        <v>IRR: 0%</v>
      </c>
      <c r="L393" s="674"/>
      <c r="N393" s="89"/>
      <c r="O393" s="90"/>
      <c r="P393" s="90"/>
      <c r="Q393" s="90"/>
      <c r="R393" s="90"/>
      <c r="S393" s="90"/>
      <c r="T393" s="90"/>
      <c r="U393" s="90"/>
      <c r="V393" s="90"/>
      <c r="W393" s="90"/>
      <c r="X393" s="90"/>
      <c r="Y393" s="90"/>
      <c r="Z393" s="90"/>
      <c r="AA393" s="90"/>
      <c r="AB393" s="90"/>
      <c r="AC393" s="91"/>
      <c r="AD393" s="1"/>
      <c r="AE393" s="1"/>
    </row>
    <row r="394" spans="9:31" ht="23.25" customHeight="1" x14ac:dyDescent="0.4">
      <c r="I394" s="596" t="s">
        <v>27</v>
      </c>
      <c r="J394" s="597" t="s">
        <v>28</v>
      </c>
      <c r="L394" s="675">
        <f>IFERROR(AVERAGEIF(O394:AC394,"&gt;100",O394:AC394),)</f>
        <v>0</v>
      </c>
      <c r="N394" s="676">
        <f>SUM(N396:N404)-N397</f>
        <v>0</v>
      </c>
      <c r="O394" s="677">
        <f t="shared" ref="O394:AC394" si="219">SUM(O396:O404)-O397</f>
        <v>0</v>
      </c>
      <c r="P394" s="677">
        <f t="shared" si="219"/>
        <v>0</v>
      </c>
      <c r="Q394" s="677">
        <f t="shared" si="219"/>
        <v>0</v>
      </c>
      <c r="R394" s="677">
        <f t="shared" si="219"/>
        <v>0</v>
      </c>
      <c r="S394" s="677">
        <f t="shared" si="219"/>
        <v>0</v>
      </c>
      <c r="T394" s="677">
        <f t="shared" si="219"/>
        <v>0</v>
      </c>
      <c r="U394" s="677">
        <f t="shared" si="219"/>
        <v>0</v>
      </c>
      <c r="V394" s="677">
        <f t="shared" si="219"/>
        <v>0</v>
      </c>
      <c r="W394" s="677">
        <f t="shared" si="219"/>
        <v>0</v>
      </c>
      <c r="X394" s="677">
        <f t="shared" si="219"/>
        <v>0</v>
      </c>
      <c r="Y394" s="677">
        <f t="shared" si="219"/>
        <v>0</v>
      </c>
      <c r="Z394" s="677">
        <f t="shared" si="219"/>
        <v>0</v>
      </c>
      <c r="AA394" s="677">
        <f t="shared" si="219"/>
        <v>0</v>
      </c>
      <c r="AB394" s="677">
        <f t="shared" si="219"/>
        <v>0</v>
      </c>
      <c r="AC394" s="678">
        <f t="shared" si="219"/>
        <v>0</v>
      </c>
      <c r="AD394" s="1"/>
      <c r="AE394" s="1"/>
    </row>
    <row r="395" spans="9:31" ht="15.75" x14ac:dyDescent="0.25">
      <c r="I395" s="596"/>
      <c r="J395" s="598" t="s">
        <v>29</v>
      </c>
      <c r="K395" s="596"/>
      <c r="L395" s="679" t="str">
        <f>IFERROR(SUM(N394:AC394)/SUM(N372:AC372),"")</f>
        <v/>
      </c>
      <c r="N395" s="680" t="str">
        <f t="shared" ref="N395:AC395" si="220">IFERROR(N394/N372*N481/365,"")</f>
        <v/>
      </c>
      <c r="O395" s="681" t="str">
        <f t="shared" si="220"/>
        <v/>
      </c>
      <c r="P395" s="681" t="str">
        <f t="shared" si="220"/>
        <v/>
      </c>
      <c r="Q395" s="681" t="str">
        <f t="shared" si="220"/>
        <v/>
      </c>
      <c r="R395" s="681" t="str">
        <f t="shared" si="220"/>
        <v/>
      </c>
      <c r="S395" s="681" t="str">
        <f t="shared" si="220"/>
        <v/>
      </c>
      <c r="T395" s="681" t="str">
        <f t="shared" si="220"/>
        <v/>
      </c>
      <c r="U395" s="681" t="str">
        <f t="shared" si="220"/>
        <v/>
      </c>
      <c r="V395" s="681" t="str">
        <f t="shared" si="220"/>
        <v/>
      </c>
      <c r="W395" s="681" t="str">
        <f t="shared" si="220"/>
        <v/>
      </c>
      <c r="X395" s="681" t="str">
        <f t="shared" si="220"/>
        <v/>
      </c>
      <c r="Y395" s="681" t="str">
        <f t="shared" si="220"/>
        <v/>
      </c>
      <c r="Z395" s="681" t="str">
        <f t="shared" si="220"/>
        <v/>
      </c>
      <c r="AA395" s="681" t="str">
        <f t="shared" si="220"/>
        <v/>
      </c>
      <c r="AB395" s="681" t="str">
        <f t="shared" si="220"/>
        <v/>
      </c>
      <c r="AC395" s="682" t="str">
        <f t="shared" si="220"/>
        <v/>
      </c>
      <c r="AD395" s="1"/>
      <c r="AE395" s="1"/>
    </row>
    <row r="396" spans="9:31" x14ac:dyDescent="0.3">
      <c r="I396" s="96"/>
      <c r="J396" s="683" t="s">
        <v>30</v>
      </c>
      <c r="L396" s="615">
        <f t="shared" ref="L396:L401" si="221">IFERROR(AVERAGEIF(N396:AC396,"&gt;0",N396:AC396),)</f>
        <v>0</v>
      </c>
      <c r="N396" s="616">
        <f t="shared" ref="N396:AC405" si="222">N40/$N$365</f>
        <v>0</v>
      </c>
      <c r="O396" s="617">
        <f t="shared" si="222"/>
        <v>0</v>
      </c>
      <c r="P396" s="617">
        <f t="shared" si="222"/>
        <v>0</v>
      </c>
      <c r="Q396" s="617">
        <f t="shared" si="222"/>
        <v>0</v>
      </c>
      <c r="R396" s="617">
        <f t="shared" si="222"/>
        <v>0</v>
      </c>
      <c r="S396" s="617">
        <f t="shared" si="222"/>
        <v>0</v>
      </c>
      <c r="T396" s="617">
        <f t="shared" si="222"/>
        <v>0</v>
      </c>
      <c r="U396" s="617">
        <f t="shared" si="222"/>
        <v>0</v>
      </c>
      <c r="V396" s="617">
        <f t="shared" si="222"/>
        <v>0</v>
      </c>
      <c r="W396" s="617">
        <f t="shared" si="222"/>
        <v>0</v>
      </c>
      <c r="X396" s="617">
        <f t="shared" si="222"/>
        <v>0</v>
      </c>
      <c r="Y396" s="617">
        <f t="shared" si="222"/>
        <v>0</v>
      </c>
      <c r="Z396" s="617">
        <f t="shared" si="222"/>
        <v>0</v>
      </c>
      <c r="AA396" s="617">
        <f t="shared" si="222"/>
        <v>0</v>
      </c>
      <c r="AB396" s="617">
        <f t="shared" si="222"/>
        <v>0</v>
      </c>
      <c r="AC396" s="618">
        <f t="shared" si="222"/>
        <v>0</v>
      </c>
      <c r="AD396" s="1"/>
      <c r="AE396" s="1"/>
    </row>
    <row r="397" spans="9:31" x14ac:dyDescent="0.3">
      <c r="I397" s="96"/>
      <c r="J397" s="683" t="s">
        <v>299</v>
      </c>
      <c r="L397" s="615">
        <f t="shared" si="221"/>
        <v>0</v>
      </c>
      <c r="N397" s="616">
        <f t="shared" si="222"/>
        <v>0</v>
      </c>
      <c r="O397" s="617">
        <f t="shared" si="222"/>
        <v>0</v>
      </c>
      <c r="P397" s="617">
        <f t="shared" si="222"/>
        <v>0</v>
      </c>
      <c r="Q397" s="617">
        <f t="shared" si="222"/>
        <v>0</v>
      </c>
      <c r="R397" s="617">
        <f t="shared" si="222"/>
        <v>0</v>
      </c>
      <c r="S397" s="617">
        <f t="shared" si="222"/>
        <v>0</v>
      </c>
      <c r="T397" s="617">
        <f t="shared" si="222"/>
        <v>0</v>
      </c>
      <c r="U397" s="617">
        <f t="shared" si="222"/>
        <v>0</v>
      </c>
      <c r="V397" s="617">
        <f t="shared" si="222"/>
        <v>0</v>
      </c>
      <c r="W397" s="617">
        <f t="shared" si="222"/>
        <v>0</v>
      </c>
      <c r="X397" s="617">
        <f t="shared" si="222"/>
        <v>0</v>
      </c>
      <c r="Y397" s="617">
        <f t="shared" si="222"/>
        <v>0</v>
      </c>
      <c r="Z397" s="617">
        <f t="shared" si="222"/>
        <v>0</v>
      </c>
      <c r="AA397" s="617">
        <f t="shared" si="222"/>
        <v>0</v>
      </c>
      <c r="AB397" s="617">
        <f t="shared" si="222"/>
        <v>0</v>
      </c>
      <c r="AC397" s="618">
        <f t="shared" si="222"/>
        <v>0</v>
      </c>
      <c r="AD397" s="1"/>
      <c r="AE397" s="1"/>
    </row>
    <row r="398" spans="9:31" ht="24.75" customHeight="1" x14ac:dyDescent="0.3">
      <c r="I398" s="96"/>
      <c r="J398" s="684" t="s">
        <v>295</v>
      </c>
      <c r="L398" s="685">
        <f t="shared" si="221"/>
        <v>0</v>
      </c>
      <c r="M398" s="586"/>
      <c r="N398" s="686">
        <f t="shared" si="222"/>
        <v>0</v>
      </c>
      <c r="O398" s="687">
        <f t="shared" si="222"/>
        <v>0</v>
      </c>
      <c r="P398" s="687">
        <f t="shared" si="222"/>
        <v>0</v>
      </c>
      <c r="Q398" s="687">
        <f t="shared" si="222"/>
        <v>0</v>
      </c>
      <c r="R398" s="687">
        <f t="shared" si="222"/>
        <v>0</v>
      </c>
      <c r="S398" s="687">
        <f t="shared" si="222"/>
        <v>0</v>
      </c>
      <c r="T398" s="687">
        <f t="shared" si="222"/>
        <v>0</v>
      </c>
      <c r="U398" s="687">
        <f t="shared" si="222"/>
        <v>0</v>
      </c>
      <c r="V398" s="687">
        <f t="shared" si="222"/>
        <v>0</v>
      </c>
      <c r="W398" s="687">
        <f t="shared" si="222"/>
        <v>0</v>
      </c>
      <c r="X398" s="687">
        <f t="shared" si="222"/>
        <v>0</v>
      </c>
      <c r="Y398" s="687">
        <f t="shared" si="222"/>
        <v>0</v>
      </c>
      <c r="Z398" s="687">
        <f t="shared" si="222"/>
        <v>0</v>
      </c>
      <c r="AA398" s="687">
        <f t="shared" si="222"/>
        <v>0</v>
      </c>
      <c r="AB398" s="687">
        <f t="shared" si="222"/>
        <v>0</v>
      </c>
      <c r="AC398" s="688">
        <f t="shared" si="222"/>
        <v>0</v>
      </c>
      <c r="AD398" s="1"/>
      <c r="AE398" s="1"/>
    </row>
    <row r="399" spans="9:31" x14ac:dyDescent="0.3">
      <c r="I399" s="96"/>
      <c r="J399" s="684" t="s">
        <v>296</v>
      </c>
      <c r="L399" s="685">
        <f t="shared" si="221"/>
        <v>0</v>
      </c>
      <c r="M399" s="586"/>
      <c r="N399" s="686">
        <f t="shared" si="222"/>
        <v>0</v>
      </c>
      <c r="O399" s="687">
        <f t="shared" si="222"/>
        <v>0</v>
      </c>
      <c r="P399" s="687">
        <f t="shared" si="222"/>
        <v>0</v>
      </c>
      <c r="Q399" s="687">
        <f t="shared" si="222"/>
        <v>0</v>
      </c>
      <c r="R399" s="687">
        <f t="shared" si="222"/>
        <v>0</v>
      </c>
      <c r="S399" s="687">
        <f t="shared" si="222"/>
        <v>0</v>
      </c>
      <c r="T399" s="687">
        <f t="shared" si="222"/>
        <v>0</v>
      </c>
      <c r="U399" s="687">
        <f t="shared" si="222"/>
        <v>0</v>
      </c>
      <c r="V399" s="687">
        <f t="shared" si="222"/>
        <v>0</v>
      </c>
      <c r="W399" s="687">
        <f t="shared" si="222"/>
        <v>0</v>
      </c>
      <c r="X399" s="687">
        <f t="shared" si="222"/>
        <v>0</v>
      </c>
      <c r="Y399" s="687">
        <f t="shared" si="222"/>
        <v>0</v>
      </c>
      <c r="Z399" s="687">
        <f t="shared" si="222"/>
        <v>0</v>
      </c>
      <c r="AA399" s="687">
        <f t="shared" si="222"/>
        <v>0</v>
      </c>
      <c r="AB399" s="687">
        <f t="shared" si="222"/>
        <v>0</v>
      </c>
      <c r="AC399" s="688">
        <f t="shared" si="222"/>
        <v>0</v>
      </c>
      <c r="AD399" s="1"/>
      <c r="AE399" s="1"/>
    </row>
    <row r="400" spans="9:31" x14ac:dyDescent="0.3">
      <c r="I400" s="96"/>
      <c r="J400" s="684" t="s">
        <v>458</v>
      </c>
      <c r="L400" s="685">
        <f t="shared" si="221"/>
        <v>0</v>
      </c>
      <c r="M400" s="586"/>
      <c r="N400" s="686">
        <f t="shared" si="222"/>
        <v>0</v>
      </c>
      <c r="O400" s="687">
        <f t="shared" si="222"/>
        <v>0</v>
      </c>
      <c r="P400" s="687">
        <f t="shared" si="222"/>
        <v>0</v>
      </c>
      <c r="Q400" s="687">
        <f t="shared" si="222"/>
        <v>0</v>
      </c>
      <c r="R400" s="687">
        <f t="shared" si="222"/>
        <v>0</v>
      </c>
      <c r="S400" s="687">
        <f t="shared" si="222"/>
        <v>0</v>
      </c>
      <c r="T400" s="687">
        <f t="shared" si="222"/>
        <v>0</v>
      </c>
      <c r="U400" s="687">
        <f t="shared" si="222"/>
        <v>0</v>
      </c>
      <c r="V400" s="687">
        <f t="shared" si="222"/>
        <v>0</v>
      </c>
      <c r="W400" s="687">
        <f t="shared" si="222"/>
        <v>0</v>
      </c>
      <c r="X400" s="687">
        <f t="shared" si="222"/>
        <v>0</v>
      </c>
      <c r="Y400" s="687">
        <f t="shared" si="222"/>
        <v>0</v>
      </c>
      <c r="Z400" s="687">
        <f t="shared" si="222"/>
        <v>0</v>
      </c>
      <c r="AA400" s="687">
        <f t="shared" si="222"/>
        <v>0</v>
      </c>
      <c r="AB400" s="687">
        <f t="shared" si="222"/>
        <v>0</v>
      </c>
      <c r="AC400" s="688">
        <f t="shared" si="222"/>
        <v>0</v>
      </c>
      <c r="AD400" s="1"/>
      <c r="AE400" s="1"/>
    </row>
    <row r="401" spans="9:31" x14ac:dyDescent="0.3">
      <c r="I401" s="96"/>
      <c r="J401" s="684" t="s">
        <v>298</v>
      </c>
      <c r="L401" s="685">
        <f t="shared" si="221"/>
        <v>0</v>
      </c>
      <c r="M401" s="586"/>
      <c r="N401" s="686">
        <f t="shared" si="222"/>
        <v>0</v>
      </c>
      <c r="O401" s="687">
        <f t="shared" si="222"/>
        <v>0</v>
      </c>
      <c r="P401" s="687">
        <f t="shared" si="222"/>
        <v>0</v>
      </c>
      <c r="Q401" s="687">
        <f t="shared" si="222"/>
        <v>0</v>
      </c>
      <c r="R401" s="687">
        <f t="shared" si="222"/>
        <v>0</v>
      </c>
      <c r="S401" s="687">
        <f t="shared" si="222"/>
        <v>0</v>
      </c>
      <c r="T401" s="687">
        <f t="shared" si="222"/>
        <v>0</v>
      </c>
      <c r="U401" s="687">
        <f t="shared" si="222"/>
        <v>0</v>
      </c>
      <c r="V401" s="687">
        <f t="shared" si="222"/>
        <v>0</v>
      </c>
      <c r="W401" s="687">
        <f t="shared" si="222"/>
        <v>0</v>
      </c>
      <c r="X401" s="687">
        <f t="shared" si="222"/>
        <v>0</v>
      </c>
      <c r="Y401" s="687">
        <f t="shared" si="222"/>
        <v>0</v>
      </c>
      <c r="Z401" s="687">
        <f t="shared" si="222"/>
        <v>0</v>
      </c>
      <c r="AA401" s="687">
        <f t="shared" si="222"/>
        <v>0</v>
      </c>
      <c r="AB401" s="687">
        <f t="shared" si="222"/>
        <v>0</v>
      </c>
      <c r="AC401" s="688">
        <f t="shared" si="222"/>
        <v>0</v>
      </c>
      <c r="AD401" s="1"/>
      <c r="AE401" s="1"/>
    </row>
    <row r="402" spans="9:31" x14ac:dyDescent="0.3">
      <c r="I402" s="96"/>
      <c r="J402" s="683" t="s">
        <v>31</v>
      </c>
      <c r="L402" s="615">
        <f>IFERROR(AVERAGEIF(N402:AC402,"&lt;0",N402:AC402),)</f>
        <v>0</v>
      </c>
      <c r="N402" s="616">
        <f t="shared" si="222"/>
        <v>0</v>
      </c>
      <c r="O402" s="617">
        <f t="shared" si="222"/>
        <v>0</v>
      </c>
      <c r="P402" s="617">
        <f t="shared" si="222"/>
        <v>0</v>
      </c>
      <c r="Q402" s="617">
        <f t="shared" si="222"/>
        <v>0</v>
      </c>
      <c r="R402" s="617">
        <f t="shared" si="222"/>
        <v>0</v>
      </c>
      <c r="S402" s="617">
        <f t="shared" si="222"/>
        <v>0</v>
      </c>
      <c r="T402" s="617">
        <f t="shared" si="222"/>
        <v>0</v>
      </c>
      <c r="U402" s="617">
        <f t="shared" si="222"/>
        <v>0</v>
      </c>
      <c r="V402" s="617">
        <f t="shared" si="222"/>
        <v>0</v>
      </c>
      <c r="W402" s="617">
        <f t="shared" si="222"/>
        <v>0</v>
      </c>
      <c r="X402" s="617">
        <f t="shared" si="222"/>
        <v>0</v>
      </c>
      <c r="Y402" s="617">
        <f t="shared" si="222"/>
        <v>0</v>
      </c>
      <c r="Z402" s="617">
        <f t="shared" si="222"/>
        <v>0</v>
      </c>
      <c r="AA402" s="617">
        <f t="shared" si="222"/>
        <v>0</v>
      </c>
      <c r="AB402" s="617">
        <f t="shared" si="222"/>
        <v>0</v>
      </c>
      <c r="AC402" s="618">
        <f t="shared" si="222"/>
        <v>0</v>
      </c>
      <c r="AD402" s="1"/>
      <c r="AE402" s="1"/>
    </row>
    <row r="403" spans="9:31" ht="26.25" customHeight="1" x14ac:dyDescent="0.3">
      <c r="I403" s="96"/>
      <c r="J403" s="683" t="s">
        <v>32</v>
      </c>
      <c r="L403" s="615">
        <f>IFERROR(AVERAGEIF(N403:AC403,"&gt;0",N403:AC403),)</f>
        <v>0</v>
      </c>
      <c r="N403" s="616">
        <f t="shared" si="222"/>
        <v>0</v>
      </c>
      <c r="O403" s="617">
        <f t="shared" si="222"/>
        <v>0</v>
      </c>
      <c r="P403" s="617">
        <f t="shared" si="222"/>
        <v>0</v>
      </c>
      <c r="Q403" s="617">
        <f t="shared" si="222"/>
        <v>0</v>
      </c>
      <c r="R403" s="617">
        <f t="shared" si="222"/>
        <v>0</v>
      </c>
      <c r="S403" s="617">
        <f t="shared" si="222"/>
        <v>0</v>
      </c>
      <c r="T403" s="617">
        <f t="shared" si="222"/>
        <v>0</v>
      </c>
      <c r="U403" s="617">
        <f t="shared" si="222"/>
        <v>0</v>
      </c>
      <c r="V403" s="617">
        <f t="shared" si="222"/>
        <v>0</v>
      </c>
      <c r="W403" s="617">
        <f t="shared" si="222"/>
        <v>0</v>
      </c>
      <c r="X403" s="617">
        <f t="shared" si="222"/>
        <v>0</v>
      </c>
      <c r="Y403" s="617">
        <f t="shared" si="222"/>
        <v>0</v>
      </c>
      <c r="Z403" s="617">
        <f t="shared" si="222"/>
        <v>0</v>
      </c>
      <c r="AA403" s="617">
        <f t="shared" si="222"/>
        <v>0</v>
      </c>
      <c r="AB403" s="617">
        <f t="shared" si="222"/>
        <v>0</v>
      </c>
      <c r="AC403" s="618">
        <f t="shared" si="222"/>
        <v>0</v>
      </c>
      <c r="AD403" s="1"/>
      <c r="AE403" s="1"/>
    </row>
    <row r="404" spans="9:31" ht="24" customHeight="1" x14ac:dyDescent="0.3">
      <c r="I404" s="96"/>
      <c r="J404" s="683" t="s">
        <v>33</v>
      </c>
      <c r="L404" s="689">
        <f>IFERROR(AVERAGEIF(N404:AC404,"&gt;&lt;0",N404:AC404),)</f>
        <v>0</v>
      </c>
      <c r="N404" s="690">
        <f t="shared" si="222"/>
        <v>0</v>
      </c>
      <c r="O404" s="691">
        <f t="shared" si="222"/>
        <v>0</v>
      </c>
      <c r="P404" s="691">
        <f t="shared" si="222"/>
        <v>0</v>
      </c>
      <c r="Q404" s="691">
        <f t="shared" si="222"/>
        <v>0</v>
      </c>
      <c r="R404" s="691">
        <f t="shared" si="222"/>
        <v>0</v>
      </c>
      <c r="S404" s="691">
        <f t="shared" si="222"/>
        <v>0</v>
      </c>
      <c r="T404" s="691">
        <f t="shared" si="222"/>
        <v>0</v>
      </c>
      <c r="U404" s="691">
        <f t="shared" si="222"/>
        <v>0</v>
      </c>
      <c r="V404" s="691">
        <f t="shared" si="222"/>
        <v>0</v>
      </c>
      <c r="W404" s="691">
        <f t="shared" si="222"/>
        <v>0</v>
      </c>
      <c r="X404" s="691">
        <f t="shared" si="222"/>
        <v>0</v>
      </c>
      <c r="Y404" s="691">
        <f t="shared" si="222"/>
        <v>0</v>
      </c>
      <c r="Z404" s="691">
        <f t="shared" si="222"/>
        <v>0</v>
      </c>
      <c r="AA404" s="691">
        <f t="shared" si="222"/>
        <v>0</v>
      </c>
      <c r="AB404" s="691">
        <f t="shared" si="222"/>
        <v>0</v>
      </c>
      <c r="AC404" s="692">
        <f t="shared" si="222"/>
        <v>0</v>
      </c>
      <c r="AD404" s="1"/>
      <c r="AE404" s="1"/>
    </row>
    <row r="405" spans="9:31" thickBot="1" x14ac:dyDescent="0.3">
      <c r="I405" s="596"/>
      <c r="J405" s="598" t="s">
        <v>34</v>
      </c>
      <c r="K405" s="98">
        <f>K700</f>
        <v>0</v>
      </c>
      <c r="L405" s="693">
        <f>IFERROR(AVERAGEIF(N405:AC405,"&gt;0",N405:AC405),)</f>
        <v>0</v>
      </c>
      <c r="N405" s="694">
        <f t="shared" si="222"/>
        <v>0</v>
      </c>
      <c r="O405" s="695">
        <f t="shared" si="222"/>
        <v>0</v>
      </c>
      <c r="P405" s="695">
        <f t="shared" si="222"/>
        <v>0</v>
      </c>
      <c r="Q405" s="695">
        <f t="shared" si="222"/>
        <v>0</v>
      </c>
      <c r="R405" s="695">
        <f t="shared" si="222"/>
        <v>0</v>
      </c>
      <c r="S405" s="695">
        <f t="shared" si="222"/>
        <v>0</v>
      </c>
      <c r="T405" s="695">
        <f t="shared" si="222"/>
        <v>0</v>
      </c>
      <c r="U405" s="695">
        <f t="shared" si="222"/>
        <v>0</v>
      </c>
      <c r="V405" s="695">
        <f t="shared" si="222"/>
        <v>0</v>
      </c>
      <c r="W405" s="695">
        <f t="shared" si="222"/>
        <v>0</v>
      </c>
      <c r="X405" s="695">
        <f t="shared" si="222"/>
        <v>0</v>
      </c>
      <c r="Y405" s="695">
        <f t="shared" si="222"/>
        <v>0</v>
      </c>
      <c r="Z405" s="695">
        <f t="shared" si="222"/>
        <v>0</v>
      </c>
      <c r="AA405" s="695">
        <f t="shared" si="222"/>
        <v>0</v>
      </c>
      <c r="AB405" s="695">
        <f t="shared" si="222"/>
        <v>0</v>
      </c>
      <c r="AC405" s="696">
        <f t="shared" si="222"/>
        <v>0</v>
      </c>
      <c r="AD405" s="1"/>
      <c r="AE405" s="1"/>
    </row>
    <row r="406" spans="9:31" ht="14.25" x14ac:dyDescent="0.2">
      <c r="I406" s="1"/>
      <c r="K406" s="1"/>
      <c r="AD406" s="1"/>
      <c r="AE406" s="1"/>
    </row>
    <row r="407" spans="9:31" ht="18" x14ac:dyDescent="0.2">
      <c r="I407" s="582">
        <v>10</v>
      </c>
      <c r="J407" s="583" t="s">
        <v>438</v>
      </c>
      <c r="K407" s="583"/>
      <c r="L407" s="584"/>
      <c r="M407" s="584"/>
      <c r="N407" s="585"/>
      <c r="O407" s="585"/>
      <c r="P407" s="585"/>
      <c r="Q407" s="585"/>
      <c r="R407" s="585"/>
      <c r="S407" s="585"/>
      <c r="T407" s="585"/>
      <c r="U407" s="585"/>
      <c r="V407" s="585"/>
      <c r="W407" s="585"/>
      <c r="X407" s="585"/>
      <c r="Y407" s="585"/>
      <c r="Z407" s="585"/>
      <c r="AA407" s="585"/>
      <c r="AB407" s="585"/>
      <c r="AC407" s="585"/>
      <c r="AD407" s="1"/>
      <c r="AE407" s="1"/>
    </row>
    <row r="408" spans="9:31" ht="14.25" x14ac:dyDescent="0.2">
      <c r="I408" s="1"/>
      <c r="K408" s="1"/>
      <c r="AD408" s="1"/>
      <c r="AE408" s="1"/>
    </row>
    <row r="409" spans="9:31" ht="14.25" x14ac:dyDescent="0.2">
      <c r="I409" s="1"/>
      <c r="K409" s="1"/>
      <c r="AD409" s="1"/>
      <c r="AE409" s="1"/>
    </row>
    <row r="410" spans="9:31" ht="14.25" x14ac:dyDescent="0.2">
      <c r="I410" s="1"/>
      <c r="K410" s="1"/>
      <c r="AD410" s="1"/>
      <c r="AE410" s="1"/>
    </row>
    <row r="411" spans="9:31" ht="14.25" x14ac:dyDescent="0.2">
      <c r="I411" s="1"/>
      <c r="K411" s="1"/>
      <c r="AD411" s="1"/>
      <c r="AE411" s="1"/>
    </row>
    <row r="412" spans="9:31" ht="14.25" x14ac:dyDescent="0.2">
      <c r="I412" s="1"/>
      <c r="K412" s="1"/>
      <c r="AD412" s="1"/>
      <c r="AE412" s="1"/>
    </row>
    <row r="413" spans="9:31" ht="14.25" x14ac:dyDescent="0.2">
      <c r="I413" s="1"/>
      <c r="K413" s="1"/>
      <c r="AD413" s="1"/>
      <c r="AE413" s="1"/>
    </row>
    <row r="414" spans="9:31" ht="14.25" x14ac:dyDescent="0.2">
      <c r="I414" s="1"/>
      <c r="K414" s="1"/>
      <c r="AD414" s="1"/>
      <c r="AE414" s="1"/>
    </row>
    <row r="415" spans="9:31" ht="14.25" x14ac:dyDescent="0.2">
      <c r="I415" s="1"/>
      <c r="K415" s="1"/>
      <c r="AD415" s="1"/>
      <c r="AE415" s="1"/>
    </row>
    <row r="416" spans="9:31" ht="14.25" x14ac:dyDescent="0.2">
      <c r="I416" s="1"/>
      <c r="K416" s="1"/>
      <c r="AD416" s="1"/>
      <c r="AE416" s="1"/>
    </row>
    <row r="417" s="1" customFormat="1" ht="14.25" x14ac:dyDescent="0.2"/>
    <row r="418" s="1" customFormat="1" ht="14.25" x14ac:dyDescent="0.2"/>
    <row r="419" s="1" customFormat="1" ht="14.25" x14ac:dyDescent="0.2"/>
    <row r="420" s="1" customFormat="1" ht="14.25" x14ac:dyDescent="0.2"/>
    <row r="421" s="1" customFormat="1" ht="14.25" x14ac:dyDescent="0.2"/>
    <row r="422" s="1" customFormat="1" ht="14.25" x14ac:dyDescent="0.2"/>
    <row r="423" s="1" customFormat="1" ht="14.25" x14ac:dyDescent="0.2"/>
    <row r="424" s="1" customFormat="1" ht="14.25" x14ac:dyDescent="0.2"/>
    <row r="425" s="1" customFormat="1" ht="14.25" x14ac:dyDescent="0.2"/>
    <row r="426" s="1" customFormat="1" ht="14.25" x14ac:dyDescent="0.2"/>
    <row r="427" s="1" customFormat="1" ht="14.25" x14ac:dyDescent="0.2"/>
    <row r="428" s="1" customFormat="1" ht="14.25" x14ac:dyDescent="0.2"/>
    <row r="429" s="1" customFormat="1" ht="14.25" x14ac:dyDescent="0.2"/>
    <row r="430" s="1" customFormat="1" ht="14.25" x14ac:dyDescent="0.2"/>
    <row r="431" s="1" customFormat="1" ht="14.25" x14ac:dyDescent="0.2"/>
    <row r="432" s="1" customFormat="1" ht="14.25" x14ac:dyDescent="0.2"/>
    <row r="433" spans="9:31" ht="19.5" x14ac:dyDescent="0.35">
      <c r="J433" s="977" t="s">
        <v>433</v>
      </c>
      <c r="K433" s="978"/>
      <c r="L433" s="979"/>
      <c r="M433" s="979"/>
      <c r="N433" s="592">
        <f>N11</f>
        <v>2024</v>
      </c>
      <c r="O433" s="24">
        <f t="shared" ref="O433:AC433" si="223">O11</f>
        <v>2025</v>
      </c>
      <c r="P433" s="24">
        <f t="shared" si="223"/>
        <v>2026</v>
      </c>
      <c r="Q433" s="24">
        <f t="shared" si="223"/>
        <v>2027</v>
      </c>
      <c r="R433" s="24">
        <f t="shared" si="223"/>
        <v>2028</v>
      </c>
      <c r="S433" s="24">
        <f t="shared" si="223"/>
        <v>2029</v>
      </c>
      <c r="T433" s="24">
        <f t="shared" si="223"/>
        <v>2030</v>
      </c>
      <c r="U433" s="24">
        <f t="shared" si="223"/>
        <v>2031</v>
      </c>
      <c r="V433" s="24">
        <f t="shared" si="223"/>
        <v>2032</v>
      </c>
      <c r="W433" s="24">
        <f t="shared" si="223"/>
        <v>2033</v>
      </c>
      <c r="X433" s="24">
        <f t="shared" si="223"/>
        <v>2034</v>
      </c>
      <c r="Y433" s="24">
        <f t="shared" si="223"/>
        <v>2035</v>
      </c>
      <c r="Z433" s="24">
        <f t="shared" si="223"/>
        <v>2036</v>
      </c>
      <c r="AA433" s="24">
        <f t="shared" si="223"/>
        <v>2037</v>
      </c>
      <c r="AB433" s="24">
        <f t="shared" si="223"/>
        <v>2038</v>
      </c>
      <c r="AC433" s="25">
        <f t="shared" si="223"/>
        <v>2039</v>
      </c>
    </row>
    <row r="434" spans="9:31" x14ac:dyDescent="0.3">
      <c r="I434" s="1"/>
      <c r="J434" s="1057" t="s">
        <v>431</v>
      </c>
      <c r="K434" s="981"/>
      <c r="L434" s="982"/>
      <c r="M434" s="982"/>
      <c r="N434" s="983">
        <f>N372</f>
        <v>0</v>
      </c>
      <c r="O434" s="983">
        <f t="shared" ref="O434:AC434" si="224">O372</f>
        <v>0</v>
      </c>
      <c r="P434" s="983">
        <f t="shared" si="224"/>
        <v>0</v>
      </c>
      <c r="Q434" s="983">
        <f t="shared" si="224"/>
        <v>0</v>
      </c>
      <c r="R434" s="983">
        <f t="shared" si="224"/>
        <v>0</v>
      </c>
      <c r="S434" s="983">
        <f t="shared" si="224"/>
        <v>0</v>
      </c>
      <c r="T434" s="983">
        <f t="shared" si="224"/>
        <v>0</v>
      </c>
      <c r="U434" s="983">
        <f t="shared" si="224"/>
        <v>0</v>
      </c>
      <c r="V434" s="983">
        <f t="shared" si="224"/>
        <v>0</v>
      </c>
      <c r="W434" s="983">
        <f t="shared" si="224"/>
        <v>0</v>
      </c>
      <c r="X434" s="983">
        <f t="shared" si="224"/>
        <v>0</v>
      </c>
      <c r="Y434" s="983">
        <f t="shared" si="224"/>
        <v>0</v>
      </c>
      <c r="Z434" s="983">
        <f t="shared" si="224"/>
        <v>0</v>
      </c>
      <c r="AA434" s="983">
        <f t="shared" si="224"/>
        <v>0</v>
      </c>
      <c r="AB434" s="983">
        <f t="shared" si="224"/>
        <v>0</v>
      </c>
      <c r="AC434" s="984">
        <f t="shared" si="224"/>
        <v>0</v>
      </c>
      <c r="AD434" s="1"/>
      <c r="AE434" s="1"/>
    </row>
    <row r="435" spans="9:31" x14ac:dyDescent="0.3">
      <c r="I435" s="1"/>
      <c r="J435" s="1057" t="s">
        <v>16</v>
      </c>
      <c r="K435" s="981"/>
      <c r="L435" s="982"/>
      <c r="M435" s="982"/>
      <c r="N435" s="983">
        <f>N376</f>
        <v>0</v>
      </c>
      <c r="O435" s="983">
        <f t="shared" ref="O435:AC437" si="225">O376</f>
        <v>0</v>
      </c>
      <c r="P435" s="983">
        <f t="shared" si="225"/>
        <v>0</v>
      </c>
      <c r="Q435" s="983">
        <f t="shared" si="225"/>
        <v>0</v>
      </c>
      <c r="R435" s="983">
        <f t="shared" si="225"/>
        <v>0</v>
      </c>
      <c r="S435" s="983">
        <f t="shared" si="225"/>
        <v>0</v>
      </c>
      <c r="T435" s="983">
        <f t="shared" si="225"/>
        <v>0</v>
      </c>
      <c r="U435" s="983">
        <f t="shared" si="225"/>
        <v>0</v>
      </c>
      <c r="V435" s="983">
        <f t="shared" si="225"/>
        <v>0</v>
      </c>
      <c r="W435" s="983">
        <f t="shared" si="225"/>
        <v>0</v>
      </c>
      <c r="X435" s="983">
        <f t="shared" si="225"/>
        <v>0</v>
      </c>
      <c r="Y435" s="983">
        <f t="shared" si="225"/>
        <v>0</v>
      </c>
      <c r="Z435" s="983">
        <f t="shared" si="225"/>
        <v>0</v>
      </c>
      <c r="AA435" s="983">
        <f t="shared" si="225"/>
        <v>0</v>
      </c>
      <c r="AB435" s="983">
        <f t="shared" si="225"/>
        <v>0</v>
      </c>
      <c r="AC435" s="984">
        <f t="shared" si="225"/>
        <v>0</v>
      </c>
      <c r="AD435" s="1"/>
      <c r="AE435" s="1"/>
    </row>
    <row r="436" spans="9:31" x14ac:dyDescent="0.3">
      <c r="I436" s="1"/>
      <c r="J436" s="985" t="s">
        <v>423</v>
      </c>
      <c r="K436" s="981"/>
      <c r="L436" s="982"/>
      <c r="M436" s="982"/>
      <c r="N436" s="986">
        <f>N377</f>
        <v>0</v>
      </c>
      <c r="O436" s="986">
        <f t="shared" si="225"/>
        <v>0</v>
      </c>
      <c r="P436" s="986">
        <f t="shared" si="225"/>
        <v>0</v>
      </c>
      <c r="Q436" s="986">
        <f t="shared" si="225"/>
        <v>0</v>
      </c>
      <c r="R436" s="986">
        <f t="shared" si="225"/>
        <v>0</v>
      </c>
      <c r="S436" s="986">
        <f t="shared" si="225"/>
        <v>0</v>
      </c>
      <c r="T436" s="986">
        <f t="shared" si="225"/>
        <v>0</v>
      </c>
      <c r="U436" s="986">
        <f t="shared" si="225"/>
        <v>0</v>
      </c>
      <c r="V436" s="986">
        <f t="shared" si="225"/>
        <v>0</v>
      </c>
      <c r="W436" s="986">
        <f t="shared" si="225"/>
        <v>0</v>
      </c>
      <c r="X436" s="986">
        <f t="shared" si="225"/>
        <v>0</v>
      </c>
      <c r="Y436" s="986">
        <f t="shared" si="225"/>
        <v>0</v>
      </c>
      <c r="Z436" s="986">
        <f t="shared" si="225"/>
        <v>0</v>
      </c>
      <c r="AA436" s="986">
        <f t="shared" si="225"/>
        <v>0</v>
      </c>
      <c r="AB436" s="986">
        <f t="shared" si="225"/>
        <v>0</v>
      </c>
      <c r="AC436" s="987">
        <f t="shared" si="225"/>
        <v>0</v>
      </c>
      <c r="AD436" s="1"/>
      <c r="AE436" s="1"/>
    </row>
    <row r="437" spans="9:31" x14ac:dyDescent="0.3">
      <c r="I437" s="1"/>
      <c r="J437" s="985" t="s">
        <v>424</v>
      </c>
      <c r="K437" s="981"/>
      <c r="L437" s="982"/>
      <c r="M437" s="982"/>
      <c r="N437" s="986">
        <f>N378</f>
        <v>0</v>
      </c>
      <c r="O437" s="986">
        <f t="shared" si="225"/>
        <v>0</v>
      </c>
      <c r="P437" s="986">
        <f t="shared" si="225"/>
        <v>0</v>
      </c>
      <c r="Q437" s="986">
        <f t="shared" si="225"/>
        <v>0</v>
      </c>
      <c r="R437" s="986">
        <f t="shared" si="225"/>
        <v>0</v>
      </c>
      <c r="S437" s="986">
        <f t="shared" si="225"/>
        <v>0</v>
      </c>
      <c r="T437" s="986">
        <f t="shared" si="225"/>
        <v>0</v>
      </c>
      <c r="U437" s="986">
        <f t="shared" si="225"/>
        <v>0</v>
      </c>
      <c r="V437" s="986">
        <f t="shared" si="225"/>
        <v>0</v>
      </c>
      <c r="W437" s="986">
        <f t="shared" si="225"/>
        <v>0</v>
      </c>
      <c r="X437" s="986">
        <f t="shared" si="225"/>
        <v>0</v>
      </c>
      <c r="Y437" s="986">
        <f t="shared" si="225"/>
        <v>0</v>
      </c>
      <c r="Z437" s="986">
        <f t="shared" si="225"/>
        <v>0</v>
      </c>
      <c r="AA437" s="986">
        <f t="shared" si="225"/>
        <v>0</v>
      </c>
      <c r="AB437" s="986">
        <f t="shared" si="225"/>
        <v>0</v>
      </c>
      <c r="AC437" s="987">
        <f t="shared" si="225"/>
        <v>0</v>
      </c>
      <c r="AD437" s="1"/>
      <c r="AE437" s="1"/>
    </row>
    <row r="438" spans="9:31" ht="15.75" x14ac:dyDescent="0.25">
      <c r="I438" s="1"/>
      <c r="J438" s="1058"/>
      <c r="K438" s="996"/>
      <c r="L438" s="997"/>
      <c r="M438" s="997"/>
      <c r="N438" s="998"/>
      <c r="O438" s="998"/>
      <c r="P438" s="998"/>
      <c r="Q438" s="998"/>
      <c r="R438" s="998"/>
      <c r="S438" s="998"/>
      <c r="T438" s="998"/>
      <c r="U438" s="998"/>
      <c r="V438" s="998"/>
      <c r="W438" s="998"/>
      <c r="X438" s="998"/>
      <c r="Y438" s="998"/>
      <c r="Z438" s="998"/>
      <c r="AA438" s="998"/>
      <c r="AB438" s="998"/>
      <c r="AC438" s="999"/>
      <c r="AD438" s="1"/>
      <c r="AE438" s="1"/>
    </row>
    <row r="439" spans="9:31" ht="17.25" x14ac:dyDescent="0.35">
      <c r="J439" s="977" t="s">
        <v>434</v>
      </c>
      <c r="K439" s="978"/>
      <c r="L439" s="979"/>
      <c r="M439" s="979"/>
      <c r="N439" s="1000"/>
      <c r="O439" s="1000"/>
      <c r="P439" s="1000"/>
      <c r="Q439" s="1000"/>
      <c r="R439" s="1000"/>
      <c r="S439" s="1000"/>
      <c r="T439" s="1000"/>
      <c r="U439" s="1000"/>
      <c r="V439" s="1000"/>
      <c r="W439" s="1000"/>
      <c r="X439" s="1000"/>
      <c r="Y439" s="1000"/>
      <c r="Z439" s="1000"/>
      <c r="AA439" s="1000"/>
      <c r="AB439" s="1000"/>
      <c r="AC439" s="1001"/>
    </row>
    <row r="440" spans="9:31" x14ac:dyDescent="0.3">
      <c r="I440" s="1"/>
      <c r="J440" s="1057" t="s">
        <v>440</v>
      </c>
      <c r="K440" s="981"/>
      <c r="L440" s="982"/>
      <c r="M440" s="982"/>
      <c r="N440" s="983">
        <f>N228/$N$365</f>
        <v>0</v>
      </c>
      <c r="O440" s="983">
        <f t="shared" ref="O440:AC440" si="226">O228/$N$365</f>
        <v>0</v>
      </c>
      <c r="P440" s="983">
        <f t="shared" si="226"/>
        <v>0</v>
      </c>
      <c r="Q440" s="983">
        <f t="shared" si="226"/>
        <v>0</v>
      </c>
      <c r="R440" s="983">
        <f t="shared" si="226"/>
        <v>0</v>
      </c>
      <c r="S440" s="983">
        <f t="shared" si="226"/>
        <v>0</v>
      </c>
      <c r="T440" s="983">
        <f t="shared" si="226"/>
        <v>0</v>
      </c>
      <c r="U440" s="983">
        <f t="shared" si="226"/>
        <v>0</v>
      </c>
      <c r="V440" s="983">
        <f t="shared" si="226"/>
        <v>0</v>
      </c>
      <c r="W440" s="983">
        <f t="shared" si="226"/>
        <v>0</v>
      </c>
      <c r="X440" s="983">
        <f t="shared" si="226"/>
        <v>0</v>
      </c>
      <c r="Y440" s="983">
        <f t="shared" si="226"/>
        <v>0</v>
      </c>
      <c r="Z440" s="983">
        <f t="shared" si="226"/>
        <v>0</v>
      </c>
      <c r="AA440" s="983">
        <f t="shared" si="226"/>
        <v>0</v>
      </c>
      <c r="AB440" s="983">
        <f t="shared" si="226"/>
        <v>0</v>
      </c>
      <c r="AC440" s="984">
        <f t="shared" si="226"/>
        <v>0</v>
      </c>
      <c r="AD440" s="1"/>
      <c r="AE440" s="1"/>
    </row>
    <row r="441" spans="9:31" x14ac:dyDescent="0.3">
      <c r="I441" s="1"/>
      <c r="J441" s="1057" t="s">
        <v>441</v>
      </c>
      <c r="K441" s="981"/>
      <c r="L441" s="982"/>
      <c r="M441" s="982"/>
      <c r="N441" s="983">
        <f>-N232/$N$365</f>
        <v>0</v>
      </c>
      <c r="O441" s="983">
        <f>-O232/$N$365</f>
        <v>0</v>
      </c>
      <c r="P441" s="983">
        <f t="shared" ref="P441:AC441" si="227">-P232/$N$365</f>
        <v>0</v>
      </c>
      <c r="Q441" s="983">
        <f t="shared" si="227"/>
        <v>0</v>
      </c>
      <c r="R441" s="983">
        <f t="shared" si="227"/>
        <v>0</v>
      </c>
      <c r="S441" s="983">
        <f t="shared" si="227"/>
        <v>0</v>
      </c>
      <c r="T441" s="983">
        <f t="shared" si="227"/>
        <v>0</v>
      </c>
      <c r="U441" s="983">
        <f t="shared" si="227"/>
        <v>0</v>
      </c>
      <c r="V441" s="983">
        <f t="shared" si="227"/>
        <v>0</v>
      </c>
      <c r="W441" s="983">
        <f t="shared" si="227"/>
        <v>0</v>
      </c>
      <c r="X441" s="983">
        <f t="shared" si="227"/>
        <v>0</v>
      </c>
      <c r="Y441" s="983">
        <f t="shared" si="227"/>
        <v>0</v>
      </c>
      <c r="Z441" s="983">
        <f t="shared" si="227"/>
        <v>0</v>
      </c>
      <c r="AA441" s="983">
        <f t="shared" si="227"/>
        <v>0</v>
      </c>
      <c r="AB441" s="983">
        <f t="shared" si="227"/>
        <v>0</v>
      </c>
      <c r="AC441" s="984">
        <f t="shared" si="227"/>
        <v>0</v>
      </c>
      <c r="AD441" s="1"/>
      <c r="AE441" s="1"/>
    </row>
    <row r="442" spans="9:31" x14ac:dyDescent="0.3">
      <c r="I442" s="1"/>
      <c r="J442" s="1057" t="s">
        <v>186</v>
      </c>
      <c r="K442" s="981"/>
      <c r="L442" s="982"/>
      <c r="M442" s="982"/>
      <c r="N442" s="983">
        <f>N237/$N$365</f>
        <v>0</v>
      </c>
      <c r="O442" s="983">
        <f t="shared" ref="O442:AC442" si="228">O237/$N$365</f>
        <v>0</v>
      </c>
      <c r="P442" s="983">
        <f t="shared" si="228"/>
        <v>0</v>
      </c>
      <c r="Q442" s="983">
        <f t="shared" si="228"/>
        <v>0</v>
      </c>
      <c r="R442" s="983">
        <f t="shared" si="228"/>
        <v>0</v>
      </c>
      <c r="S442" s="983">
        <f t="shared" si="228"/>
        <v>0</v>
      </c>
      <c r="T442" s="983">
        <f t="shared" si="228"/>
        <v>0</v>
      </c>
      <c r="U442" s="983">
        <f t="shared" si="228"/>
        <v>0</v>
      </c>
      <c r="V442" s="983">
        <f t="shared" si="228"/>
        <v>0</v>
      </c>
      <c r="W442" s="983">
        <f t="shared" si="228"/>
        <v>0</v>
      </c>
      <c r="X442" s="983">
        <f t="shared" si="228"/>
        <v>0</v>
      </c>
      <c r="Y442" s="983">
        <f t="shared" si="228"/>
        <v>0</v>
      </c>
      <c r="Z442" s="983">
        <f t="shared" si="228"/>
        <v>0</v>
      </c>
      <c r="AA442" s="983">
        <f t="shared" si="228"/>
        <v>0</v>
      </c>
      <c r="AB442" s="983">
        <f t="shared" si="228"/>
        <v>0</v>
      </c>
      <c r="AC442" s="984">
        <f t="shared" si="228"/>
        <v>0</v>
      </c>
      <c r="AD442" s="1"/>
      <c r="AE442" s="1"/>
    </row>
    <row r="443" spans="9:31" x14ac:dyDescent="0.3">
      <c r="I443" s="1"/>
      <c r="J443" s="1057" t="s">
        <v>432</v>
      </c>
      <c r="K443" s="981"/>
      <c r="L443" s="982"/>
      <c r="M443" s="982"/>
      <c r="N443" s="983">
        <f>SUM($N440:N441)</f>
        <v>0</v>
      </c>
      <c r="O443" s="983">
        <f>SUM($N440:O441)</f>
        <v>0</v>
      </c>
      <c r="P443" s="983">
        <f>SUM($N440:P441)</f>
        <v>0</v>
      </c>
      <c r="Q443" s="983">
        <f>SUM($N440:Q441)</f>
        <v>0</v>
      </c>
      <c r="R443" s="983">
        <f>SUM($N440:R441)</f>
        <v>0</v>
      </c>
      <c r="S443" s="983">
        <f>SUM($N440:S441)</f>
        <v>0</v>
      </c>
      <c r="T443" s="983">
        <f>SUM($N440:T441)</f>
        <v>0</v>
      </c>
      <c r="U443" s="983">
        <f>SUM($N440:U441)</f>
        <v>0</v>
      </c>
      <c r="V443" s="983">
        <f>SUM($N440:V441)</f>
        <v>0</v>
      </c>
      <c r="W443" s="983">
        <f>SUM($N440:W441)</f>
        <v>0</v>
      </c>
      <c r="X443" s="983">
        <f>SUM($N440:X441)</f>
        <v>0</v>
      </c>
      <c r="Y443" s="983">
        <f>SUM($N440:Y441)</f>
        <v>0</v>
      </c>
      <c r="Z443" s="983">
        <f>SUM($N440:Z441)</f>
        <v>0</v>
      </c>
      <c r="AA443" s="983">
        <f>SUM($N440:AA441)</f>
        <v>0</v>
      </c>
      <c r="AB443" s="983">
        <f>SUM($N440:AB441)</f>
        <v>0</v>
      </c>
      <c r="AC443" s="984">
        <f>SUM($N440:AC441)</f>
        <v>0</v>
      </c>
      <c r="AD443" s="1"/>
      <c r="AE443" s="1"/>
    </row>
    <row r="444" spans="9:31" x14ac:dyDescent="0.3">
      <c r="I444" s="1"/>
      <c r="J444" s="1057" t="s">
        <v>436</v>
      </c>
      <c r="K444" s="981"/>
      <c r="L444" s="982"/>
      <c r="M444" s="982"/>
      <c r="N444" s="983"/>
      <c r="O444" s="983">
        <f>O328/$N$365</f>
        <v>0</v>
      </c>
      <c r="P444" s="983">
        <f t="shared" ref="P444:AC444" si="229">P328/$N$365</f>
        <v>0</v>
      </c>
      <c r="Q444" s="983">
        <f t="shared" si="229"/>
        <v>0</v>
      </c>
      <c r="R444" s="983">
        <f t="shared" si="229"/>
        <v>0</v>
      </c>
      <c r="S444" s="983">
        <f t="shared" si="229"/>
        <v>0</v>
      </c>
      <c r="T444" s="983">
        <f t="shared" si="229"/>
        <v>0</v>
      </c>
      <c r="U444" s="983">
        <f t="shared" si="229"/>
        <v>0</v>
      </c>
      <c r="V444" s="983">
        <f t="shared" si="229"/>
        <v>0</v>
      </c>
      <c r="W444" s="983">
        <f t="shared" si="229"/>
        <v>0</v>
      </c>
      <c r="X444" s="983">
        <f t="shared" si="229"/>
        <v>0</v>
      </c>
      <c r="Y444" s="983">
        <f t="shared" si="229"/>
        <v>0</v>
      </c>
      <c r="Z444" s="983">
        <f t="shared" si="229"/>
        <v>0</v>
      </c>
      <c r="AA444" s="983">
        <f t="shared" si="229"/>
        <v>0</v>
      </c>
      <c r="AB444" s="983">
        <f t="shared" si="229"/>
        <v>0</v>
      </c>
      <c r="AC444" s="984">
        <f t="shared" si="229"/>
        <v>0</v>
      </c>
      <c r="AD444" s="1"/>
      <c r="AE444" s="1"/>
    </row>
    <row r="445" spans="9:31" x14ac:dyDescent="0.3">
      <c r="I445" s="1"/>
      <c r="J445" s="1059"/>
      <c r="K445" s="997"/>
      <c r="L445" s="997"/>
      <c r="M445" s="997"/>
      <c r="N445" s="998"/>
      <c r="O445" s="998"/>
      <c r="P445" s="998"/>
      <c r="Q445" s="998"/>
      <c r="R445" s="998"/>
      <c r="S445" s="998"/>
      <c r="T445" s="998"/>
      <c r="U445" s="998"/>
      <c r="V445" s="998"/>
      <c r="W445" s="998"/>
      <c r="X445" s="998"/>
      <c r="Y445" s="998"/>
      <c r="Z445" s="998"/>
      <c r="AA445" s="998"/>
      <c r="AB445" s="998"/>
      <c r="AC445" s="999"/>
      <c r="AD445" s="1"/>
      <c r="AE445" s="1"/>
    </row>
    <row r="446" spans="9:31" ht="17.25" x14ac:dyDescent="0.35">
      <c r="J446" s="989" t="s">
        <v>435</v>
      </c>
      <c r="K446" s="990"/>
      <c r="L446" s="982"/>
      <c r="M446" s="982"/>
      <c r="N446" s="983"/>
      <c r="O446" s="983"/>
      <c r="P446" s="983"/>
      <c r="Q446" s="983"/>
      <c r="R446" s="983"/>
      <c r="S446" s="983"/>
      <c r="T446" s="983"/>
      <c r="U446" s="983"/>
      <c r="V446" s="983"/>
      <c r="W446" s="983"/>
      <c r="X446" s="983"/>
      <c r="Y446" s="983"/>
      <c r="Z446" s="983"/>
      <c r="AA446" s="983"/>
      <c r="AB446" s="983"/>
      <c r="AC446" s="984"/>
    </row>
    <row r="447" spans="9:31" x14ac:dyDescent="0.3">
      <c r="I447" s="1"/>
      <c r="J447" s="1057" t="s">
        <v>30</v>
      </c>
      <c r="K447" s="981"/>
      <c r="L447" s="982"/>
      <c r="M447" s="982"/>
      <c r="N447" s="983">
        <f>N40/$N$365</f>
        <v>0</v>
      </c>
      <c r="O447" s="983">
        <f t="shared" ref="O447:AC448" si="230">O40/$N$365</f>
        <v>0</v>
      </c>
      <c r="P447" s="983">
        <f t="shared" si="230"/>
        <v>0</v>
      </c>
      <c r="Q447" s="983">
        <f t="shared" si="230"/>
        <v>0</v>
      </c>
      <c r="R447" s="983">
        <f t="shared" si="230"/>
        <v>0</v>
      </c>
      <c r="S447" s="983">
        <f t="shared" si="230"/>
        <v>0</v>
      </c>
      <c r="T447" s="983">
        <f t="shared" si="230"/>
        <v>0</v>
      </c>
      <c r="U447" s="983">
        <f t="shared" si="230"/>
        <v>0</v>
      </c>
      <c r="V447" s="983">
        <f t="shared" si="230"/>
        <v>0</v>
      </c>
      <c r="W447" s="983">
        <f t="shared" si="230"/>
        <v>0</v>
      </c>
      <c r="X447" s="983">
        <f t="shared" si="230"/>
        <v>0</v>
      </c>
      <c r="Y447" s="983">
        <f t="shared" si="230"/>
        <v>0</v>
      </c>
      <c r="Z447" s="983">
        <f t="shared" si="230"/>
        <v>0</v>
      </c>
      <c r="AA447" s="983">
        <f t="shared" si="230"/>
        <v>0</v>
      </c>
      <c r="AB447" s="983">
        <f t="shared" si="230"/>
        <v>0</v>
      </c>
      <c r="AC447" s="984">
        <f t="shared" si="230"/>
        <v>0</v>
      </c>
      <c r="AD447" s="1"/>
      <c r="AE447" s="1"/>
    </row>
    <row r="448" spans="9:31" x14ac:dyDescent="0.3">
      <c r="I448" s="1"/>
      <c r="J448" s="1057" t="s">
        <v>442</v>
      </c>
      <c r="K448" s="982"/>
      <c r="L448" s="982"/>
      <c r="M448" s="982"/>
      <c r="N448" s="983">
        <f>N41/$N$365</f>
        <v>0</v>
      </c>
      <c r="O448" s="983">
        <f t="shared" si="230"/>
        <v>0</v>
      </c>
      <c r="P448" s="983">
        <f t="shared" si="230"/>
        <v>0</v>
      </c>
      <c r="Q448" s="983">
        <f t="shared" si="230"/>
        <v>0</v>
      </c>
      <c r="R448" s="983">
        <f t="shared" si="230"/>
        <v>0</v>
      </c>
      <c r="S448" s="983">
        <f t="shared" si="230"/>
        <v>0</v>
      </c>
      <c r="T448" s="983">
        <f t="shared" si="230"/>
        <v>0</v>
      </c>
      <c r="U448" s="983">
        <f t="shared" si="230"/>
        <v>0</v>
      </c>
      <c r="V448" s="983">
        <f t="shared" si="230"/>
        <v>0</v>
      </c>
      <c r="W448" s="983">
        <f t="shared" si="230"/>
        <v>0</v>
      </c>
      <c r="X448" s="983">
        <f t="shared" si="230"/>
        <v>0</v>
      </c>
      <c r="Y448" s="983">
        <f t="shared" si="230"/>
        <v>0</v>
      </c>
      <c r="Z448" s="983">
        <f t="shared" si="230"/>
        <v>0</v>
      </c>
      <c r="AA448" s="983">
        <f t="shared" si="230"/>
        <v>0</v>
      </c>
      <c r="AB448" s="983">
        <f t="shared" si="230"/>
        <v>0</v>
      </c>
      <c r="AC448" s="984">
        <f t="shared" si="230"/>
        <v>0</v>
      </c>
      <c r="AD448" s="1"/>
      <c r="AE448" s="1"/>
    </row>
    <row r="449" spans="8:31" x14ac:dyDescent="0.3">
      <c r="I449" s="1"/>
      <c r="J449" s="1057" t="s">
        <v>31</v>
      </c>
      <c r="K449" s="982"/>
      <c r="L449" s="982"/>
      <c r="M449" s="982"/>
      <c r="N449" s="983">
        <f>N46/$N$365</f>
        <v>0</v>
      </c>
      <c r="O449" s="983">
        <f t="shared" ref="O449:AC452" si="231">O46/$N$365</f>
        <v>0</v>
      </c>
      <c r="P449" s="983">
        <f t="shared" si="231"/>
        <v>0</v>
      </c>
      <c r="Q449" s="983">
        <f t="shared" si="231"/>
        <v>0</v>
      </c>
      <c r="R449" s="983">
        <f t="shared" si="231"/>
        <v>0</v>
      </c>
      <c r="S449" s="983">
        <f t="shared" si="231"/>
        <v>0</v>
      </c>
      <c r="T449" s="983">
        <f t="shared" si="231"/>
        <v>0</v>
      </c>
      <c r="U449" s="983">
        <f t="shared" si="231"/>
        <v>0</v>
      </c>
      <c r="V449" s="983">
        <f t="shared" si="231"/>
        <v>0</v>
      </c>
      <c r="W449" s="983">
        <f t="shared" si="231"/>
        <v>0</v>
      </c>
      <c r="X449" s="983">
        <f t="shared" si="231"/>
        <v>0</v>
      </c>
      <c r="Y449" s="983">
        <f t="shared" si="231"/>
        <v>0</v>
      </c>
      <c r="Z449" s="983">
        <f t="shared" si="231"/>
        <v>0</v>
      </c>
      <c r="AA449" s="983">
        <f t="shared" si="231"/>
        <v>0</v>
      </c>
      <c r="AB449" s="983">
        <f t="shared" si="231"/>
        <v>0</v>
      </c>
      <c r="AC449" s="984">
        <f t="shared" si="231"/>
        <v>0</v>
      </c>
      <c r="AD449" s="1"/>
      <c r="AE449" s="1"/>
    </row>
    <row r="450" spans="8:31" x14ac:dyDescent="0.3">
      <c r="I450" s="1"/>
      <c r="J450" s="1057" t="s">
        <v>32</v>
      </c>
      <c r="K450" s="982"/>
      <c r="L450" s="982"/>
      <c r="M450" s="982"/>
      <c r="N450" s="983">
        <f>N47/$N$365</f>
        <v>0</v>
      </c>
      <c r="O450" s="983">
        <f t="shared" si="231"/>
        <v>0</v>
      </c>
      <c r="P450" s="983">
        <f t="shared" si="231"/>
        <v>0</v>
      </c>
      <c r="Q450" s="983">
        <f t="shared" si="231"/>
        <v>0</v>
      </c>
      <c r="R450" s="983">
        <f t="shared" si="231"/>
        <v>0</v>
      </c>
      <c r="S450" s="983">
        <f t="shared" si="231"/>
        <v>0</v>
      </c>
      <c r="T450" s="983">
        <f t="shared" si="231"/>
        <v>0</v>
      </c>
      <c r="U450" s="983">
        <f t="shared" si="231"/>
        <v>0</v>
      </c>
      <c r="V450" s="983">
        <f t="shared" si="231"/>
        <v>0</v>
      </c>
      <c r="W450" s="983">
        <f t="shared" si="231"/>
        <v>0</v>
      </c>
      <c r="X450" s="983">
        <f t="shared" si="231"/>
        <v>0</v>
      </c>
      <c r="Y450" s="983">
        <f t="shared" si="231"/>
        <v>0</v>
      </c>
      <c r="Z450" s="983">
        <f t="shared" si="231"/>
        <v>0</v>
      </c>
      <c r="AA450" s="983">
        <f t="shared" si="231"/>
        <v>0</v>
      </c>
      <c r="AB450" s="983">
        <f t="shared" si="231"/>
        <v>0</v>
      </c>
      <c r="AC450" s="984">
        <f t="shared" si="231"/>
        <v>0</v>
      </c>
      <c r="AD450" s="1"/>
      <c r="AE450" s="1"/>
    </row>
    <row r="451" spans="8:31" x14ac:dyDescent="0.3">
      <c r="I451" s="1"/>
      <c r="J451" s="1057" t="s">
        <v>33</v>
      </c>
      <c r="K451" s="982"/>
      <c r="L451" s="982"/>
      <c r="M451" s="982"/>
      <c r="N451" s="983">
        <f>N48/$N$365</f>
        <v>0</v>
      </c>
      <c r="O451" s="983">
        <f t="shared" si="231"/>
        <v>0</v>
      </c>
      <c r="P451" s="983">
        <f t="shared" si="231"/>
        <v>0</v>
      </c>
      <c r="Q451" s="983">
        <f t="shared" si="231"/>
        <v>0</v>
      </c>
      <c r="R451" s="983">
        <f t="shared" si="231"/>
        <v>0</v>
      </c>
      <c r="S451" s="983">
        <f t="shared" si="231"/>
        <v>0</v>
      </c>
      <c r="T451" s="983">
        <f t="shared" si="231"/>
        <v>0</v>
      </c>
      <c r="U451" s="983">
        <f t="shared" si="231"/>
        <v>0</v>
      </c>
      <c r="V451" s="983">
        <f t="shared" si="231"/>
        <v>0</v>
      </c>
      <c r="W451" s="983">
        <f t="shared" si="231"/>
        <v>0</v>
      </c>
      <c r="X451" s="983">
        <f t="shared" si="231"/>
        <v>0</v>
      </c>
      <c r="Y451" s="983">
        <f t="shared" si="231"/>
        <v>0</v>
      </c>
      <c r="Z451" s="983">
        <f t="shared" si="231"/>
        <v>0</v>
      </c>
      <c r="AA451" s="983">
        <f t="shared" si="231"/>
        <v>0</v>
      </c>
      <c r="AB451" s="983">
        <f t="shared" si="231"/>
        <v>0</v>
      </c>
      <c r="AC451" s="984">
        <f t="shared" si="231"/>
        <v>0</v>
      </c>
      <c r="AD451" s="1"/>
      <c r="AE451" s="1"/>
    </row>
    <row r="452" spans="8:31" x14ac:dyDescent="0.3">
      <c r="I452" s="1"/>
      <c r="J452" s="1057" t="s">
        <v>34</v>
      </c>
      <c r="K452" s="982"/>
      <c r="L452" s="982"/>
      <c r="M452" s="982"/>
      <c r="N452" s="983">
        <f>N49/$N$365</f>
        <v>0</v>
      </c>
      <c r="O452" s="983">
        <f t="shared" si="231"/>
        <v>0</v>
      </c>
      <c r="P452" s="983">
        <f t="shared" si="231"/>
        <v>0</v>
      </c>
      <c r="Q452" s="983">
        <f t="shared" si="231"/>
        <v>0</v>
      </c>
      <c r="R452" s="983">
        <f t="shared" si="231"/>
        <v>0</v>
      </c>
      <c r="S452" s="983">
        <f t="shared" si="231"/>
        <v>0</v>
      </c>
      <c r="T452" s="983">
        <f t="shared" si="231"/>
        <v>0</v>
      </c>
      <c r="U452" s="983">
        <f t="shared" si="231"/>
        <v>0</v>
      </c>
      <c r="V452" s="983">
        <f t="shared" si="231"/>
        <v>0</v>
      </c>
      <c r="W452" s="983">
        <f t="shared" si="231"/>
        <v>0</v>
      </c>
      <c r="X452" s="983">
        <f t="shared" si="231"/>
        <v>0</v>
      </c>
      <c r="Y452" s="983">
        <f t="shared" si="231"/>
        <v>0</v>
      </c>
      <c r="Z452" s="983">
        <f t="shared" si="231"/>
        <v>0</v>
      </c>
      <c r="AA452" s="983">
        <f t="shared" si="231"/>
        <v>0</v>
      </c>
      <c r="AB452" s="983">
        <f t="shared" si="231"/>
        <v>0</v>
      </c>
      <c r="AC452" s="984">
        <f t="shared" si="231"/>
        <v>0</v>
      </c>
      <c r="AD452" s="1"/>
      <c r="AE452" s="1"/>
    </row>
    <row r="453" spans="8:31" x14ac:dyDescent="0.3">
      <c r="I453" s="1"/>
      <c r="J453" s="1057" t="s">
        <v>437</v>
      </c>
      <c r="K453" s="981"/>
      <c r="L453" s="982"/>
      <c r="M453" s="982"/>
      <c r="N453" s="983">
        <f>N38/$N$365</f>
        <v>0</v>
      </c>
      <c r="O453" s="983">
        <f t="shared" ref="O453:AC453" si="232">O38/$N$365</f>
        <v>0</v>
      </c>
      <c r="P453" s="983">
        <f t="shared" si="232"/>
        <v>0</v>
      </c>
      <c r="Q453" s="983">
        <f t="shared" si="232"/>
        <v>0</v>
      </c>
      <c r="R453" s="983">
        <f t="shared" si="232"/>
        <v>0</v>
      </c>
      <c r="S453" s="983">
        <f t="shared" si="232"/>
        <v>0</v>
      </c>
      <c r="T453" s="983">
        <f t="shared" si="232"/>
        <v>0</v>
      </c>
      <c r="U453" s="983">
        <f t="shared" si="232"/>
        <v>0</v>
      </c>
      <c r="V453" s="983">
        <f t="shared" si="232"/>
        <v>0</v>
      </c>
      <c r="W453" s="983">
        <f t="shared" si="232"/>
        <v>0</v>
      </c>
      <c r="X453" s="983">
        <f t="shared" si="232"/>
        <v>0</v>
      </c>
      <c r="Y453" s="983">
        <f t="shared" si="232"/>
        <v>0</v>
      </c>
      <c r="Z453" s="983">
        <f t="shared" si="232"/>
        <v>0</v>
      </c>
      <c r="AA453" s="983">
        <f t="shared" si="232"/>
        <v>0</v>
      </c>
      <c r="AB453" s="983">
        <f t="shared" si="232"/>
        <v>0</v>
      </c>
      <c r="AC453" s="984">
        <f t="shared" si="232"/>
        <v>0</v>
      </c>
      <c r="AD453" s="1"/>
      <c r="AE453" s="1"/>
    </row>
    <row r="454" spans="8:31" ht="15.75" x14ac:dyDescent="0.25">
      <c r="I454" s="1"/>
      <c r="J454" s="1060" t="s">
        <v>29</v>
      </c>
      <c r="K454" s="992"/>
      <c r="L454" s="992"/>
      <c r="M454" s="992"/>
      <c r="N454" s="993" t="str">
        <f>N39</f>
        <v/>
      </c>
      <c r="O454" s="993" t="str">
        <f t="shared" ref="O454:AC454" si="233">O39</f>
        <v/>
      </c>
      <c r="P454" s="993" t="str">
        <f t="shared" si="233"/>
        <v/>
      </c>
      <c r="Q454" s="993" t="str">
        <f t="shared" si="233"/>
        <v/>
      </c>
      <c r="R454" s="993" t="str">
        <f t="shared" si="233"/>
        <v/>
      </c>
      <c r="S454" s="993" t="str">
        <f t="shared" si="233"/>
        <v/>
      </c>
      <c r="T454" s="993" t="str">
        <f t="shared" si="233"/>
        <v/>
      </c>
      <c r="U454" s="993" t="str">
        <f t="shared" si="233"/>
        <v/>
      </c>
      <c r="V454" s="993" t="str">
        <f t="shared" si="233"/>
        <v/>
      </c>
      <c r="W454" s="993" t="str">
        <f t="shared" si="233"/>
        <v/>
      </c>
      <c r="X454" s="993" t="str">
        <f t="shared" si="233"/>
        <v/>
      </c>
      <c r="Y454" s="993" t="str">
        <f t="shared" si="233"/>
        <v/>
      </c>
      <c r="Z454" s="993" t="str">
        <f t="shared" si="233"/>
        <v/>
      </c>
      <c r="AA454" s="993" t="str">
        <f t="shared" si="233"/>
        <v/>
      </c>
      <c r="AB454" s="993" t="str">
        <f t="shared" si="233"/>
        <v/>
      </c>
      <c r="AC454" s="994" t="str">
        <f t="shared" si="233"/>
        <v/>
      </c>
      <c r="AD454" s="1"/>
      <c r="AE454" s="1"/>
    </row>
    <row r="455" spans="8:31" ht="17.25" thickBot="1" x14ac:dyDescent="0.35">
      <c r="H455" s="423"/>
      <c r="I455" s="424"/>
      <c r="J455" s="423"/>
      <c r="K455" s="425"/>
      <c r="L455" s="423"/>
      <c r="M455" s="423"/>
      <c r="N455" s="423"/>
      <c r="O455" s="423"/>
      <c r="P455" s="423"/>
      <c r="Q455" s="423"/>
      <c r="R455" s="423"/>
      <c r="S455" s="423"/>
      <c r="T455" s="423"/>
      <c r="U455" s="423"/>
      <c r="V455" s="423"/>
      <c r="W455" s="423"/>
      <c r="X455" s="423"/>
      <c r="Y455" s="423"/>
      <c r="Z455" s="423"/>
      <c r="AA455" s="423"/>
      <c r="AB455" s="423"/>
      <c r="AC455" s="423"/>
      <c r="AE455" s="1"/>
    </row>
    <row r="456" spans="8:31" ht="15" thickTop="1" x14ac:dyDescent="0.2">
      <c r="I456" s="1"/>
      <c r="K456" s="1"/>
      <c r="AD456" s="1"/>
      <c r="AE456" s="1"/>
    </row>
    <row r="457" spans="8:31" ht="14.25" x14ac:dyDescent="0.2">
      <c r="I457" s="1"/>
      <c r="K457" s="1"/>
      <c r="AD457" s="1"/>
      <c r="AE457" s="1"/>
    </row>
    <row r="458" spans="8:31" ht="14.25" x14ac:dyDescent="0.2">
      <c r="I458" s="1"/>
      <c r="K458" s="1"/>
      <c r="AD458" s="1"/>
      <c r="AE458" s="1"/>
    </row>
    <row r="459" spans="8:31" ht="21" customHeight="1" x14ac:dyDescent="0.2">
      <c r="I459" s="1"/>
      <c r="K459" s="1"/>
      <c r="AD459" s="1"/>
      <c r="AE459" s="1"/>
    </row>
    <row r="460" spans="8:31" ht="14.25" collapsed="1" x14ac:dyDescent="0.2">
      <c r="I460" s="1"/>
      <c r="K460" s="1"/>
      <c r="AD460" s="1"/>
      <c r="AE460" s="1"/>
    </row>
    <row r="461" spans="8:31" ht="14.25" x14ac:dyDescent="0.2">
      <c r="I461" s="1"/>
      <c r="K461" s="1"/>
      <c r="AD461" s="1"/>
      <c r="AE461" s="1"/>
    </row>
    <row r="462" spans="8:31" ht="14.25" x14ac:dyDescent="0.2">
      <c r="I462" s="1"/>
      <c r="K462" s="1"/>
      <c r="AD462" s="1"/>
      <c r="AE462" s="1"/>
    </row>
    <row r="463" spans="8:31" ht="14.25" x14ac:dyDescent="0.2">
      <c r="I463" s="1"/>
      <c r="K463" s="1"/>
      <c r="AD463" s="1"/>
      <c r="AE463" s="1"/>
    </row>
    <row r="464" spans="8:31" ht="14.25" x14ac:dyDescent="0.2">
      <c r="I464" s="1"/>
      <c r="K464" s="1"/>
      <c r="AD464" s="1"/>
      <c r="AE464" s="1"/>
    </row>
    <row r="465" s="1" customFormat="1" ht="14.25" x14ac:dyDescent="0.2"/>
    <row r="466" s="1" customFormat="1" ht="14.25" x14ac:dyDescent="0.2"/>
    <row r="467" s="1" customFormat="1" ht="14.25" x14ac:dyDescent="0.2"/>
    <row r="468" s="1" customFormat="1" ht="14.25" x14ac:dyDescent="0.2"/>
    <row r="469" s="1" customFormat="1" ht="14.25" x14ac:dyDescent="0.2"/>
    <row r="470" s="1" customFormat="1" ht="14.25" x14ac:dyDescent="0.2"/>
    <row r="471" s="1" customFormat="1" ht="14.25" x14ac:dyDescent="0.2"/>
    <row r="472" s="1" customFormat="1" ht="14.25" x14ac:dyDescent="0.2"/>
    <row r="473" s="1" customFormat="1" ht="14.25" x14ac:dyDescent="0.2"/>
    <row r="474" s="1" customFormat="1" ht="14.25" x14ac:dyDescent="0.2"/>
    <row r="475" s="1" customFormat="1" ht="14.25" x14ac:dyDescent="0.2"/>
    <row r="476" s="1" customFormat="1" ht="14.25" x14ac:dyDescent="0.2"/>
    <row r="477" s="1" customFormat="1" ht="14.25" x14ac:dyDescent="0.2"/>
    <row r="478" s="1" customFormat="1" ht="14.25" x14ac:dyDescent="0.2"/>
    <row r="479" s="1" customFormat="1" ht="14.25" x14ac:dyDescent="0.2"/>
    <row r="480" s="1" customFormat="1" ht="14.25" x14ac:dyDescent="0.2"/>
    <row r="481" s="1" customFormat="1" ht="14.25" x14ac:dyDescent="0.2"/>
    <row r="482" s="1" customFormat="1" ht="14.25" x14ac:dyDescent="0.2"/>
    <row r="483" s="1" customFormat="1" ht="14.25" x14ac:dyDescent="0.2"/>
    <row r="484" s="1" customFormat="1" ht="14.25" x14ac:dyDescent="0.2"/>
    <row r="485" s="1" customFormat="1" ht="14.25" x14ac:dyDescent="0.2"/>
    <row r="486" s="1" customFormat="1" ht="14.25" x14ac:dyDescent="0.2"/>
    <row r="487" s="1" customFormat="1" ht="14.25" x14ac:dyDescent="0.2"/>
    <row r="488" s="1" customFormat="1" ht="14.25" collapsed="1" x14ac:dyDescent="0.2"/>
    <row r="489" s="1" customFormat="1" ht="14.25" x14ac:dyDescent="0.2"/>
    <row r="490" s="1" customFormat="1" ht="14.25" x14ac:dyDescent="0.2"/>
    <row r="491" s="1" customFormat="1" ht="14.25" x14ac:dyDescent="0.2"/>
    <row r="492" s="1" customFormat="1" ht="14.25" x14ac:dyDescent="0.2"/>
    <row r="493" s="1" customFormat="1" ht="14.25" x14ac:dyDescent="0.2"/>
    <row r="494" s="1" customFormat="1" ht="14.25" x14ac:dyDescent="0.2"/>
    <row r="495" s="1" customFormat="1" ht="14.25" x14ac:dyDescent="0.2"/>
    <row r="496" s="1" customFormat="1" ht="14.25" x14ac:dyDescent="0.2"/>
    <row r="497" s="1" customFormat="1" ht="14.25" x14ac:dyDescent="0.2"/>
    <row r="498" s="1" customFormat="1" ht="14.25" x14ac:dyDescent="0.2"/>
    <row r="499" s="1" customFormat="1" ht="14.25" x14ac:dyDescent="0.2"/>
    <row r="500" s="1" customFormat="1" ht="14.25" x14ac:dyDescent="0.2"/>
    <row r="501" s="1" customFormat="1" ht="14.25" x14ac:dyDescent="0.2"/>
    <row r="502" s="1" customFormat="1" ht="14.25" x14ac:dyDescent="0.2"/>
    <row r="503" s="1" customFormat="1" ht="14.25" x14ac:dyDescent="0.2"/>
    <row r="504" s="1" customFormat="1" ht="14.25" x14ac:dyDescent="0.2"/>
    <row r="505" s="1" customFormat="1" ht="14.25" x14ac:dyDescent="0.2"/>
    <row r="506" s="1" customFormat="1" ht="14.25" x14ac:dyDescent="0.2"/>
    <row r="507" s="1" customFormat="1" ht="21" customHeight="1" x14ac:dyDescent="0.2"/>
    <row r="508" s="1" customFormat="1" ht="14.25" collapsed="1" x14ac:dyDescent="0.2"/>
    <row r="509" s="1" customFormat="1" ht="14.25" x14ac:dyDescent="0.2"/>
    <row r="510" s="1" customFormat="1" ht="14.25" x14ac:dyDescent="0.2"/>
    <row r="511" s="1" customFormat="1" ht="14.25" x14ac:dyDescent="0.2"/>
    <row r="512" s="1" customFormat="1" ht="14.25" x14ac:dyDescent="0.2"/>
    <row r="513" s="1" customFormat="1" ht="14.25" x14ac:dyDescent="0.2"/>
    <row r="514" s="1" customFormat="1" ht="14.25" x14ac:dyDescent="0.2"/>
    <row r="515" s="1" customFormat="1" ht="14.25" x14ac:dyDescent="0.2"/>
    <row r="516" s="1" customFormat="1" ht="14.25" x14ac:dyDescent="0.2"/>
    <row r="517" s="1" customFormat="1" ht="14.25" x14ac:dyDescent="0.2"/>
    <row r="518" s="1" customFormat="1" ht="14.25" x14ac:dyDescent="0.2"/>
    <row r="519" s="1" customFormat="1" ht="14.25" x14ac:dyDescent="0.2"/>
    <row r="520" s="1" customFormat="1" ht="14.25" x14ac:dyDescent="0.2"/>
    <row r="521" s="1" customFormat="1" ht="14.25" x14ac:dyDescent="0.2"/>
    <row r="522" s="1" customFormat="1" ht="14.25" x14ac:dyDescent="0.2"/>
    <row r="523" s="1" customFormat="1" ht="14.25" x14ac:dyDescent="0.2"/>
    <row r="524" s="1" customFormat="1" ht="14.25" x14ac:dyDescent="0.2"/>
    <row r="525" s="1" customFormat="1" ht="14.25" x14ac:dyDescent="0.2"/>
    <row r="526" s="1" customFormat="1" ht="14.25" x14ac:dyDescent="0.2"/>
    <row r="527" s="1" customFormat="1" ht="14.25" x14ac:dyDescent="0.2"/>
    <row r="528" s="1" customFormat="1" ht="14.25" x14ac:dyDescent="0.2"/>
    <row r="529" s="1" customFormat="1" ht="14.25" x14ac:dyDescent="0.2"/>
    <row r="530" s="1" customFormat="1" ht="14.25" x14ac:dyDescent="0.2"/>
    <row r="531" s="1" customFormat="1" ht="14.25" x14ac:dyDescent="0.2"/>
    <row r="532" s="1" customFormat="1" ht="14.25" x14ac:dyDescent="0.2"/>
    <row r="533" s="1" customFormat="1" ht="14.25" x14ac:dyDescent="0.2"/>
    <row r="534" s="1" customFormat="1" ht="14.25" x14ac:dyDescent="0.2"/>
    <row r="535" s="1" customFormat="1" ht="14.25" x14ac:dyDescent="0.2"/>
    <row r="536" s="1" customFormat="1" ht="14.25" x14ac:dyDescent="0.2"/>
    <row r="537" s="1" customFormat="1" ht="14.25" x14ac:dyDescent="0.2"/>
    <row r="538" s="1" customFormat="1" ht="14.25" x14ac:dyDescent="0.2"/>
    <row r="539" s="1" customFormat="1" ht="14.25" x14ac:dyDescent="0.2"/>
    <row r="540" s="1" customFormat="1" ht="14.25" x14ac:dyDescent="0.2"/>
    <row r="541" s="1" customFormat="1" ht="14.25" x14ac:dyDescent="0.2"/>
    <row r="542" s="1" customFormat="1" ht="14.25" x14ac:dyDescent="0.2"/>
    <row r="543" s="1" customFormat="1" ht="14.25" x14ac:dyDescent="0.2"/>
    <row r="544" s="1" customFormat="1" ht="14.25" x14ac:dyDescent="0.2"/>
    <row r="545" s="1" customFormat="1" ht="14.25" x14ac:dyDescent="0.2"/>
    <row r="546" s="1" customFormat="1" ht="14.25" x14ac:dyDescent="0.2"/>
    <row r="547" s="1" customFormat="1" ht="14.25" x14ac:dyDescent="0.2"/>
    <row r="548" s="1" customFormat="1" ht="14.25" x14ac:dyDescent="0.2"/>
    <row r="549" s="1" customFormat="1" ht="14.25" x14ac:dyDescent="0.2"/>
    <row r="550" s="1" customFormat="1" ht="21" customHeight="1" x14ac:dyDescent="0.2"/>
    <row r="551" s="1" customFormat="1" ht="14.25" x14ac:dyDescent="0.2"/>
    <row r="552" s="1" customFormat="1" ht="14.25" x14ac:dyDescent="0.2"/>
    <row r="553" s="1" customFormat="1" ht="14.25" x14ac:dyDescent="0.2"/>
    <row r="554" s="1" customFormat="1" ht="14.25" x14ac:dyDescent="0.2"/>
    <row r="555" s="1" customFormat="1" ht="14.25" x14ac:dyDescent="0.2"/>
    <row r="556" s="1" customFormat="1" ht="14.25" x14ac:dyDescent="0.2"/>
    <row r="557" s="1" customFormat="1" ht="14.25" x14ac:dyDescent="0.2"/>
    <row r="558" s="1" customFormat="1" ht="14.25" x14ac:dyDescent="0.2"/>
    <row r="559" s="1" customFormat="1" ht="14.25" x14ac:dyDescent="0.2"/>
    <row r="560" s="1" customFormat="1" ht="14.25" x14ac:dyDescent="0.2"/>
    <row r="561" s="1" customFormat="1" ht="14.25" x14ac:dyDescent="0.2"/>
    <row r="562" s="1" customFormat="1" ht="14.25" x14ac:dyDescent="0.2"/>
    <row r="563" s="1" customFormat="1" ht="14.25" x14ac:dyDescent="0.2"/>
    <row r="564" s="1" customFormat="1" ht="14.25" x14ac:dyDescent="0.2"/>
    <row r="565" s="1" customFormat="1" ht="14.25" x14ac:dyDescent="0.2"/>
    <row r="566" s="1" customFormat="1" ht="14.25" x14ac:dyDescent="0.2"/>
    <row r="567" s="1" customFormat="1" ht="14.25" x14ac:dyDescent="0.2"/>
    <row r="568" s="1" customFormat="1" ht="14.25" x14ac:dyDescent="0.2"/>
    <row r="569" s="1" customFormat="1" ht="14.25" x14ac:dyDescent="0.2"/>
    <row r="570" s="1" customFormat="1" ht="14.25" x14ac:dyDescent="0.2"/>
    <row r="571" s="1" customFormat="1" ht="14.25" x14ac:dyDescent="0.2"/>
    <row r="572" s="1" customFormat="1" ht="14.25" x14ac:dyDescent="0.2"/>
    <row r="573" s="1" customFormat="1" ht="14.25" x14ac:dyDescent="0.2"/>
    <row r="574" s="1" customFormat="1" ht="14.25" x14ac:dyDescent="0.2"/>
    <row r="575" s="1" customFormat="1" ht="14.25" x14ac:dyDescent="0.2"/>
    <row r="576" s="1" customFormat="1" ht="14.25" x14ac:dyDescent="0.2"/>
    <row r="577" s="1" customFormat="1" ht="14.25" x14ac:dyDescent="0.2"/>
    <row r="578" s="1" customFormat="1" ht="14.25" x14ac:dyDescent="0.2"/>
    <row r="579" s="1" customFormat="1" ht="14.25" x14ac:dyDescent="0.2"/>
    <row r="580" s="1" customFormat="1" ht="14.25" x14ac:dyDescent="0.2"/>
    <row r="581" s="1" customFormat="1" ht="14.25" x14ac:dyDescent="0.2"/>
    <row r="582" s="1" customFormat="1" ht="14.25" x14ac:dyDescent="0.2"/>
    <row r="583" s="1" customFormat="1" ht="14.25" x14ac:dyDescent="0.2"/>
    <row r="584" s="1" customFormat="1" ht="14.25" x14ac:dyDescent="0.2"/>
    <row r="585" s="1" customFormat="1" ht="14.25" x14ac:dyDescent="0.2"/>
    <row r="586" s="1" customFormat="1" ht="14.25" x14ac:dyDescent="0.2"/>
    <row r="587" s="1" customFormat="1" ht="14.25" x14ac:dyDescent="0.2"/>
    <row r="588" s="1" customFormat="1" ht="14.25" x14ac:dyDescent="0.2"/>
    <row r="589" s="1" customFormat="1" ht="14.25" x14ac:dyDescent="0.2"/>
    <row r="590" s="1" customFormat="1" ht="14.25" x14ac:dyDescent="0.2"/>
    <row r="591" s="1" customFormat="1" ht="21" customHeight="1" x14ac:dyDescent="0.2"/>
    <row r="592" s="1" customFormat="1" ht="25.5" customHeight="1" collapsed="1" x14ac:dyDescent="0.2"/>
    <row r="593" s="1" customFormat="1" ht="14.25" x14ac:dyDescent="0.2"/>
    <row r="594" s="1" customFormat="1" ht="14.25" x14ac:dyDescent="0.2"/>
    <row r="595" s="1" customFormat="1" ht="14.25" x14ac:dyDescent="0.2"/>
    <row r="596" s="1" customFormat="1" ht="14.25" x14ac:dyDescent="0.2"/>
    <row r="597" s="1" customFormat="1" ht="14.25" x14ac:dyDescent="0.2"/>
    <row r="598" s="1" customFormat="1" ht="14.25" x14ac:dyDescent="0.2"/>
    <row r="599" s="1" customFormat="1" ht="14.25" x14ac:dyDescent="0.2"/>
    <row r="600" s="1" customFormat="1" ht="14.25" x14ac:dyDescent="0.2"/>
    <row r="601" s="1" customFormat="1" ht="14.25" x14ac:dyDescent="0.2"/>
    <row r="602" s="1" customFormat="1" ht="14.25" x14ac:dyDescent="0.2"/>
    <row r="603" s="1" customFormat="1" ht="14.25" x14ac:dyDescent="0.2"/>
    <row r="604" s="1" customFormat="1" ht="14.25" x14ac:dyDescent="0.2"/>
    <row r="605" s="1" customFormat="1" ht="14.25" x14ac:dyDescent="0.2"/>
    <row r="606" s="1" customFormat="1" ht="14.25" x14ac:dyDescent="0.2"/>
    <row r="607" s="1" customFormat="1" ht="14.25" x14ac:dyDescent="0.2"/>
    <row r="608" s="1" customFormat="1" ht="14.25" x14ac:dyDescent="0.2"/>
    <row r="609" s="1" customFormat="1" ht="14.25" x14ac:dyDescent="0.2"/>
    <row r="610" s="1" customFormat="1" ht="14.25" x14ac:dyDescent="0.2"/>
    <row r="611" s="1" customFormat="1" ht="14.25" x14ac:dyDescent="0.2"/>
    <row r="612" s="1" customFormat="1" ht="14.25" x14ac:dyDescent="0.2"/>
    <row r="613" s="1" customFormat="1" ht="14.25" x14ac:dyDescent="0.2"/>
    <row r="614" s="1" customFormat="1" ht="18.75" customHeight="1" x14ac:dyDescent="0.2"/>
    <row r="615" s="1" customFormat="1" ht="14.25" x14ac:dyDescent="0.2"/>
    <row r="616" s="1" customFormat="1" ht="14.25" x14ac:dyDescent="0.2"/>
    <row r="617" s="1" customFormat="1" ht="14.25" x14ac:dyDescent="0.2"/>
    <row r="618" s="1" customFormat="1" ht="14.25" x14ac:dyDescent="0.2"/>
    <row r="619" s="1" customFormat="1" ht="14.25" x14ac:dyDescent="0.2"/>
    <row r="620" s="1" customFormat="1" ht="14.25" x14ac:dyDescent="0.2"/>
    <row r="621" s="1" customFormat="1" ht="14.25" x14ac:dyDescent="0.2"/>
    <row r="622" s="1" customFormat="1" ht="14.25" x14ac:dyDescent="0.2"/>
    <row r="623" s="1" customFormat="1" ht="14.25" x14ac:dyDescent="0.2"/>
    <row r="624" s="1" customFormat="1" ht="14.25" x14ac:dyDescent="0.2"/>
    <row r="625" s="1" customFormat="1" ht="21" customHeight="1" x14ac:dyDescent="0.2"/>
    <row r="626" s="1" customFormat="1" ht="14.25" collapsed="1" x14ac:dyDescent="0.2"/>
    <row r="627" s="1" customFormat="1" ht="14.25" x14ac:dyDescent="0.2"/>
    <row r="628" s="1" customFormat="1" ht="14.25" x14ac:dyDescent="0.2"/>
    <row r="629" s="1" customFormat="1" ht="14.25" x14ac:dyDescent="0.2"/>
    <row r="630" s="1" customFormat="1" ht="14.25" x14ac:dyDescent="0.2"/>
    <row r="631" s="1" customFormat="1" ht="14.25" x14ac:dyDescent="0.2"/>
    <row r="632" s="1" customFormat="1" ht="14.25" x14ac:dyDescent="0.2"/>
    <row r="633" s="1" customFormat="1" ht="14.25" x14ac:dyDescent="0.2"/>
    <row r="634" s="1" customFormat="1" ht="14.25" x14ac:dyDescent="0.2"/>
    <row r="635" s="1" customFormat="1" ht="14.25" x14ac:dyDescent="0.2"/>
    <row r="636" s="1" customFormat="1" ht="14.25" x14ac:dyDescent="0.2"/>
    <row r="637" s="1" customFormat="1" ht="14.25" x14ac:dyDescent="0.2"/>
    <row r="638" s="1" customFormat="1" ht="14.25" x14ac:dyDescent="0.2"/>
    <row r="639" s="1" customFormat="1" ht="22.5" customHeight="1" x14ac:dyDescent="0.2"/>
    <row r="640" s="1" customFormat="1" ht="14.25" x14ac:dyDescent="0.2"/>
    <row r="641" s="1" customFormat="1" ht="14.25" x14ac:dyDescent="0.2"/>
    <row r="642" s="1" customFormat="1" ht="14.25" x14ac:dyDescent="0.2"/>
    <row r="643" s="1" customFormat="1" ht="14.25" x14ac:dyDescent="0.2"/>
    <row r="644" s="1" customFormat="1" ht="14.25" x14ac:dyDescent="0.2"/>
    <row r="645" s="1" customFormat="1" ht="14.25" x14ac:dyDescent="0.2"/>
    <row r="646" s="1" customFormat="1" ht="14.25" x14ac:dyDescent="0.2"/>
    <row r="647" s="1" customFormat="1" ht="14.25" x14ac:dyDescent="0.2"/>
    <row r="648" s="1" customFormat="1" ht="14.25" x14ac:dyDescent="0.2"/>
    <row r="649" s="1" customFormat="1" ht="14.25" x14ac:dyDescent="0.2"/>
    <row r="650" s="1" customFormat="1" ht="14.25" x14ac:dyDescent="0.2"/>
    <row r="651" s="1" customFormat="1" ht="14.25" x14ac:dyDescent="0.2"/>
    <row r="652" s="1" customFormat="1" ht="14.25" x14ac:dyDescent="0.2"/>
    <row r="653" s="1" customFormat="1" ht="14.25" x14ac:dyDescent="0.2"/>
    <row r="654" s="1" customFormat="1" ht="14.25" x14ac:dyDescent="0.2"/>
    <row r="655" s="1" customFormat="1" ht="14.25" x14ac:dyDescent="0.2"/>
    <row r="656" s="1" customFormat="1" ht="14.25" x14ac:dyDescent="0.2"/>
    <row r="657" s="1" customFormat="1" ht="14.25" x14ac:dyDescent="0.2"/>
    <row r="658" s="1" customFormat="1" ht="14.25" x14ac:dyDescent="0.2"/>
    <row r="659" s="1" customFormat="1" ht="14.25" x14ac:dyDescent="0.2"/>
    <row r="660" s="1" customFormat="1" ht="14.25" x14ac:dyDescent="0.2"/>
    <row r="661" s="1" customFormat="1" ht="14.25" x14ac:dyDescent="0.2"/>
    <row r="662" s="1" customFormat="1" ht="14.25" x14ac:dyDescent="0.2"/>
    <row r="663" s="1" customFormat="1" ht="14.25" x14ac:dyDescent="0.2"/>
    <row r="664" s="1" customFormat="1" ht="14.25" x14ac:dyDescent="0.2"/>
    <row r="665" s="1" customFormat="1" ht="14.25" x14ac:dyDescent="0.2"/>
    <row r="666" s="1" customFormat="1" ht="14.25" x14ac:dyDescent="0.2"/>
    <row r="667" s="1" customFormat="1" ht="14.25" x14ac:dyDescent="0.2"/>
    <row r="668" s="1" customFormat="1" ht="14.25" x14ac:dyDescent="0.2"/>
    <row r="669" s="1" customFormat="1" ht="14.25" x14ac:dyDescent="0.2"/>
    <row r="670" s="1" customFormat="1" ht="14.25" x14ac:dyDescent="0.2"/>
    <row r="671" s="1" customFormat="1" ht="14.25" x14ac:dyDescent="0.2"/>
    <row r="672" s="1" customFormat="1" ht="14.25" x14ac:dyDescent="0.2"/>
    <row r="673" s="1" customFormat="1" ht="14.25" x14ac:dyDescent="0.2"/>
    <row r="674" s="1" customFormat="1" ht="14.25" x14ac:dyDescent="0.2"/>
    <row r="675" s="1" customFormat="1" ht="14.25" x14ac:dyDescent="0.2"/>
    <row r="676" s="1" customFormat="1" ht="14.25" x14ac:dyDescent="0.2"/>
    <row r="677" s="1" customFormat="1" ht="14.25" x14ac:dyDescent="0.2"/>
    <row r="678" s="1" customFormat="1" ht="14.25" x14ac:dyDescent="0.2"/>
    <row r="679" s="1" customFormat="1" ht="14.25" x14ac:dyDescent="0.2"/>
    <row r="680" s="1" customFormat="1" ht="14.25" x14ac:dyDescent="0.2"/>
    <row r="681" s="1" customFormat="1" ht="14.25" x14ac:dyDescent="0.2"/>
    <row r="682" s="1" customFormat="1" ht="14.25" x14ac:dyDescent="0.2"/>
    <row r="683" s="1" customFormat="1" ht="14.25" x14ac:dyDescent="0.2"/>
    <row r="684" s="1" customFormat="1" ht="14.25" x14ac:dyDescent="0.2"/>
    <row r="685" s="1" customFormat="1" ht="14.25" x14ac:dyDescent="0.2"/>
    <row r="686" s="1" customFormat="1" ht="14.25" x14ac:dyDescent="0.2"/>
    <row r="687" s="1" customFormat="1" ht="14.25" x14ac:dyDescent="0.2"/>
    <row r="688" s="1" customFormat="1" ht="14.25" x14ac:dyDescent="0.2"/>
    <row r="689" s="1" customFormat="1" ht="14.25" x14ac:dyDescent="0.2"/>
    <row r="690" s="1" customFormat="1" ht="14.25" x14ac:dyDescent="0.2"/>
    <row r="691" s="1" customFormat="1" ht="14.25" x14ac:dyDescent="0.2"/>
    <row r="692" s="1" customFormat="1" ht="14.25" x14ac:dyDescent="0.2"/>
    <row r="693" s="1" customFormat="1" ht="21" customHeight="1" x14ac:dyDescent="0.2"/>
    <row r="694" s="1" customFormat="1" ht="14.25" collapsed="1" x14ac:dyDescent="0.2"/>
    <row r="695" s="1" customFormat="1" ht="14.25" x14ac:dyDescent="0.2"/>
    <row r="696" s="1" customFormat="1" ht="14.25" x14ac:dyDescent="0.2"/>
    <row r="697" s="1" customFormat="1" ht="14.25" x14ac:dyDescent="0.2"/>
    <row r="698" s="1" customFormat="1" ht="14.25" x14ac:dyDescent="0.2"/>
    <row r="699" s="1" customFormat="1" ht="14.25" x14ac:dyDescent="0.2"/>
    <row r="700" s="1" customFormat="1" ht="14.25" x14ac:dyDescent="0.2"/>
    <row r="701" s="1" customFormat="1" ht="14.25" x14ac:dyDescent="0.2"/>
    <row r="702" s="1" customFormat="1" ht="14.25" x14ac:dyDescent="0.2"/>
    <row r="703" s="1" customFormat="1" ht="14.25" x14ac:dyDescent="0.2"/>
    <row r="704" s="1" customFormat="1" ht="14.25" x14ac:dyDescent="0.2"/>
    <row r="705" s="1" customFormat="1" ht="14.25" x14ac:dyDescent="0.2"/>
    <row r="706" s="1" customFormat="1" ht="14.25" x14ac:dyDescent="0.2"/>
    <row r="707" s="1" customFormat="1" ht="14.25" x14ac:dyDescent="0.2"/>
    <row r="708" s="1" customFormat="1" ht="14.25" x14ac:dyDescent="0.2"/>
    <row r="709" s="1" customFormat="1" ht="14.25" x14ac:dyDescent="0.2"/>
    <row r="710" s="1" customFormat="1" ht="14.25" x14ac:dyDescent="0.2"/>
    <row r="711" s="1" customFormat="1" ht="14.25" x14ac:dyDescent="0.2"/>
    <row r="712" s="1" customFormat="1" ht="14.25" x14ac:dyDescent="0.2"/>
    <row r="713" s="1" customFormat="1" ht="14.25" x14ac:dyDescent="0.2"/>
    <row r="714" s="1" customFormat="1" ht="14.25" x14ac:dyDescent="0.2"/>
    <row r="715" s="1" customFormat="1" ht="14.25" x14ac:dyDescent="0.2"/>
    <row r="716" s="1" customFormat="1" ht="14.25" x14ac:dyDescent="0.2"/>
    <row r="717" s="1" customFormat="1" ht="14.25" x14ac:dyDescent="0.2"/>
    <row r="718" s="1" customFormat="1" ht="14.25" x14ac:dyDescent="0.2"/>
    <row r="719" s="1" customFormat="1" ht="14.25" x14ac:dyDescent="0.2"/>
    <row r="720" s="1" customFormat="1" ht="14.25" x14ac:dyDescent="0.2"/>
    <row r="721" s="1" customFormat="1" ht="14.25" x14ac:dyDescent="0.2"/>
    <row r="722" s="1" customFormat="1" ht="14.25" x14ac:dyDescent="0.2"/>
    <row r="723" s="1" customFormat="1" ht="14.25" x14ac:dyDescent="0.2"/>
    <row r="724" s="1" customFormat="1" ht="14.25" x14ac:dyDescent="0.2"/>
    <row r="725" s="1" customFormat="1" ht="14.25" x14ac:dyDescent="0.2"/>
    <row r="726" s="1" customFormat="1" ht="14.25" x14ac:dyDescent="0.2"/>
    <row r="727" s="1" customFormat="1" ht="14.25" x14ac:dyDescent="0.2"/>
    <row r="728" s="1" customFormat="1" ht="14.25" x14ac:dyDescent="0.2"/>
    <row r="729" s="1" customFormat="1" ht="14.25" x14ac:dyDescent="0.2"/>
    <row r="730" s="1" customFormat="1" ht="14.25" x14ac:dyDescent="0.2"/>
    <row r="731" s="1" customFormat="1" ht="14.25" x14ac:dyDescent="0.2"/>
    <row r="732" s="1" customFormat="1" ht="14.25" x14ac:dyDescent="0.2"/>
    <row r="733" s="1" customFormat="1" ht="14.25" x14ac:dyDescent="0.2"/>
    <row r="734" s="1" customFormat="1" ht="14.25" x14ac:dyDescent="0.2"/>
    <row r="735" s="1" customFormat="1" ht="14.25" x14ac:dyDescent="0.2"/>
    <row r="736" s="1" customFormat="1" ht="14.25" x14ac:dyDescent="0.2"/>
    <row r="737" s="1" customFormat="1" ht="21" customHeight="1" x14ac:dyDescent="0.2"/>
    <row r="738" s="1" customFormat="1" ht="36.75" customHeight="1" x14ac:dyDescent="0.2"/>
    <row r="739" s="1" customFormat="1" ht="18.75" customHeight="1" x14ac:dyDescent="0.2"/>
    <row r="740" s="1" customFormat="1" ht="18.75" customHeight="1" x14ac:dyDescent="0.2"/>
    <row r="741" s="1" customFormat="1" ht="18.75" customHeight="1" x14ac:dyDescent="0.2"/>
    <row r="742" s="1" customFormat="1" ht="18.75" customHeight="1" x14ac:dyDescent="0.2"/>
    <row r="743" s="1" customFormat="1" ht="18.75" customHeight="1" x14ac:dyDescent="0.2"/>
    <row r="744" s="1" customFormat="1" ht="18.75" customHeight="1" x14ac:dyDescent="0.2"/>
    <row r="745" s="1" customFormat="1" ht="18.75" customHeight="1" x14ac:dyDescent="0.2"/>
    <row r="746" s="1" customFormat="1" ht="18.75" customHeight="1" x14ac:dyDescent="0.2"/>
    <row r="747" s="1" customFormat="1" ht="18.75" customHeight="1" x14ac:dyDescent="0.2"/>
    <row r="748" s="1" customFormat="1" ht="18.75" customHeight="1" x14ac:dyDescent="0.2"/>
    <row r="749" s="1" customFormat="1" ht="18.75" customHeight="1" x14ac:dyDescent="0.2"/>
    <row r="750" s="1" customFormat="1" ht="18.75" customHeight="1" x14ac:dyDescent="0.2"/>
    <row r="751" s="1" customFormat="1" ht="18.75" customHeight="1" x14ac:dyDescent="0.2"/>
    <row r="752" s="1" customFormat="1" ht="18.75" customHeight="1" x14ac:dyDescent="0.2"/>
    <row r="753" s="1" customFormat="1" ht="18.75" customHeight="1" x14ac:dyDescent="0.2"/>
    <row r="754" s="1" customFormat="1" ht="18.75" customHeight="1" x14ac:dyDescent="0.2"/>
    <row r="755" s="1" customFormat="1" ht="18.75" customHeight="1" x14ac:dyDescent="0.2"/>
    <row r="756" s="1" customFormat="1" ht="18.75" customHeight="1" x14ac:dyDescent="0.2"/>
    <row r="757" s="1" customFormat="1" ht="14.25" x14ac:dyDescent="0.2"/>
    <row r="758" s="1" customFormat="1" ht="14.25" x14ac:dyDescent="0.2"/>
    <row r="759" s="1" customFormat="1" ht="14.25" x14ac:dyDescent="0.2"/>
    <row r="760" s="1" customFormat="1" ht="14.25" x14ac:dyDescent="0.2"/>
    <row r="761" s="1" customFormat="1" ht="14.25" x14ac:dyDescent="0.2"/>
    <row r="762" s="1" customFormat="1" ht="3.75" customHeight="1" x14ac:dyDescent="0.2"/>
    <row r="763" s="1" customFormat="1" ht="14.25" x14ac:dyDescent="0.2"/>
    <row r="764" s="1" customFormat="1" ht="14.25" x14ac:dyDescent="0.2"/>
    <row r="765" s="1" customFormat="1" ht="14.25" x14ac:dyDescent="0.2"/>
    <row r="766" s="1" customFormat="1" ht="14.25" x14ac:dyDescent="0.2"/>
    <row r="767" s="1" customFormat="1" ht="14.25" x14ac:dyDescent="0.2"/>
    <row r="768" s="1" customFormat="1" ht="6.75" customHeight="1" x14ac:dyDescent="0.2"/>
    <row r="769" s="1" customFormat="1" ht="14.25" x14ac:dyDescent="0.2"/>
    <row r="770" s="1" customFormat="1" ht="14.25" x14ac:dyDescent="0.2"/>
    <row r="771" s="1" customFormat="1" ht="14.25" x14ac:dyDescent="0.2"/>
    <row r="772" s="1" customFormat="1" ht="14.25" x14ac:dyDescent="0.2"/>
    <row r="773" s="1" customFormat="1" ht="14.25" x14ac:dyDescent="0.2"/>
    <row r="774" s="1" customFormat="1" ht="14.25" x14ac:dyDescent="0.2"/>
    <row r="775" s="1" customFormat="1" ht="14.25" x14ac:dyDescent="0.2"/>
    <row r="776" s="1" customFormat="1" ht="14.25" x14ac:dyDescent="0.2"/>
    <row r="777" s="1" customFormat="1" ht="14.25" x14ac:dyDescent="0.2"/>
    <row r="778" s="1" customFormat="1" ht="14.25" x14ac:dyDescent="0.2"/>
    <row r="779" s="1" customFormat="1" ht="14.25" x14ac:dyDescent="0.2"/>
    <row r="780" s="1" customFormat="1" ht="14.25" x14ac:dyDescent="0.2"/>
    <row r="781" s="1" customFormat="1" ht="14.25" x14ac:dyDescent="0.2"/>
    <row r="782" s="1" customFormat="1" ht="14.25" x14ac:dyDescent="0.2"/>
    <row r="783" s="1" customFormat="1" ht="14.25" x14ac:dyDescent="0.2"/>
    <row r="784" s="1" customFormat="1" ht="14.25" x14ac:dyDescent="0.2"/>
    <row r="785" s="1" customFormat="1" ht="14.25" x14ac:dyDescent="0.2"/>
    <row r="786" s="1" customFormat="1" ht="14.25" x14ac:dyDescent="0.2"/>
    <row r="787" s="1" customFormat="1" ht="14.25" x14ac:dyDescent="0.2"/>
    <row r="788" s="1" customFormat="1" ht="14.25" x14ac:dyDescent="0.2"/>
    <row r="789" s="1" customFormat="1" ht="14.25" x14ac:dyDescent="0.2"/>
    <row r="790" s="1" customFormat="1" ht="14.25" x14ac:dyDescent="0.2"/>
    <row r="791" s="1" customFormat="1" ht="14.25" x14ac:dyDescent="0.2"/>
    <row r="792" s="1" customFormat="1" ht="14.25" x14ac:dyDescent="0.2"/>
    <row r="793" s="1" customFormat="1" ht="14.25" x14ac:dyDescent="0.2"/>
    <row r="794" s="1" customFormat="1" ht="14.25" x14ac:dyDescent="0.2"/>
    <row r="795" s="1" customFormat="1" ht="14.25" x14ac:dyDescent="0.2"/>
    <row r="796" s="1" customFormat="1" ht="14.25" x14ac:dyDescent="0.2"/>
    <row r="797" s="1" customFormat="1" ht="14.25" x14ac:dyDescent="0.2"/>
    <row r="798" s="1" customFormat="1" ht="14.25" x14ac:dyDescent="0.2"/>
    <row r="799" s="1" customFormat="1" ht="14.25" x14ac:dyDescent="0.2"/>
    <row r="800" s="1" customFormat="1" ht="14.25" x14ac:dyDescent="0.2"/>
    <row r="801" s="1" customFormat="1" ht="14.25" x14ac:dyDescent="0.2"/>
    <row r="802" s="1" customFormat="1" ht="14.25" x14ac:dyDescent="0.2"/>
    <row r="803" s="1" customFormat="1" ht="14.25" x14ac:dyDescent="0.2"/>
    <row r="804" s="1" customFormat="1" ht="14.25" x14ac:dyDescent="0.2"/>
    <row r="805" s="1" customFormat="1" ht="14.25" x14ac:dyDescent="0.2"/>
    <row r="806" s="1" customFormat="1" ht="14.25" x14ac:dyDescent="0.2"/>
    <row r="807" s="1" customFormat="1" ht="14.25" x14ac:dyDescent="0.2"/>
    <row r="808" s="1" customFormat="1" ht="14.25" x14ac:dyDescent="0.2"/>
    <row r="809" s="1" customFormat="1" ht="14.25" x14ac:dyDescent="0.2"/>
    <row r="810" s="1" customFormat="1" ht="14.25" x14ac:dyDescent="0.2"/>
    <row r="811" s="1" customFormat="1" ht="14.25" x14ac:dyDescent="0.2"/>
    <row r="812" s="1" customFormat="1" ht="14.25" x14ac:dyDescent="0.2"/>
    <row r="813" s="1" customFormat="1" ht="14.25" x14ac:dyDescent="0.2"/>
    <row r="814" s="1" customFormat="1" ht="14.25" x14ac:dyDescent="0.2"/>
    <row r="815" s="1" customFormat="1" ht="14.25" x14ac:dyDescent="0.2"/>
    <row r="816" s="1" customFormat="1" ht="14.25" x14ac:dyDescent="0.2"/>
    <row r="817" s="1" customFormat="1" ht="14.25" x14ac:dyDescent="0.2"/>
    <row r="818" s="1" customFormat="1" ht="14.25" x14ac:dyDescent="0.2"/>
    <row r="819" s="1" customFormat="1" ht="14.25" x14ac:dyDescent="0.2"/>
    <row r="820" s="1" customFormat="1" ht="14.25" x14ac:dyDescent="0.2"/>
    <row r="821" s="1" customFormat="1" ht="14.25" x14ac:dyDescent="0.2"/>
    <row r="822" s="1" customFormat="1" ht="14.25" x14ac:dyDescent="0.2"/>
    <row r="823" s="1" customFormat="1" ht="14.25" x14ac:dyDescent="0.2"/>
    <row r="824" s="1" customFormat="1" ht="14.25" x14ac:dyDescent="0.2"/>
    <row r="825" s="1" customFormat="1" ht="14.25" x14ac:dyDescent="0.2"/>
    <row r="826" s="1" customFormat="1" ht="14.25" x14ac:dyDescent="0.2"/>
    <row r="827" s="1" customFormat="1" ht="14.25" x14ac:dyDescent="0.2"/>
    <row r="828" s="1" customFormat="1" ht="14.25" x14ac:dyDescent="0.2"/>
    <row r="829" s="1" customFormat="1" ht="14.25" x14ac:dyDescent="0.2"/>
    <row r="830" s="1" customFormat="1" ht="14.25" x14ac:dyDescent="0.2"/>
    <row r="831" s="1" customFormat="1" ht="14.25" x14ac:dyDescent="0.2"/>
    <row r="832" s="1" customFormat="1" ht="14.25" x14ac:dyDescent="0.2"/>
    <row r="833" s="1" customFormat="1" ht="14.25" x14ac:dyDescent="0.2"/>
    <row r="834" s="1" customFormat="1" ht="14.25" x14ac:dyDescent="0.2"/>
    <row r="835" s="1" customFormat="1" ht="14.25" x14ac:dyDescent="0.2"/>
    <row r="836" s="1" customFormat="1" ht="14.25" x14ac:dyDescent="0.2"/>
    <row r="837" s="1" customFormat="1" ht="14.25" x14ac:dyDescent="0.2"/>
    <row r="838" s="1" customFormat="1" ht="14.25" x14ac:dyDescent="0.2"/>
    <row r="839" s="1" customFormat="1" ht="14.25" x14ac:dyDescent="0.2"/>
    <row r="840" s="1" customFormat="1" ht="14.25" x14ac:dyDescent="0.2"/>
    <row r="841" s="1" customFormat="1" ht="14.25" x14ac:dyDescent="0.2"/>
    <row r="842" s="1" customFormat="1" ht="14.25" x14ac:dyDescent="0.2"/>
    <row r="843" s="1" customFormat="1" ht="14.25" x14ac:dyDescent="0.2"/>
    <row r="844" s="1" customFormat="1" ht="14.25" x14ac:dyDescent="0.2"/>
    <row r="845" s="1" customFormat="1" ht="14.25" x14ac:dyDescent="0.2"/>
    <row r="846" s="1" customFormat="1" ht="14.25" x14ac:dyDescent="0.2"/>
    <row r="847" s="1" customFormat="1" ht="14.25" x14ac:dyDescent="0.2"/>
    <row r="848" s="1" customFormat="1" ht="14.25" x14ac:dyDescent="0.2"/>
    <row r="849" spans="9:31" ht="14.25" x14ac:dyDescent="0.2">
      <c r="I849" s="1"/>
      <c r="K849" s="1"/>
      <c r="AD849" s="1"/>
      <c r="AE849" s="1"/>
    </row>
    <row r="850" spans="9:31" ht="14.25" x14ac:dyDescent="0.2">
      <c r="I850" s="1"/>
      <c r="K850" s="1"/>
      <c r="AD850" s="1"/>
      <c r="AE850" s="1"/>
    </row>
    <row r="851" spans="9:31" ht="14.25" x14ac:dyDescent="0.2">
      <c r="I851" s="1"/>
      <c r="K851" s="1"/>
      <c r="AD851" s="1"/>
      <c r="AE851" s="1"/>
    </row>
    <row r="852" spans="9:31" ht="14.25" x14ac:dyDescent="0.2">
      <c r="I852" s="1"/>
      <c r="K852" s="1"/>
      <c r="AD852" s="1"/>
      <c r="AE852" s="1"/>
    </row>
    <row r="853" spans="9:31" ht="14.25" x14ac:dyDescent="0.2">
      <c r="I853" s="1"/>
      <c r="K853" s="1"/>
      <c r="AD853" s="1"/>
      <c r="AE853" s="1"/>
    </row>
    <row r="854" spans="9:31" ht="14.25" x14ac:dyDescent="0.2">
      <c r="I854" s="1"/>
      <c r="K854" s="1"/>
      <c r="AD854" s="1"/>
      <c r="AE854" s="1"/>
    </row>
    <row r="855" spans="9:31" ht="14.25" x14ac:dyDescent="0.2">
      <c r="I855" s="1"/>
      <c r="K855" s="1"/>
      <c r="AD855" s="1"/>
      <c r="AE855" s="1"/>
    </row>
    <row r="856" spans="9:31" ht="14.25" x14ac:dyDescent="0.2">
      <c r="I856" s="1"/>
      <c r="K856" s="1"/>
      <c r="AD856" s="1"/>
      <c r="AE856" s="1"/>
    </row>
    <row r="857" spans="9:31" ht="14.25" x14ac:dyDescent="0.2">
      <c r="I857" s="1"/>
      <c r="K857" s="1"/>
      <c r="AD857" s="1"/>
      <c r="AE857" s="1"/>
    </row>
    <row r="858" spans="9:31" ht="14.25" x14ac:dyDescent="0.2">
      <c r="I858" s="1"/>
      <c r="K858" s="1"/>
      <c r="AD858" s="1"/>
      <c r="AE858" s="1"/>
    </row>
    <row r="859" spans="9:31" ht="14.25" x14ac:dyDescent="0.2">
      <c r="I859" s="1"/>
      <c r="K859" s="1"/>
      <c r="AD859" s="1"/>
      <c r="AE859" s="1"/>
    </row>
    <row r="860" spans="9:31" ht="14.25" x14ac:dyDescent="0.2">
      <c r="I860" s="1"/>
      <c r="K860" s="1"/>
      <c r="AD860" s="1"/>
      <c r="AE860" s="1"/>
    </row>
    <row r="861" spans="9:31" ht="14.25" x14ac:dyDescent="0.2">
      <c r="I861" s="1"/>
      <c r="K861" s="1"/>
      <c r="AD861" s="1"/>
      <c r="AE861" s="1"/>
    </row>
    <row r="862" spans="9:31" ht="14.25" x14ac:dyDescent="0.2">
      <c r="I862" s="1"/>
      <c r="K862" s="1"/>
      <c r="AD862" s="1"/>
      <c r="AE862" s="1"/>
    </row>
    <row r="863" spans="9:31" ht="14.25" x14ac:dyDescent="0.2">
      <c r="I863" s="1"/>
      <c r="K863" s="1"/>
      <c r="AD863" s="1"/>
      <c r="AE863" s="1"/>
    </row>
    <row r="864" spans="9:31" ht="14.25" x14ac:dyDescent="0.2">
      <c r="I864" s="1"/>
      <c r="K864" s="1"/>
      <c r="AD864" s="1"/>
    </row>
  </sheetData>
  <sheetProtection algorithmName="SHA-512" hashValue="OYzogDILTUtcXN7nROt2t+RNJcyb3EMl9O06tKuCVkO1JOn+DIULvLSWyY4i0PxFqb0yKvi6WoEmvUGnYv/Veg==" saltValue="36gLbOnwFJo7B0UB8QVoWA==" spinCount="100000" sheet="1" formatColumns="0" formatRows="0"/>
  <mergeCells count="39">
    <mergeCell ref="AS68:AS70"/>
    <mergeCell ref="AT68:AT70"/>
    <mergeCell ref="J11:J12"/>
    <mergeCell ref="K34:K35"/>
    <mergeCell ref="AI67:AL67"/>
    <mergeCell ref="AE68:AH69"/>
    <mergeCell ref="AI68:AJ69"/>
    <mergeCell ref="AK68:AL69"/>
    <mergeCell ref="AE74:AG74"/>
    <mergeCell ref="AN68:AN70"/>
    <mergeCell ref="AO68:AO70"/>
    <mergeCell ref="AP68:AP70"/>
    <mergeCell ref="AR68:AR70"/>
    <mergeCell ref="AE70:AG70"/>
    <mergeCell ref="AH70:AH71"/>
    <mergeCell ref="AE71:AG71"/>
    <mergeCell ref="AE72:AG72"/>
    <mergeCell ref="AE73:AG73"/>
    <mergeCell ref="AE86:AG86"/>
    <mergeCell ref="AE75:AG75"/>
    <mergeCell ref="AE76:AG76"/>
    <mergeCell ref="AE77:AG77"/>
    <mergeCell ref="AE78:AG78"/>
    <mergeCell ref="AE79:AG79"/>
    <mergeCell ref="AE80:AH80"/>
    <mergeCell ref="AE81:AG81"/>
    <mergeCell ref="AE82:AG82"/>
    <mergeCell ref="AE83:AG83"/>
    <mergeCell ref="AE84:AG84"/>
    <mergeCell ref="AE85:AG85"/>
    <mergeCell ref="K365:L365"/>
    <mergeCell ref="J367:J368"/>
    <mergeCell ref="K390:K391"/>
    <mergeCell ref="AE87:AG87"/>
    <mergeCell ref="AE88:AH88"/>
    <mergeCell ref="K174:K175"/>
    <mergeCell ref="I363:J364"/>
    <mergeCell ref="K363:L363"/>
    <mergeCell ref="K364:L364"/>
  </mergeCells>
  <phoneticPr fontId="154" type="noConversion"/>
  <conditionalFormatting sqref="A147:K147">
    <cfRule type="cellIs" dxfId="2003" priority="630" operator="equal">
      <formula>0</formula>
    </cfRule>
    <cfRule type="cellIs" dxfId="2002" priority="631" operator="lessThan">
      <formula>0</formula>
    </cfRule>
  </conditionalFormatting>
  <conditionalFormatting sqref="H76">
    <cfRule type="cellIs" dxfId="2001" priority="1477" operator="equal">
      <formula>0</formula>
    </cfRule>
    <cfRule type="cellIs" dxfId="2000" priority="1478" operator="lessThan">
      <formula>0</formula>
    </cfRule>
  </conditionalFormatting>
  <conditionalFormatting sqref="H91">
    <cfRule type="cellIs" dxfId="1999" priority="1370" operator="equal">
      <formula>0</formula>
    </cfRule>
    <cfRule type="cellIs" dxfId="1998" priority="1371" operator="lessThan">
      <formula>0</formula>
    </cfRule>
  </conditionalFormatting>
  <conditionalFormatting sqref="H124:H125">
    <cfRule type="cellIs" dxfId="1997" priority="1402" operator="equal">
      <formula>0</formula>
    </cfRule>
    <cfRule type="cellIs" dxfId="1996" priority="1403" operator="lessThan">
      <formula>0</formula>
    </cfRule>
  </conditionalFormatting>
  <conditionalFormatting sqref="H148:H152">
    <cfRule type="cellIs" dxfId="1995" priority="1324" operator="equal">
      <formula>0</formula>
    </cfRule>
    <cfRule type="cellIs" dxfId="1994" priority="1325" operator="lessThan">
      <formula>0</formula>
    </cfRule>
  </conditionalFormatting>
  <conditionalFormatting sqref="H156:H158">
    <cfRule type="cellIs" dxfId="1993" priority="1310" operator="equal">
      <formula>0</formula>
    </cfRule>
    <cfRule type="cellIs" dxfId="1992" priority="1311" operator="lessThan">
      <formula>0</formula>
    </cfRule>
  </conditionalFormatting>
  <conditionalFormatting sqref="H160:H163">
    <cfRule type="cellIs" dxfId="1991" priority="1302" operator="equal">
      <formula>0</formula>
    </cfRule>
    <cfRule type="cellIs" dxfId="1990" priority="1303" operator="lessThan">
      <formula>0</formula>
    </cfRule>
  </conditionalFormatting>
  <conditionalFormatting sqref="H173:H175">
    <cfRule type="cellIs" dxfId="1989" priority="1354" operator="equal">
      <formula>0</formula>
    </cfRule>
    <cfRule type="cellIs" dxfId="1988" priority="1355" operator="lessThan">
      <formula>0</formula>
    </cfRule>
  </conditionalFormatting>
  <conditionalFormatting sqref="H182:H190">
    <cfRule type="cellIs" dxfId="1987" priority="1334" operator="equal">
      <formula>0</formula>
    </cfRule>
    <cfRule type="cellIs" dxfId="1986" priority="1335" operator="lessThan">
      <formula>0</formula>
    </cfRule>
  </conditionalFormatting>
  <conditionalFormatting sqref="H62:I62">
    <cfRule type="cellIs" dxfId="1985" priority="1487" operator="equal">
      <formula>0</formula>
    </cfRule>
    <cfRule type="cellIs" dxfId="1984" priority="1488" operator="lessThan">
      <formula>0</formula>
    </cfRule>
  </conditionalFormatting>
  <conditionalFormatting sqref="H65:I65 AD65:XFD65">
    <cfRule type="cellIs" dxfId="1983" priority="1484" operator="lessThan">
      <formula>0</formula>
    </cfRule>
  </conditionalFormatting>
  <conditionalFormatting sqref="H65:I65">
    <cfRule type="cellIs" dxfId="1982" priority="1483" operator="equal">
      <formula>0</formula>
    </cfRule>
  </conditionalFormatting>
  <conditionalFormatting sqref="H73:I74">
    <cfRule type="cellIs" dxfId="1981" priority="1239" operator="equal">
      <formula>0</formula>
    </cfRule>
    <cfRule type="cellIs" dxfId="1980" priority="1240" operator="lessThan">
      <formula>0</formula>
    </cfRule>
  </conditionalFormatting>
  <conditionalFormatting sqref="H101:I101">
    <cfRule type="cellIs" dxfId="1979" priority="1424" operator="equal">
      <formula>0</formula>
    </cfRule>
    <cfRule type="cellIs" dxfId="1978" priority="1425" operator="lessThan">
      <formula>0</formula>
    </cfRule>
  </conditionalFormatting>
  <conditionalFormatting sqref="H262:I262">
    <cfRule type="cellIs" dxfId="1977" priority="1475" operator="equal">
      <formula>0</formula>
    </cfRule>
    <cfRule type="cellIs" dxfId="1976" priority="1476" operator="lessThan">
      <formula>0</formula>
    </cfRule>
  </conditionalFormatting>
  <conditionalFormatting sqref="H23:J27 AD23:XFD27">
    <cfRule type="cellIs" dxfId="1975" priority="1245" operator="equal">
      <formula>0</formula>
    </cfRule>
    <cfRule type="cellIs" dxfId="1974" priority="1246" operator="lessThan">
      <formula>0</formula>
    </cfRule>
  </conditionalFormatting>
  <conditionalFormatting sqref="H69:J72">
    <cfRule type="cellIs" dxfId="1973" priority="1223" operator="equal">
      <formula>0</formula>
    </cfRule>
    <cfRule type="cellIs" dxfId="1972" priority="1224" operator="lessThan">
      <formula>0</formula>
    </cfRule>
  </conditionalFormatting>
  <conditionalFormatting sqref="H78:J78">
    <cfRule type="cellIs" dxfId="1971" priority="1412" operator="equal">
      <formula>0</formula>
    </cfRule>
    <cfRule type="cellIs" dxfId="1970" priority="1413" operator="lessThan">
      <formula>0</formula>
    </cfRule>
  </conditionalFormatting>
  <conditionalFormatting sqref="H197:J197">
    <cfRule type="cellIs" dxfId="1969" priority="1360" operator="equal">
      <formula>0</formula>
    </cfRule>
    <cfRule type="cellIs" dxfId="1968" priority="1361" operator="lessThan">
      <formula>0</formula>
    </cfRule>
  </conditionalFormatting>
  <conditionalFormatting sqref="H245:J261">
    <cfRule type="cellIs" dxfId="1967" priority="1376" operator="equal">
      <formula>0</formula>
    </cfRule>
    <cfRule type="cellIs" dxfId="1966" priority="1377" operator="lessThan">
      <formula>0</formula>
    </cfRule>
  </conditionalFormatting>
  <conditionalFormatting sqref="H263:J275">
    <cfRule type="cellIs" dxfId="1965" priority="1428" operator="equal">
      <formula>0</formula>
    </cfRule>
    <cfRule type="cellIs" dxfId="1964" priority="1429" operator="lessThan">
      <formula>0</formula>
    </cfRule>
  </conditionalFormatting>
  <conditionalFormatting sqref="H57:K57">
    <cfRule type="cellIs" dxfId="1963" priority="978" operator="equal">
      <formula>0</formula>
    </cfRule>
    <cfRule type="cellIs" dxfId="1962" priority="979" operator="lessThan">
      <formula>0</formula>
    </cfRule>
  </conditionalFormatting>
  <conditionalFormatting sqref="H234:K234">
    <cfRule type="cellIs" dxfId="1961" priority="989" operator="equal">
      <formula>0</formula>
    </cfRule>
    <cfRule type="cellIs" dxfId="1960" priority="990" operator="lessThan">
      <formula>0</formula>
    </cfRule>
  </conditionalFormatting>
  <conditionalFormatting sqref="H39:L39">
    <cfRule type="cellIs" dxfId="1959" priority="614" operator="equal">
      <formula>0</formula>
    </cfRule>
    <cfRule type="cellIs" dxfId="1958" priority="615" operator="lessThan">
      <formula>0</formula>
    </cfRule>
  </conditionalFormatting>
  <conditionalFormatting sqref="H105:L105">
    <cfRule type="cellIs" dxfId="1957" priority="608" operator="equal">
      <formula>0</formula>
    </cfRule>
    <cfRule type="cellIs" dxfId="1956" priority="609" operator="lessThan">
      <formula>0</formula>
    </cfRule>
  </conditionalFormatting>
  <conditionalFormatting sqref="H146:L146">
    <cfRule type="cellIs" dxfId="1955" priority="492" operator="equal">
      <formula>0</formula>
    </cfRule>
    <cfRule type="cellIs" dxfId="1954" priority="493" operator="lessThan">
      <formula>0</formula>
    </cfRule>
  </conditionalFormatting>
  <conditionalFormatting sqref="H243:L243">
    <cfRule type="cellIs" dxfId="1953" priority="688" operator="equal">
      <formula>0</formula>
    </cfRule>
    <cfRule type="cellIs" dxfId="1952" priority="689" operator="lessThan">
      <formula>0</formula>
    </cfRule>
  </conditionalFormatting>
  <conditionalFormatting sqref="H311:L311 N311:V311">
    <cfRule type="cellIs" dxfId="1951" priority="913" operator="equal">
      <formula>0</formula>
    </cfRule>
    <cfRule type="cellIs" dxfId="1950" priority="914" operator="lessThan">
      <formula>0</formula>
    </cfRule>
  </conditionalFormatting>
  <conditionalFormatting sqref="H314:L314">
    <cfRule type="cellIs" dxfId="1949" priority="909" operator="equal">
      <formula>0</formula>
    </cfRule>
    <cfRule type="cellIs" dxfId="1948" priority="910" operator="lessThan">
      <formula>0</formula>
    </cfRule>
  </conditionalFormatting>
  <conditionalFormatting sqref="H318:L318">
    <cfRule type="cellIs" dxfId="1947" priority="686" operator="equal">
      <formula>0</formula>
    </cfRule>
    <cfRule type="cellIs" dxfId="1946" priority="687" operator="lessThan">
      <formula>0</formula>
    </cfRule>
  </conditionalFormatting>
  <conditionalFormatting sqref="H350:L350">
    <cfRule type="cellIs" dxfId="1945" priority="27" operator="equal">
      <formula>0</formula>
    </cfRule>
    <cfRule type="cellIs" dxfId="1944" priority="28" operator="lessThan">
      <formula>0</formula>
    </cfRule>
  </conditionalFormatting>
  <conditionalFormatting sqref="I38">
    <cfRule type="cellIs" dxfId="1943" priority="1420" operator="equal">
      <formula>0</formula>
    </cfRule>
  </conditionalFormatting>
  <conditionalFormatting sqref="I386:I387">
    <cfRule type="cellIs" dxfId="1942" priority="1107" operator="equal">
      <formula>0</formula>
    </cfRule>
    <cfRule type="cellIs" dxfId="1941" priority="1108" operator="lessThan">
      <formula>0</formula>
    </cfRule>
  </conditionalFormatting>
  <conditionalFormatting sqref="I394">
    <cfRule type="cellIs" dxfId="1940" priority="1067" operator="equal">
      <formula>0</formula>
    </cfRule>
  </conditionalFormatting>
  <conditionalFormatting sqref="I38:J38">
    <cfRule type="cellIs" dxfId="1939" priority="1421" operator="lessThan">
      <formula>0</formula>
    </cfRule>
  </conditionalFormatting>
  <conditionalFormatting sqref="I173:J173">
    <cfRule type="cellIs" dxfId="1938" priority="1356" operator="equal">
      <formula>0</formula>
    </cfRule>
    <cfRule type="cellIs" dxfId="1937" priority="1357" operator="lessThan">
      <formula>0</formula>
    </cfRule>
  </conditionalFormatting>
  <conditionalFormatting sqref="I198:J199">
    <cfRule type="cellIs" dxfId="1936" priority="1229" operator="equal">
      <formula>0</formula>
    </cfRule>
    <cfRule type="cellIs" dxfId="1935" priority="1230" operator="lessThan">
      <formula>0</formula>
    </cfRule>
  </conditionalFormatting>
  <conditionalFormatting sqref="I393:J394">
    <cfRule type="cellIs" dxfId="1934" priority="1068" operator="lessThan">
      <formula>0</formula>
    </cfRule>
  </conditionalFormatting>
  <conditionalFormatting sqref="I379:L379">
    <cfRule type="cellIs" dxfId="1933" priority="1047" operator="equal">
      <formula>0</formula>
    </cfRule>
    <cfRule type="cellIs" dxfId="1932" priority="1048" operator="lessThan">
      <formula>0</formula>
    </cfRule>
  </conditionalFormatting>
  <conditionalFormatting sqref="I382:L382 N382:V382">
    <cfRule type="cellIs" dxfId="1931" priority="1181" operator="equal">
      <formula>0</formula>
    </cfRule>
    <cfRule type="cellIs" dxfId="1930" priority="1182" operator="lessThan">
      <formula>0</formula>
    </cfRule>
  </conditionalFormatting>
  <conditionalFormatting sqref="I383:L383 I386:L387 N383:AC383 N386:AC387">
    <cfRule type="cellIs" dxfId="1929" priority="1121" operator="equal">
      <formula>0</formula>
    </cfRule>
    <cfRule type="cellIs" dxfId="1928" priority="1122" operator="lessThan">
      <formula>0</formula>
    </cfRule>
  </conditionalFormatting>
  <conditionalFormatting sqref="I395:L395">
    <cfRule type="cellIs" dxfId="1927" priority="1094" operator="equal">
      <formula>0</formula>
    </cfRule>
    <cfRule type="cellIs" dxfId="1926" priority="1095" operator="lessThan">
      <formula>0</formula>
    </cfRule>
  </conditionalFormatting>
  <conditionalFormatting sqref="J29:J31">
    <cfRule type="cellIs" dxfId="1925" priority="1382" operator="equal">
      <formula>0</formula>
    </cfRule>
    <cfRule type="cellIs" dxfId="1924" priority="1383" operator="lessThan">
      <formula>0</formula>
    </cfRule>
  </conditionalFormatting>
  <conditionalFormatting sqref="J38 J40:J49">
    <cfRule type="cellIs" dxfId="1923" priority="1512" operator="equal">
      <formula>0</formula>
    </cfRule>
  </conditionalFormatting>
  <conditionalFormatting sqref="J40:J49">
    <cfRule type="cellIs" dxfId="1922" priority="1513" operator="lessThan">
      <formula>0</formula>
    </cfRule>
  </conditionalFormatting>
  <conditionalFormatting sqref="J58:J63">
    <cfRule type="cellIs" dxfId="1921" priority="1485" operator="equal">
      <formula>0</formula>
    </cfRule>
  </conditionalFormatting>
  <conditionalFormatting sqref="J58:J65">
    <cfRule type="cellIs" dxfId="1920" priority="1482" operator="lessThan">
      <formula>0</formula>
    </cfRule>
  </conditionalFormatting>
  <conditionalFormatting sqref="J64:J65">
    <cfRule type="cellIs" dxfId="1919" priority="1481" operator="equal">
      <formula>0</formula>
    </cfRule>
  </conditionalFormatting>
  <conditionalFormatting sqref="J73:J75">
    <cfRule type="cellIs" dxfId="1918" priority="1237" operator="equal">
      <formula>0</formula>
    </cfRule>
    <cfRule type="cellIs" dxfId="1917" priority="1238" operator="lessThan">
      <formula>0</formula>
    </cfRule>
  </conditionalFormatting>
  <conditionalFormatting sqref="J86:J87">
    <cfRule type="cellIs" dxfId="1916" priority="1225" operator="equal">
      <formula>0</formula>
    </cfRule>
    <cfRule type="cellIs" dxfId="1915" priority="1226" operator="lessThan">
      <formula>0</formula>
    </cfRule>
  </conditionalFormatting>
  <conditionalFormatting sqref="J101:J102">
    <cfRule type="cellIs" dxfId="1914" priority="1398" operator="equal">
      <formula>0</formula>
    </cfRule>
    <cfRule type="cellIs" dxfId="1913" priority="1399" operator="lessThan">
      <formula>0</formula>
    </cfRule>
  </conditionalFormatting>
  <conditionalFormatting sqref="J119:J125">
    <cfRule type="cellIs" dxfId="1912" priority="1396" operator="equal">
      <formula>0</formula>
    </cfRule>
    <cfRule type="cellIs" dxfId="1911" priority="1397" operator="lessThan">
      <formula>0</formula>
    </cfRule>
  </conditionalFormatting>
  <conditionalFormatting sqref="J130:J133 H132:H133">
    <cfRule type="cellIs" dxfId="1910" priority="1320" operator="equal">
      <formula>0</formula>
    </cfRule>
    <cfRule type="cellIs" dxfId="1909" priority="1321" operator="lessThan">
      <formula>0</formula>
    </cfRule>
  </conditionalFormatting>
  <conditionalFormatting sqref="J148:J152">
    <cfRule type="cellIs" dxfId="1908" priority="1318" operator="equal">
      <formula>0</formula>
    </cfRule>
    <cfRule type="cellIs" dxfId="1907" priority="1319" operator="lessThan">
      <formula>0</formula>
    </cfRule>
  </conditionalFormatting>
  <conditionalFormatting sqref="J152">
    <cfRule type="containsText" dxfId="1906" priority="1316" operator="containsText" text="OK">
      <formula>NOT(ISERROR(SEARCH("OK",J152)))</formula>
    </cfRule>
    <cfRule type="containsText" dxfId="1905" priority="1317" operator="containsText" text="ERROR">
      <formula>NOT(ISERROR(SEARCH("ERROR",J152)))</formula>
    </cfRule>
  </conditionalFormatting>
  <conditionalFormatting sqref="J154:J155">
    <cfRule type="cellIs" dxfId="1904" priority="1290" operator="equal">
      <formula>0</formula>
    </cfRule>
    <cfRule type="cellIs" dxfId="1903" priority="1291" operator="lessThan">
      <formula>0</formula>
    </cfRule>
  </conditionalFormatting>
  <conditionalFormatting sqref="J156:J158">
    <cfRule type="cellIs" dxfId="1902" priority="1306" operator="equal">
      <formula>0</formula>
    </cfRule>
    <cfRule type="cellIs" dxfId="1901" priority="1307" operator="lessThan">
      <formula>0</formula>
    </cfRule>
  </conditionalFormatting>
  <conditionalFormatting sqref="J158">
    <cfRule type="containsText" dxfId="1900" priority="1304" operator="containsText" text="OK">
      <formula>NOT(ISERROR(SEARCH("OK",J158)))</formula>
    </cfRule>
    <cfRule type="containsText" dxfId="1899" priority="1305" operator="containsText" text="ERROR">
      <formula>NOT(ISERROR(SEARCH("ERROR",J158)))</formula>
    </cfRule>
  </conditionalFormatting>
  <conditionalFormatting sqref="J160:J168">
    <cfRule type="cellIs" dxfId="1898" priority="1231" operator="equal">
      <formula>0</formula>
    </cfRule>
    <cfRule type="cellIs" dxfId="1897" priority="1232" operator="lessThan">
      <formula>0</formula>
    </cfRule>
  </conditionalFormatting>
  <conditionalFormatting sqref="J174:J190">
    <cfRule type="cellIs" dxfId="1896" priority="1330" operator="equal">
      <formula>0</formula>
    </cfRule>
    <cfRule type="cellIs" dxfId="1895" priority="1331" operator="lessThan">
      <formula>0</formula>
    </cfRule>
  </conditionalFormatting>
  <conditionalFormatting sqref="J194:J196">
    <cfRule type="cellIs" dxfId="1894" priority="1348" operator="equal">
      <formula>0</formula>
    </cfRule>
    <cfRule type="cellIs" dxfId="1893" priority="1349" operator="lessThan">
      <formula>0</formula>
    </cfRule>
  </conditionalFormatting>
  <conditionalFormatting sqref="J260:J264">
    <cfRule type="cellIs" dxfId="1892" priority="1249" operator="equal">
      <formula>0</formula>
    </cfRule>
    <cfRule type="cellIs" dxfId="1891" priority="1250" operator="lessThan">
      <formula>0</formula>
    </cfRule>
  </conditionalFormatting>
  <conditionalFormatting sqref="J269:J272">
    <cfRule type="cellIs" dxfId="1890" priority="1430" operator="equal">
      <formula>0</formula>
    </cfRule>
    <cfRule type="cellIs" dxfId="1889" priority="1431" operator="lessThan">
      <formula>0</formula>
    </cfRule>
  </conditionalFormatting>
  <conditionalFormatting sqref="J326:J330">
    <cfRule type="cellIs" dxfId="1888" priority="1263" operator="equal">
      <formula>0</formula>
    </cfRule>
    <cfRule type="cellIs" dxfId="1887" priority="1264" operator="lessThan">
      <formula>0</formula>
    </cfRule>
  </conditionalFormatting>
  <conditionalFormatting sqref="J385:J387">
    <cfRule type="cellIs" dxfId="1886" priority="1099" operator="equal">
      <formula>0</formula>
    </cfRule>
    <cfRule type="cellIs" dxfId="1885" priority="1100" operator="lessThan">
      <formula>0</formula>
    </cfRule>
  </conditionalFormatting>
  <conditionalFormatting sqref="J394">
    <cfRule type="cellIs" dxfId="1884" priority="1075" operator="equal">
      <formula>0</formula>
    </cfRule>
  </conditionalFormatting>
  <conditionalFormatting sqref="J396:J405">
    <cfRule type="cellIs" dxfId="1883" priority="1082" operator="equal">
      <formula>0</formula>
    </cfRule>
    <cfRule type="cellIs" dxfId="1882" priority="1083" operator="lessThan">
      <formula>0</formula>
    </cfRule>
  </conditionalFormatting>
  <conditionalFormatting sqref="J454">
    <cfRule type="cellIs" dxfId="1881" priority="25" operator="equal">
      <formula>0</formula>
    </cfRule>
    <cfRule type="cellIs" dxfId="1880" priority="26" operator="lessThan">
      <formula>0</formula>
    </cfRule>
  </conditionalFormatting>
  <conditionalFormatting sqref="J137:K137">
    <cfRule type="cellIs" dxfId="1879" priority="905" operator="equal">
      <formula>0</formula>
    </cfRule>
    <cfRule type="cellIs" dxfId="1878" priority="906" operator="lessThan">
      <formula>0</formula>
    </cfRule>
  </conditionalFormatting>
  <conditionalFormatting sqref="J144:L144">
    <cfRule type="cellIs" dxfId="1877" priority="472" operator="equal">
      <formula>0</formula>
    </cfRule>
    <cfRule type="cellIs" dxfId="1876" priority="473" operator="lessThan">
      <formula>0</formula>
    </cfRule>
  </conditionalFormatting>
  <conditionalFormatting sqref="K10">
    <cfRule type="containsText" dxfId="1875" priority="1289" operator="containsText" text="Error, PreCER vs CBD Diff">
      <formula>NOT(ISERROR(SEARCH("Error, PreCER vs CBD Diff",K10)))</formula>
    </cfRule>
  </conditionalFormatting>
  <conditionalFormatting sqref="K12">
    <cfRule type="cellIs" dxfId="1874" priority="1271" operator="equal">
      <formula>0</formula>
    </cfRule>
    <cfRule type="cellIs" dxfId="1873" priority="1272" operator="lessThan">
      <formula>0</formula>
    </cfRule>
  </conditionalFormatting>
  <conditionalFormatting sqref="K30:K31">
    <cfRule type="cellIs" dxfId="1872" priority="722" operator="equal">
      <formula>0</formula>
    </cfRule>
    <cfRule type="cellIs" dxfId="1871" priority="723" operator="lessThan">
      <formula>0</formula>
    </cfRule>
  </conditionalFormatting>
  <conditionalFormatting sqref="K34">
    <cfRule type="cellIs" dxfId="1870" priority="606" operator="equal">
      <formula>0</formula>
    </cfRule>
    <cfRule type="cellIs" dxfId="1869" priority="607" operator="lessThan">
      <formula>0</formula>
    </cfRule>
  </conditionalFormatting>
  <conditionalFormatting sqref="K49">
    <cfRule type="containsText" dxfId="1868" priority="681" operator="containsText" text="Error, Not full amortized">
      <formula>NOT(ISERROR(SEARCH("Error, Not full amortized",K49)))</formula>
    </cfRule>
  </conditionalFormatting>
  <conditionalFormatting sqref="K50">
    <cfRule type="cellIs" dxfId="1867" priority="958" operator="equal">
      <formula>0</formula>
    </cfRule>
    <cfRule type="cellIs" dxfId="1866" priority="959" operator="lessThan">
      <formula>0</formula>
    </cfRule>
  </conditionalFormatting>
  <conditionalFormatting sqref="K62">
    <cfRule type="cellIs" dxfId="1865" priority="976" operator="equal">
      <formula>0</formula>
    </cfRule>
    <cfRule type="cellIs" dxfId="1864" priority="977" operator="lessThan">
      <formula>0</formula>
    </cfRule>
  </conditionalFormatting>
  <conditionalFormatting sqref="K77">
    <cfRule type="cellIs" dxfId="1863" priority="903" operator="equal">
      <formula>0</formula>
    </cfRule>
    <cfRule type="cellIs" dxfId="1862" priority="904" operator="lessThan">
      <formula>0</formula>
    </cfRule>
  </conditionalFormatting>
  <conditionalFormatting sqref="K82">
    <cfRule type="containsText" dxfId="1861" priority="576" operator="containsText" text="check">
      <formula>NOT(ISERROR(SEARCH("check",K82)))</formula>
    </cfRule>
    <cfRule type="cellIs" dxfId="1860" priority="577" operator="equal">
      <formula>0</formula>
    </cfRule>
    <cfRule type="cellIs" dxfId="1859" priority="578" operator="lessThan">
      <formula>0</formula>
    </cfRule>
    <cfRule type="cellIs" dxfId="1858" priority="579" operator="equal">
      <formula>0</formula>
    </cfRule>
    <cfRule type="containsText" dxfId="1857" priority="580" operator="containsText" text="wrong">
      <formula>NOT(ISERROR(SEARCH("wrong",K82)))</formula>
    </cfRule>
    <cfRule type="containsText" dxfId="1856" priority="581" operator="containsText" text="ok">
      <formula>NOT(ISERROR(SEARCH("ok",K82)))</formula>
    </cfRule>
  </conditionalFormatting>
  <conditionalFormatting sqref="K95:K96">
    <cfRule type="cellIs" dxfId="1855" priority="971" operator="equal">
      <formula>0</formula>
    </cfRule>
    <cfRule type="cellIs" dxfId="1854" priority="972" operator="lessThan">
      <formula>0</formula>
    </cfRule>
  </conditionalFormatting>
  <conditionalFormatting sqref="K101">
    <cfRule type="cellIs" dxfId="1853" priority="766" operator="equal">
      <formula>0</formula>
    </cfRule>
    <cfRule type="cellIs" dxfId="1852" priority="767" operator="lessThan">
      <formula>0</formula>
    </cfRule>
    <cfRule type="cellIs" dxfId="1851" priority="768" operator="equal">
      <formula>0</formula>
    </cfRule>
  </conditionalFormatting>
  <conditionalFormatting sqref="K108:K110">
    <cfRule type="containsText" dxfId="1850" priority="738" operator="containsText" text="check">
      <formula>NOT(ISERROR(SEARCH("check",K108)))</formula>
    </cfRule>
    <cfRule type="containsText" dxfId="1849" priority="739" operator="containsText" text="wrong">
      <formula>NOT(ISERROR(SEARCH("wrong",K108)))</formula>
    </cfRule>
    <cfRule type="containsText" dxfId="1848" priority="740" operator="containsText" text="ok">
      <formula>NOT(ISERROR(SEARCH("ok",K108)))</formula>
    </cfRule>
    <cfRule type="cellIs" dxfId="1847" priority="741" operator="equal">
      <formula>0</formula>
    </cfRule>
    <cfRule type="cellIs" dxfId="1846" priority="742" operator="lessThan">
      <formula>0</formula>
    </cfRule>
    <cfRule type="containsText" dxfId="1845" priority="743" operator="containsText" text="OK">
      <formula>NOT(ISERROR(SEARCH("OK",K108)))</formula>
    </cfRule>
    <cfRule type="containsText" dxfId="1844" priority="744" operator="containsText" text="ERROR">
      <formula>NOT(ISERROR(SEARCH("ERROR",K108)))</formula>
    </cfRule>
    <cfRule type="containsText" dxfId="1843" priority="747" operator="containsText" text="OK">
      <formula>NOT(ISERROR(SEARCH("OK",K108)))</formula>
    </cfRule>
    <cfRule type="containsText" dxfId="1842" priority="748" operator="containsText" text="ERROR">
      <formula>NOT(ISERROR(SEARCH("ERROR",K108)))</formula>
    </cfRule>
  </conditionalFormatting>
  <conditionalFormatting sqref="K108:K111">
    <cfRule type="cellIs" dxfId="1841" priority="745" operator="equal">
      <formula>0</formula>
    </cfRule>
    <cfRule type="cellIs" dxfId="1840" priority="746" operator="lessThan">
      <formula>0</formula>
    </cfRule>
  </conditionalFormatting>
  <conditionalFormatting sqref="K122">
    <cfRule type="cellIs" dxfId="1839" priority="734" operator="equal">
      <formula>0</formula>
    </cfRule>
    <cfRule type="cellIs" dxfId="1838" priority="735" operator="lessThan">
      <formula>0</formula>
    </cfRule>
  </conditionalFormatting>
  <conditionalFormatting sqref="K124:K125">
    <cfRule type="cellIs" dxfId="1837" priority="764" operator="equal">
      <formula>0</formula>
    </cfRule>
    <cfRule type="cellIs" dxfId="1836" priority="765" operator="lessThan">
      <formula>0</formula>
    </cfRule>
  </conditionalFormatting>
  <conditionalFormatting sqref="K133">
    <cfRule type="cellIs" dxfId="1835" priority="648" operator="equal">
      <formula>0</formula>
    </cfRule>
    <cfRule type="cellIs" dxfId="1834" priority="649" operator="lessThan">
      <formula>0</formula>
    </cfRule>
  </conditionalFormatting>
  <conditionalFormatting sqref="K176">
    <cfRule type="cellIs" dxfId="1833" priority="654" operator="equal">
      <formula>0</formula>
    </cfRule>
    <cfRule type="cellIs" dxfId="1832" priority="655" operator="lessThan">
      <formula>0</formula>
    </cfRule>
  </conditionalFormatting>
  <conditionalFormatting sqref="K182:K187">
    <cfRule type="containsText" dxfId="1831" priority="660" operator="containsText" text="OK">
      <formula>NOT(ISERROR(SEARCH("OK",K182)))</formula>
    </cfRule>
    <cfRule type="containsText" dxfId="1830" priority="661" operator="containsText" text="ERROR">
      <formula>NOT(ISERROR(SEARCH("ERROR",K182)))</formula>
    </cfRule>
    <cfRule type="cellIs" dxfId="1829" priority="662" operator="equal">
      <formula>0</formula>
    </cfRule>
    <cfRule type="cellIs" dxfId="1828" priority="663" operator="lessThan">
      <formula>0</formula>
    </cfRule>
  </conditionalFormatting>
  <conditionalFormatting sqref="K192:K194">
    <cfRule type="cellIs" dxfId="1827" priority="620" operator="equal">
      <formula>0</formula>
    </cfRule>
    <cfRule type="cellIs" dxfId="1826" priority="621" operator="lessThan">
      <formula>0</formula>
    </cfRule>
  </conditionalFormatting>
  <conditionalFormatting sqref="K329">
    <cfRule type="cellIs" dxfId="1825" priority="985" operator="equal">
      <formula>0</formula>
    </cfRule>
    <cfRule type="cellIs" dxfId="1824" priority="986" operator="lessThan">
      <formula>0</formula>
    </cfRule>
  </conditionalFormatting>
  <conditionalFormatting sqref="K368">
    <cfRule type="cellIs" dxfId="1823" priority="1084" operator="equal">
      <formula>0</formula>
    </cfRule>
    <cfRule type="cellIs" dxfId="1822" priority="1085" operator="lessThan">
      <formula>0</formula>
    </cfRule>
  </conditionalFormatting>
  <conditionalFormatting sqref="K386:K387">
    <cfRule type="cellIs" dxfId="1821" priority="1101" operator="equal">
      <formula>0</formula>
    </cfRule>
    <cfRule type="cellIs" dxfId="1820" priority="1102" operator="lessThan">
      <formula>0</formula>
    </cfRule>
  </conditionalFormatting>
  <conditionalFormatting sqref="K390">
    <cfRule type="cellIs" dxfId="1819" priority="1088" operator="equal">
      <formula>0</formula>
    </cfRule>
    <cfRule type="cellIs" dxfId="1818" priority="1089" operator="lessThan">
      <formula>0</formula>
    </cfRule>
  </conditionalFormatting>
  <conditionalFormatting sqref="K405">
    <cfRule type="containsText" dxfId="1817" priority="1098" operator="containsText" text="Error, Not full amortized">
      <formula>NOT(ISERROR(SEARCH("Error, Not full amortized",K405)))</formula>
    </cfRule>
  </conditionalFormatting>
  <conditionalFormatting sqref="K434:K438 K453">
    <cfRule type="cellIs" dxfId="1816" priority="56" operator="equal">
      <formula>0</formula>
    </cfRule>
    <cfRule type="cellIs" dxfId="1815" priority="57" operator="lessThan">
      <formula>0</formula>
    </cfRule>
  </conditionalFormatting>
  <conditionalFormatting sqref="K440:K444">
    <cfRule type="cellIs" dxfId="1814" priority="52" operator="equal">
      <formula>0</formula>
    </cfRule>
    <cfRule type="cellIs" dxfId="1813" priority="53" operator="lessThan">
      <formula>0</formula>
    </cfRule>
  </conditionalFormatting>
  <conditionalFormatting sqref="K447">
    <cfRule type="cellIs" dxfId="1812" priority="45" operator="equal">
      <formula>0</formula>
    </cfRule>
    <cfRule type="cellIs" dxfId="1811" priority="46" operator="lessThan">
      <formula>0</formula>
    </cfRule>
  </conditionalFormatting>
  <conditionalFormatting sqref="K8:L8">
    <cfRule type="cellIs" dxfId="1810" priority="1422" operator="equal">
      <formula>0</formula>
    </cfRule>
    <cfRule type="cellIs" dxfId="1809" priority="1423" operator="lessThan">
      <formula>0</formula>
    </cfRule>
  </conditionalFormatting>
  <conditionalFormatting sqref="K23:L23">
    <cfRule type="cellIs" dxfId="1808" priority="486" operator="equal">
      <formula>0</formula>
    </cfRule>
    <cfRule type="cellIs" dxfId="1807" priority="487" operator="lessThan">
      <formula>0</formula>
    </cfRule>
  </conditionalFormatting>
  <conditionalFormatting sqref="K26:L26 N26:V26">
    <cfRule type="cellIs" dxfId="1806" priority="895" operator="equal">
      <formula>0</formula>
    </cfRule>
    <cfRule type="cellIs" dxfId="1805" priority="896" operator="lessThan">
      <formula>0</formula>
    </cfRule>
  </conditionalFormatting>
  <conditionalFormatting sqref="K27:L27 H30:L31 N27:AC27 N30:XFD31">
    <cfRule type="cellIs" dxfId="1804" priority="800" operator="equal">
      <formula>0</formula>
    </cfRule>
    <cfRule type="cellIs" dxfId="1803" priority="801" operator="lessThan">
      <formula>0</formula>
    </cfRule>
  </conditionalFormatting>
  <conditionalFormatting sqref="K30:L30 L31">
    <cfRule type="cellIs" dxfId="1802" priority="730" operator="equal">
      <formula>0</formula>
    </cfRule>
    <cfRule type="cellIs" dxfId="1801" priority="731" operator="lessThan">
      <formula>0</formula>
    </cfRule>
  </conditionalFormatting>
  <conditionalFormatting sqref="K115:L116">
    <cfRule type="containsText" dxfId="1800" priority="562" operator="containsText" text="OK">
      <formula>NOT(ISERROR(SEARCH("OK",K115)))</formula>
    </cfRule>
    <cfRule type="containsText" dxfId="1799" priority="563" operator="containsText" text="ERROR">
      <formula>NOT(ISERROR(SEARCH("ERROR",K115)))</formula>
    </cfRule>
  </conditionalFormatting>
  <conditionalFormatting sqref="K118:L144">
    <cfRule type="containsText" dxfId="1798" priority="464" operator="containsText" text="OK">
      <formula>NOT(ISERROR(SEARCH("OK",K118)))</formula>
    </cfRule>
    <cfRule type="containsText" dxfId="1797" priority="465" operator="containsText" text="ERROR">
      <formula>NOT(ISERROR(SEARCH("ERROR",K118)))</formula>
    </cfRule>
  </conditionalFormatting>
  <conditionalFormatting sqref="K138:L143">
    <cfRule type="cellIs" dxfId="1796" priority="466" operator="equal">
      <formula>0</formula>
    </cfRule>
    <cfRule type="cellIs" dxfId="1795" priority="467" operator="lessThan">
      <formula>0</formula>
    </cfRule>
  </conditionalFormatting>
  <conditionalFormatting sqref="K149:L158">
    <cfRule type="containsText" dxfId="1794" priority="644" operator="containsText" text="OK">
      <formula>NOT(ISERROR(SEARCH("OK",K149)))</formula>
    </cfRule>
    <cfRule type="containsText" dxfId="1793" priority="645" operator="containsText" text="ERROR">
      <formula>NOT(ISERROR(SEARCH("ERROR",K149)))</formula>
    </cfRule>
    <cfRule type="cellIs" dxfId="1792" priority="646" operator="equal">
      <formula>0</formula>
    </cfRule>
    <cfRule type="cellIs" dxfId="1791" priority="647" operator="lessThan">
      <formula>0</formula>
    </cfRule>
  </conditionalFormatting>
  <conditionalFormatting sqref="K160:L163">
    <cfRule type="containsText" dxfId="1790" priority="638" operator="containsText" text="OK">
      <formula>NOT(ISERROR(SEARCH("OK",K160)))</formula>
    </cfRule>
    <cfRule type="containsText" dxfId="1789" priority="639" operator="containsText" text="ERROR">
      <formula>NOT(ISERROR(SEARCH("ERROR",K160)))</formula>
    </cfRule>
  </conditionalFormatting>
  <conditionalFormatting sqref="K160:L164">
    <cfRule type="cellIs" dxfId="1788" priority="640" operator="equal">
      <formula>0</formula>
    </cfRule>
    <cfRule type="cellIs" dxfId="1787" priority="641" operator="lessThan">
      <formula>0</formula>
    </cfRule>
  </conditionalFormatting>
  <conditionalFormatting sqref="K165:L166">
    <cfRule type="containsText" dxfId="1786" priority="512" operator="containsText" text="OK">
      <formula>NOT(ISERROR(SEARCH("OK",K165)))</formula>
    </cfRule>
    <cfRule type="containsText" dxfId="1785" priority="513" operator="containsText" text="ERROR">
      <formula>NOT(ISERROR(SEARCH("ERROR",K165)))</formula>
    </cfRule>
  </conditionalFormatting>
  <conditionalFormatting sqref="K165:L168">
    <cfRule type="cellIs" dxfId="1784" priority="514" operator="equal">
      <formula>0</formula>
    </cfRule>
    <cfRule type="cellIs" dxfId="1783" priority="515" operator="lessThan">
      <formula>0</formula>
    </cfRule>
  </conditionalFormatting>
  <conditionalFormatting sqref="K169:L169">
    <cfRule type="containsText" dxfId="1782" priority="504" operator="containsText" text="OK">
      <formula>NOT(ISERROR(SEARCH("OK",K169)))</formula>
    </cfRule>
    <cfRule type="containsText" dxfId="1781" priority="505" operator="containsText" text="ERROR">
      <formula>NOT(ISERROR(SEARCH("ERROR",K169)))</formula>
    </cfRule>
  </conditionalFormatting>
  <conditionalFormatting sqref="K169:L171">
    <cfRule type="cellIs" dxfId="1780" priority="506" operator="equal">
      <formula>0</formula>
    </cfRule>
    <cfRule type="cellIs" dxfId="1779" priority="507" operator="lessThan">
      <formula>0</formula>
    </cfRule>
  </conditionalFormatting>
  <conditionalFormatting sqref="K173:L174">
    <cfRule type="cellIs" dxfId="1778" priority="668" operator="equal">
      <formula>0</formula>
    </cfRule>
    <cfRule type="cellIs" dxfId="1777" priority="669" operator="lessThan">
      <formula>0</formula>
    </cfRule>
  </conditionalFormatting>
  <conditionalFormatting sqref="K176:L181">
    <cfRule type="containsText" dxfId="1776" priority="650" operator="containsText" text="OK">
      <formula>NOT(ISERROR(SEARCH("OK",K176)))</formula>
    </cfRule>
    <cfRule type="containsText" dxfId="1775" priority="651" operator="containsText" text="ERROR">
      <formula>NOT(ISERROR(SEARCH("ERROR",K176)))</formula>
    </cfRule>
  </conditionalFormatting>
  <conditionalFormatting sqref="K188:L191">
    <cfRule type="cellIs" dxfId="1774" priority="622" operator="equal">
      <formula>0</formula>
    </cfRule>
    <cfRule type="cellIs" dxfId="1773" priority="623" operator="lessThan">
      <formula>0</formula>
    </cfRule>
  </conditionalFormatting>
  <conditionalFormatting sqref="K191:L195">
    <cfRule type="containsText" dxfId="1772" priority="618" operator="containsText" text="OK">
      <formula>NOT(ISERROR(SEARCH("OK",K191)))</formula>
    </cfRule>
    <cfRule type="containsText" dxfId="1771" priority="619" operator="containsText" text="ERROR">
      <formula>NOT(ISERROR(SEARCH("ERROR",K191)))</formula>
    </cfRule>
  </conditionalFormatting>
  <conditionalFormatting sqref="K195:L199">
    <cfRule type="cellIs" dxfId="1770" priority="624" operator="equal">
      <formula>0</formula>
    </cfRule>
    <cfRule type="cellIs" dxfId="1769" priority="625" operator="lessThan">
      <formula>0</formula>
    </cfRule>
  </conditionalFormatting>
  <conditionalFormatting sqref="K245:L275">
    <cfRule type="cellIs" dxfId="1768" priority="534" operator="equal">
      <formula>0</formula>
    </cfRule>
    <cfRule type="cellIs" dxfId="1767" priority="535" operator="lessThan">
      <formula>0</formula>
    </cfRule>
  </conditionalFormatting>
  <conditionalFormatting sqref="K386:L386 L387">
    <cfRule type="cellIs" dxfId="1766" priority="1111" operator="equal">
      <formula>0</formula>
    </cfRule>
    <cfRule type="cellIs" dxfId="1765" priority="1112" operator="lessThan">
      <formula>0</formula>
    </cfRule>
  </conditionalFormatting>
  <conditionalFormatting sqref="K90:AC90 K92:AC92 K93:V93">
    <cfRule type="cellIs" dxfId="1764" priority="901" operator="equal">
      <formula>0</formula>
    </cfRule>
    <cfRule type="cellIs" dxfId="1763" priority="902" operator="lessThan">
      <formula>0</formula>
    </cfRule>
  </conditionalFormatting>
  <conditionalFormatting sqref="L10">
    <cfRule type="cellIs" dxfId="1762" priority="1001" operator="notEqual">
      <formula>"OK, SOP date entered"</formula>
    </cfRule>
    <cfRule type="cellIs" dxfId="1761" priority="1002" operator="equal">
      <formula>"OK, SOP date entered"</formula>
    </cfRule>
  </conditionalFormatting>
  <conditionalFormatting sqref="L15">
    <cfRule type="cellIs" dxfId="1760" priority="925" operator="equal">
      <formula>0</formula>
    </cfRule>
    <cfRule type="cellIs" dxfId="1759" priority="926" operator="lessThan">
      <formula>0</formula>
    </cfRule>
  </conditionalFormatting>
  <conditionalFormatting sqref="L19">
    <cfRule type="containsText" dxfId="1758" priority="980" operator="containsText" text="OK">
      <formula>NOT(ISERROR(SEARCH("OK",L19)))</formula>
    </cfRule>
    <cfRule type="containsText" dxfId="1757" priority="981" operator="containsText" text="ERROR">
      <formula>NOT(ISERROR(SEARCH("ERROR",L19)))</formula>
    </cfRule>
  </conditionalFormatting>
  <conditionalFormatting sqref="L21:L22">
    <cfRule type="containsText" dxfId="1756" priority="500" operator="containsText" text="OK">
      <formula>NOT(ISERROR(SEARCH("OK",L21)))</formula>
    </cfRule>
    <cfRule type="containsText" dxfId="1755" priority="501" operator="containsText" text="ERROR">
      <formula>NOT(ISERROR(SEARCH("ERROR",L21)))</formula>
    </cfRule>
  </conditionalFormatting>
  <conditionalFormatting sqref="L22">
    <cfRule type="containsText" dxfId="1754" priority="498" operator="containsText" text="OK">
      <formula>NOT(ISERROR(SEARCH("OK",L22)))</formula>
    </cfRule>
    <cfRule type="containsText" dxfId="1753" priority="499" operator="containsText" text="ERROR">
      <formula>NOT(ISERROR(SEARCH("ERROR",L22)))</formula>
    </cfRule>
  </conditionalFormatting>
  <conditionalFormatting sqref="L23:L25">
    <cfRule type="containsText" dxfId="1752" priority="915" operator="containsText" text="OK">
      <formula>NOT(ISERROR(SEARCH("OK",L23)))</formula>
    </cfRule>
    <cfRule type="containsText" dxfId="1751" priority="916" operator="containsText" text="ERROR">
      <formula>NOT(ISERROR(SEARCH("ERROR",L23)))</formula>
    </cfRule>
    <cfRule type="containsText" dxfId="1750" priority="917" operator="containsText" text="OK">
      <formula>NOT(ISERROR(SEARCH("OK",L23)))</formula>
    </cfRule>
    <cfRule type="containsText" dxfId="1749" priority="918" operator="containsText" text="ERROR">
      <formula>NOT(ISERROR(SEARCH("ERROR",L23)))</formula>
    </cfRule>
    <cfRule type="containsText" dxfId="1748" priority="919" operator="containsText" text="OK">
      <formula>NOT(ISERROR(SEARCH("OK",L23)))</formula>
    </cfRule>
    <cfRule type="containsText" dxfId="1747" priority="920" operator="containsText" text="ERROR">
      <formula>NOT(ISERROR(SEARCH("ERROR",L23)))</formula>
    </cfRule>
  </conditionalFormatting>
  <conditionalFormatting sqref="L23:L26">
    <cfRule type="containsText" dxfId="1746" priority="899" operator="containsText" text="OK">
      <formula>NOT(ISERROR(SEARCH("OK",L23)))</formula>
    </cfRule>
    <cfRule type="containsText" dxfId="1745" priority="900" operator="containsText" text="ERROR">
      <formula>NOT(ISERROR(SEARCH("ERROR",L23)))</formula>
    </cfRule>
  </conditionalFormatting>
  <conditionalFormatting sqref="L24 K25:L25">
    <cfRule type="cellIs" dxfId="1744" priority="490" operator="equal">
      <formula>0</formula>
    </cfRule>
    <cfRule type="cellIs" dxfId="1743" priority="491" operator="lessThan">
      <formula>0</formula>
    </cfRule>
  </conditionalFormatting>
  <conditionalFormatting sqref="L26">
    <cfRule type="containsText" dxfId="1742" priority="893" operator="containsText" text="OK">
      <formula>NOT(ISERROR(SEARCH("OK",L26)))</formula>
    </cfRule>
    <cfRule type="containsText" dxfId="1741" priority="894" operator="containsText" text="ERROR">
      <formula>NOT(ISERROR(SEARCH("ERROR",L26)))</formula>
    </cfRule>
  </conditionalFormatting>
  <conditionalFormatting sqref="L26:L27 L30:L31">
    <cfRule type="containsText" dxfId="1740" priority="804" operator="containsText" text="OK">
      <formula>NOT(ISERROR(SEARCH("OK",L26)))</formula>
    </cfRule>
    <cfRule type="containsText" dxfId="1739" priority="805" operator="containsText" text="ERROR">
      <formula>NOT(ISERROR(SEARCH("ERROR",L26)))</formula>
    </cfRule>
  </conditionalFormatting>
  <conditionalFormatting sqref="L27 L30:L31">
    <cfRule type="containsText" dxfId="1738" priority="795" operator="containsText" text="ERROR">
      <formula>NOT(ISERROR(SEARCH("ERROR",L27)))</formula>
    </cfRule>
    <cfRule type="containsText" dxfId="1737" priority="798" operator="containsText" text="OK">
      <formula>NOT(ISERROR(SEARCH("OK",L27)))</formula>
    </cfRule>
    <cfRule type="containsText" dxfId="1736" priority="799" operator="containsText" text="ERROR">
      <formula>NOT(ISERROR(SEARCH("ERROR",L27)))</formula>
    </cfRule>
  </conditionalFormatting>
  <conditionalFormatting sqref="L30:L31 L27">
    <cfRule type="containsText" dxfId="1735" priority="794" operator="containsText" text="OK">
      <formula>NOT(ISERROR(SEARCH("OK",L27)))</formula>
    </cfRule>
  </conditionalFormatting>
  <conditionalFormatting sqref="L30:L31">
    <cfRule type="containsText" dxfId="1734" priority="728" operator="containsText" text="OK">
      <formula>NOT(ISERROR(SEARCH("OK",L30)))</formula>
    </cfRule>
    <cfRule type="containsText" dxfId="1733" priority="729" operator="containsText" text="ERROR">
      <formula>NOT(ISERROR(SEARCH("ERROR",L30)))</formula>
    </cfRule>
  </conditionalFormatting>
  <conditionalFormatting sqref="L35">
    <cfRule type="cellIs" dxfId="1732" priority="945" operator="equal">
      <formula>0</formula>
    </cfRule>
    <cfRule type="cellIs" dxfId="1731" priority="946" operator="lessThan">
      <formula>0</formula>
    </cfRule>
    <cfRule type="containsText" dxfId="1730" priority="947" operator="containsText" text="OK">
      <formula>NOT(ISERROR(SEARCH("OK",L35)))</formula>
    </cfRule>
    <cfRule type="containsText" dxfId="1729" priority="948" operator="containsText" text="ERROR">
      <formula>NOT(ISERROR(SEARCH("ERROR",L35)))</formula>
    </cfRule>
  </conditionalFormatting>
  <conditionalFormatting sqref="L37 N37:V37 H37:J37">
    <cfRule type="cellIs" dxfId="1728" priority="931" operator="equal">
      <formula>0</formula>
    </cfRule>
    <cfRule type="cellIs" dxfId="1727" priority="932" operator="lessThan">
      <formula>0</formula>
    </cfRule>
  </conditionalFormatting>
  <conditionalFormatting sqref="L37 N37:V37">
    <cfRule type="containsText" dxfId="1726" priority="930" operator="containsText" text="ERROR">
      <formula>NOT(ISERROR(SEARCH("ERROR",L37)))</formula>
    </cfRule>
  </conditionalFormatting>
  <conditionalFormatting sqref="L37:L38">
    <cfRule type="cellIs" dxfId="1725" priority="568" operator="equal">
      <formula>0</formula>
    </cfRule>
    <cfRule type="cellIs" dxfId="1724" priority="569" operator="lessThan">
      <formula>0</formula>
    </cfRule>
  </conditionalFormatting>
  <conditionalFormatting sqref="L37:L39">
    <cfRule type="containsText" dxfId="1723" priority="566" operator="containsText" text="OK">
      <formula>NOT(ISERROR(SEARCH("OK",L37)))</formula>
    </cfRule>
    <cfRule type="containsText" dxfId="1722" priority="567" operator="containsText" text="ERROR">
      <formula>NOT(ISERROR(SEARCH("ERROR",L37)))</formula>
    </cfRule>
  </conditionalFormatting>
  <conditionalFormatting sqref="L39:L40">
    <cfRule type="containsText" dxfId="1721" priority="616" operator="containsText" text="OK">
      <formula>NOT(ISERROR(SEARCH("OK",L39)))</formula>
    </cfRule>
    <cfRule type="containsText" dxfId="1720" priority="617" operator="containsText" text="ERROR">
      <formula>NOT(ISERROR(SEARCH("ERROR",L39)))</formula>
    </cfRule>
  </conditionalFormatting>
  <conditionalFormatting sqref="L40">
    <cfRule type="cellIs" dxfId="1719" priority="923" operator="equal">
      <formula>0</formula>
    </cfRule>
    <cfRule type="cellIs" dxfId="1718" priority="924" operator="lessThan">
      <formula>0</formula>
    </cfRule>
  </conditionalFormatting>
  <conditionalFormatting sqref="L41:L48">
    <cfRule type="cellIs" dxfId="1717" priority="574" operator="equal">
      <formula>0</formula>
    </cfRule>
    <cfRule type="cellIs" dxfId="1716" priority="575" operator="lessThan">
      <formula>0</formula>
    </cfRule>
  </conditionalFormatting>
  <conditionalFormatting sqref="L41:L49">
    <cfRule type="containsText" dxfId="1715" priority="572" operator="containsText" text="OK">
      <formula>NOT(ISERROR(SEARCH("OK",L41)))</formula>
    </cfRule>
    <cfRule type="containsText" dxfId="1714" priority="573" operator="containsText" text="ERROR">
      <formula>NOT(ISERROR(SEARCH("ERROR",L41)))</formula>
    </cfRule>
  </conditionalFormatting>
  <conditionalFormatting sqref="L53:L61">
    <cfRule type="cellIs" dxfId="1713" priority="891" operator="equal">
      <formula>0</formula>
    </cfRule>
  </conditionalFormatting>
  <conditionalFormatting sqref="L53:L62">
    <cfRule type="containsText" dxfId="1712" priority="889" operator="containsText" text="OK">
      <formula>NOT(ISERROR(SEARCH("OK",L53)))</formula>
    </cfRule>
    <cfRule type="containsText" dxfId="1711" priority="890" operator="containsText" text="ERROR">
      <formula>NOT(ISERROR(SEARCH("ERROR",L53)))</formula>
    </cfRule>
  </conditionalFormatting>
  <conditionalFormatting sqref="L53:L64">
    <cfRule type="cellIs" dxfId="1710" priority="892" operator="lessThan">
      <formula>0</formula>
    </cfRule>
  </conditionalFormatting>
  <conditionalFormatting sqref="L62:L65">
    <cfRule type="cellIs" dxfId="1709" priority="955" operator="equal">
      <formula>0</formula>
    </cfRule>
  </conditionalFormatting>
  <conditionalFormatting sqref="L63:L64">
    <cfRule type="containsText" dxfId="1708" priority="956" operator="containsText" text="OK">
      <formula>NOT(ISERROR(SEARCH("OK",L63)))</formula>
    </cfRule>
    <cfRule type="containsText" dxfId="1707" priority="957" operator="containsText" text="ERROR">
      <formula>NOT(ISERROR(SEARCH("ERROR",L63)))</formula>
    </cfRule>
  </conditionalFormatting>
  <conditionalFormatting sqref="L65">
    <cfRule type="containsText" dxfId="1706" priority="953" operator="containsText" text="OK">
      <formula>NOT(ISERROR(SEARCH("OK",L65)))</formula>
    </cfRule>
    <cfRule type="containsText" dxfId="1705" priority="954" operator="containsText" text="ERROR">
      <formula>NOT(ISERROR(SEARCH("ERROR",L65)))</formula>
    </cfRule>
  </conditionalFormatting>
  <conditionalFormatting sqref="L69:L75">
    <cfRule type="cellIs" dxfId="1704" priority="526" operator="equal">
      <formula>0</formula>
    </cfRule>
    <cfRule type="cellIs" dxfId="1703" priority="527" operator="lessThan">
      <formula>0</formula>
    </cfRule>
  </conditionalFormatting>
  <conditionalFormatting sqref="L86">
    <cfRule type="cellIs" dxfId="1702" priority="540" operator="equal">
      <formula>0</formula>
    </cfRule>
    <cfRule type="cellIs" dxfId="1701" priority="541" operator="lessThan">
      <formula>0</formula>
    </cfRule>
    <cfRule type="containsText" dxfId="1700" priority="542" operator="containsText" text="OK">
      <formula>NOT(ISERROR(SEARCH("OK",L86)))</formula>
    </cfRule>
    <cfRule type="containsText" dxfId="1699" priority="543" operator="containsText" text="ERROR">
      <formula>NOT(ISERROR(SEARCH("ERROR",L86)))</formula>
    </cfRule>
  </conditionalFormatting>
  <conditionalFormatting sqref="L94:L95 L98:L100 L102:L104 P107">
    <cfRule type="containsText" dxfId="1698" priority="949" operator="containsText" text="check">
      <formula>NOT(ISERROR(SEARCH("check",L94)))</formula>
    </cfRule>
    <cfRule type="containsText" dxfId="1697" priority="988" operator="containsText" text="ok">
      <formula>NOT(ISERROR(SEARCH("ok",L94)))</formula>
    </cfRule>
  </conditionalFormatting>
  <conditionalFormatting sqref="L94:L95 L99:L100 L102:L104 P107 N100:AC103 N94 N95:AC95 N97:O97 Q97:R97 V97 N99:V99">
    <cfRule type="cellIs" dxfId="1696" priority="991" operator="equal">
      <formula>0</formula>
    </cfRule>
  </conditionalFormatting>
  <conditionalFormatting sqref="L94:L95 L99:L100 L102:L104 P107 N100:AC103 N97:O97 Q97:R97 V97">
    <cfRule type="cellIs" dxfId="1695" priority="992" operator="lessThan">
      <formula>0</formula>
    </cfRule>
  </conditionalFormatting>
  <conditionalFormatting sqref="L98">
    <cfRule type="cellIs" dxfId="1694" priority="950" operator="equal">
      <formula>0</formula>
    </cfRule>
    <cfRule type="cellIs" dxfId="1693" priority="951" operator="lessThan">
      <formula>0</formula>
    </cfRule>
    <cfRule type="cellIs" dxfId="1692" priority="952" operator="equal">
      <formula>0</formula>
    </cfRule>
  </conditionalFormatting>
  <conditionalFormatting sqref="L98:L100 L94:L95 L102:L104 P107">
    <cfRule type="containsText" dxfId="1691" priority="987" operator="containsText" text="wrong">
      <formula>NOT(ISERROR(SEARCH("wrong",L94)))</formula>
    </cfRule>
  </conditionalFormatting>
  <conditionalFormatting sqref="L101">
    <cfRule type="containsText" dxfId="1690" priority="680" operator="containsText" text="Error, must fully repay">
      <formula>NOT(ISERROR(SEARCH("Error, must fully repay",L101)))</formula>
    </cfRule>
  </conditionalFormatting>
  <conditionalFormatting sqref="L118:L137">
    <cfRule type="cellIs" dxfId="1689" priority="474" operator="equal">
      <formula>0</formula>
    </cfRule>
    <cfRule type="cellIs" dxfId="1688" priority="475" operator="lessThan">
      <formula>0</formula>
    </cfRule>
  </conditionalFormatting>
  <conditionalFormatting sqref="L175:L176">
    <cfRule type="cellIs" dxfId="1687" priority="652" operator="equal">
      <formula>0</formula>
    </cfRule>
    <cfRule type="cellIs" dxfId="1686" priority="653" operator="lessThan">
      <formula>0</formula>
    </cfRule>
  </conditionalFormatting>
  <conditionalFormatting sqref="L182">
    <cfRule type="containsText" dxfId="1685" priority="656" operator="containsText" text="OK">
      <formula>NOT(ISERROR(SEARCH("OK",L182)))</formula>
    </cfRule>
    <cfRule type="containsText" dxfId="1684" priority="657" operator="containsText" text="ERROR">
      <formula>NOT(ISERROR(SEARCH("ERROR",L182)))</formula>
    </cfRule>
  </conditionalFormatting>
  <conditionalFormatting sqref="L182:L187">
    <cfRule type="cellIs" dxfId="1683" priority="658" operator="equal">
      <formula>0</formula>
    </cfRule>
    <cfRule type="cellIs" dxfId="1682" priority="659" operator="lessThan">
      <formula>0</formula>
    </cfRule>
  </conditionalFormatting>
  <conditionalFormatting sqref="L225:L240">
    <cfRule type="cellIs" dxfId="1681" priority="558" operator="equal">
      <formula>0</formula>
    </cfRule>
    <cfRule type="cellIs" dxfId="1680" priority="559" operator="lessThan">
      <formula>0</formula>
    </cfRule>
  </conditionalFormatting>
  <conditionalFormatting sqref="L326">
    <cfRule type="cellIs" dxfId="1679" priority="560" operator="equal">
      <formula>0</formula>
    </cfRule>
  </conditionalFormatting>
  <conditionalFormatting sqref="L326:L327">
    <cfRule type="cellIs" dxfId="1678" priority="561" operator="lessThan">
      <formula>0</formula>
    </cfRule>
  </conditionalFormatting>
  <conditionalFormatting sqref="L327">
    <cfRule type="cellIs" dxfId="1677" priority="936" operator="equal">
      <formula>0</formula>
    </cfRule>
  </conditionalFormatting>
  <conditionalFormatting sqref="L329">
    <cfRule type="cellIs" dxfId="1676" priority="933" operator="equal">
      <formula>0</formula>
    </cfRule>
  </conditionalFormatting>
  <conditionalFormatting sqref="L329:L330">
    <cfRule type="cellIs" dxfId="1675" priority="934" operator="lessThan">
      <formula>0</formula>
    </cfRule>
  </conditionalFormatting>
  <conditionalFormatting sqref="L330">
    <cfRule type="cellIs" dxfId="1674" priority="935" operator="equal">
      <formula>0</formula>
    </cfRule>
  </conditionalFormatting>
  <conditionalFormatting sqref="L333:L335">
    <cfRule type="cellIs" dxfId="1673" priority="1509" operator="lessThan">
      <formula>0</formula>
    </cfRule>
    <cfRule type="cellIs" dxfId="1672" priority="1510" operator="equal">
      <formula>0</formula>
    </cfRule>
    <cfRule type="cellIs" dxfId="1671" priority="1511" operator="lessThan">
      <formula>0</formula>
    </cfRule>
  </conditionalFormatting>
  <conditionalFormatting sqref="L371">
    <cfRule type="cellIs" dxfId="1670" priority="1195" operator="equal">
      <formula>0</formula>
    </cfRule>
    <cfRule type="cellIs" dxfId="1669" priority="1196" operator="lessThan">
      <formula>0</formula>
    </cfRule>
  </conditionalFormatting>
  <conditionalFormatting sqref="L375">
    <cfRule type="containsText" dxfId="1668" priority="1215" operator="containsText" text="OK">
      <formula>NOT(ISERROR(SEARCH("OK",L375)))</formula>
    </cfRule>
    <cfRule type="containsText" dxfId="1667" priority="1216" operator="containsText" text="ERROR">
      <formula>NOT(ISERROR(SEARCH("ERROR",L375)))</formula>
    </cfRule>
  </conditionalFormatting>
  <conditionalFormatting sqref="L377:L378">
    <cfRule type="containsText" dxfId="1666" priority="1065" operator="containsText" text="OK">
      <formula>NOT(ISERROR(SEARCH("OK",L377)))</formula>
    </cfRule>
    <cfRule type="containsText" dxfId="1665" priority="1066" operator="containsText" text="ERROR">
      <formula>NOT(ISERROR(SEARCH("ERROR",L377)))</formula>
    </cfRule>
  </conditionalFormatting>
  <conditionalFormatting sqref="L378">
    <cfRule type="containsText" dxfId="1664" priority="1063" operator="containsText" text="OK">
      <formula>NOT(ISERROR(SEARCH("OK",L378)))</formula>
    </cfRule>
    <cfRule type="containsText" dxfId="1663" priority="1064" operator="containsText" text="ERROR">
      <formula>NOT(ISERROR(SEARCH("ERROR",L378)))</formula>
    </cfRule>
  </conditionalFormatting>
  <conditionalFormatting sqref="L379:L381">
    <cfRule type="containsText" dxfId="1662" priority="1187" operator="containsText" text="OK">
      <formula>NOT(ISERROR(SEARCH("OK",L379)))</formula>
    </cfRule>
    <cfRule type="containsText" dxfId="1661" priority="1188" operator="containsText" text="ERROR">
      <formula>NOT(ISERROR(SEARCH("ERROR",L379)))</formula>
    </cfRule>
    <cfRule type="containsText" dxfId="1660" priority="1189" operator="containsText" text="OK">
      <formula>NOT(ISERROR(SEARCH("OK",L379)))</formula>
    </cfRule>
    <cfRule type="containsText" dxfId="1659" priority="1190" operator="containsText" text="ERROR">
      <formula>NOT(ISERROR(SEARCH("ERROR",L379)))</formula>
    </cfRule>
    <cfRule type="containsText" dxfId="1658" priority="1191" operator="containsText" text="OK">
      <formula>NOT(ISERROR(SEARCH("OK",L379)))</formula>
    </cfRule>
    <cfRule type="containsText" dxfId="1657" priority="1192" operator="containsText" text="ERROR">
      <formula>NOT(ISERROR(SEARCH("ERROR",L379)))</formula>
    </cfRule>
  </conditionalFormatting>
  <conditionalFormatting sqref="L379:L382">
    <cfRule type="containsText" dxfId="1656" priority="1185" operator="containsText" text="OK">
      <formula>NOT(ISERROR(SEARCH("OK",L379)))</formula>
    </cfRule>
    <cfRule type="containsText" dxfId="1655" priority="1186" operator="containsText" text="ERROR">
      <formula>NOT(ISERROR(SEARCH("ERROR",L379)))</formula>
    </cfRule>
  </conditionalFormatting>
  <conditionalFormatting sqref="L382">
    <cfRule type="containsText" dxfId="1654" priority="1179" operator="containsText" text="OK">
      <formula>NOT(ISERROR(SEARCH("OK",L382)))</formula>
    </cfRule>
    <cfRule type="containsText" dxfId="1653" priority="1180" operator="containsText" text="ERROR">
      <formula>NOT(ISERROR(SEARCH("ERROR",L382)))</formula>
    </cfRule>
  </conditionalFormatting>
  <conditionalFormatting sqref="L382:L383 L386:L387">
    <cfRule type="containsText" dxfId="1652" priority="1125" operator="containsText" text="OK">
      <formula>NOT(ISERROR(SEARCH("OK",L382)))</formula>
    </cfRule>
    <cfRule type="containsText" dxfId="1651" priority="1126" operator="containsText" text="ERROR">
      <formula>NOT(ISERROR(SEARCH("ERROR",L382)))</formula>
    </cfRule>
  </conditionalFormatting>
  <conditionalFormatting sqref="L383 L386:L387">
    <cfRule type="containsText" dxfId="1650" priority="1116" operator="containsText" text="ERROR">
      <formula>NOT(ISERROR(SEARCH("ERROR",L383)))</formula>
    </cfRule>
    <cfRule type="containsText" dxfId="1649" priority="1119" operator="containsText" text="OK">
      <formula>NOT(ISERROR(SEARCH("OK",L383)))</formula>
    </cfRule>
    <cfRule type="containsText" dxfId="1648" priority="1120" operator="containsText" text="ERROR">
      <formula>NOT(ISERROR(SEARCH("ERROR",L383)))</formula>
    </cfRule>
  </conditionalFormatting>
  <conditionalFormatting sqref="L386:L387 L383">
    <cfRule type="containsText" dxfId="1647" priority="1115" operator="containsText" text="OK">
      <formula>NOT(ISERROR(SEARCH("OK",L383)))</formula>
    </cfRule>
  </conditionalFormatting>
  <conditionalFormatting sqref="L386:L387">
    <cfRule type="containsText" dxfId="1646" priority="1109" operator="containsText" text="OK">
      <formula>NOT(ISERROR(SEARCH("OK",L386)))</formula>
    </cfRule>
    <cfRule type="containsText" dxfId="1645" priority="1110" operator="containsText" text="ERROR">
      <formula>NOT(ISERROR(SEARCH("ERROR",L386)))</formula>
    </cfRule>
  </conditionalFormatting>
  <conditionalFormatting sqref="L391">
    <cfRule type="cellIs" dxfId="1644" priority="1211" operator="equal">
      <formula>0</formula>
    </cfRule>
    <cfRule type="cellIs" dxfId="1643" priority="1212" operator="lessThan">
      <formula>0</formula>
    </cfRule>
    <cfRule type="containsText" dxfId="1642" priority="1213" operator="containsText" text="OK">
      <formula>NOT(ISERROR(SEARCH("OK",L391)))</formula>
    </cfRule>
    <cfRule type="containsText" dxfId="1641" priority="1214" operator="containsText" text="ERROR">
      <formula>NOT(ISERROR(SEARCH("ERROR",L391)))</formula>
    </cfRule>
  </conditionalFormatting>
  <conditionalFormatting sqref="L393 N393:V393 I393:J393">
    <cfRule type="cellIs" dxfId="1640" priority="1201" operator="equal">
      <formula>0</formula>
    </cfRule>
  </conditionalFormatting>
  <conditionalFormatting sqref="L393 N393:V393">
    <cfRule type="containsText" dxfId="1639" priority="1200" operator="containsText" text="ERROR">
      <formula>NOT(ISERROR(SEARCH("ERROR",L393)))</formula>
    </cfRule>
    <cfRule type="cellIs" dxfId="1638" priority="1202" operator="lessThan">
      <formula>0</formula>
    </cfRule>
  </conditionalFormatting>
  <conditionalFormatting sqref="L393:L394">
    <cfRule type="cellIs" dxfId="1637" priority="1073" operator="equal">
      <formula>0</formula>
    </cfRule>
    <cfRule type="cellIs" dxfId="1636" priority="1074" operator="lessThan">
      <formula>0</formula>
    </cfRule>
  </conditionalFormatting>
  <conditionalFormatting sqref="L393:L395">
    <cfRule type="containsText" dxfId="1635" priority="1071" operator="containsText" text="OK">
      <formula>NOT(ISERROR(SEARCH("OK",L393)))</formula>
    </cfRule>
    <cfRule type="containsText" dxfId="1634" priority="1072" operator="containsText" text="ERROR">
      <formula>NOT(ISERROR(SEARCH("ERROR",L393)))</formula>
    </cfRule>
  </conditionalFormatting>
  <conditionalFormatting sqref="L395:L396">
    <cfRule type="containsText" dxfId="1633" priority="1096" operator="containsText" text="OK">
      <formula>NOT(ISERROR(SEARCH("OK",L395)))</formula>
    </cfRule>
    <cfRule type="containsText" dxfId="1632" priority="1097" operator="containsText" text="ERROR">
      <formula>NOT(ISERROR(SEARCH("ERROR",L395)))</formula>
    </cfRule>
  </conditionalFormatting>
  <conditionalFormatting sqref="L396">
    <cfRule type="cellIs" dxfId="1631" priority="1193" operator="equal">
      <formula>0</formula>
    </cfRule>
    <cfRule type="cellIs" dxfId="1630" priority="1194" operator="lessThan">
      <formula>0</formula>
    </cfRule>
  </conditionalFormatting>
  <conditionalFormatting sqref="L397:L404">
    <cfRule type="cellIs" dxfId="1629" priority="1080" operator="equal">
      <formula>0</formula>
    </cfRule>
    <cfRule type="cellIs" dxfId="1628" priority="1081" operator="lessThan">
      <formula>0</formula>
    </cfRule>
  </conditionalFormatting>
  <conditionalFormatting sqref="L397:L405">
    <cfRule type="containsText" dxfId="1627" priority="1078" operator="containsText" text="OK">
      <formula>NOT(ISERROR(SEARCH("OK",L397)))</formula>
    </cfRule>
    <cfRule type="containsText" dxfId="1626" priority="1079" operator="containsText" text="ERROR">
      <formula>NOT(ISERROR(SEARCH("ERROR",L397)))</formula>
    </cfRule>
  </conditionalFormatting>
  <conditionalFormatting sqref="N15">
    <cfRule type="cellIs" dxfId="1625" priority="941" operator="equal">
      <formula>0</formula>
    </cfRule>
    <cfRule type="cellIs" dxfId="1624" priority="942" operator="lessThan">
      <formula>0</formula>
    </cfRule>
    <cfRule type="containsText" dxfId="1623" priority="943" operator="containsText" text="OK">
      <formula>NOT(ISERROR(SEARCH("OK",N15)))</formula>
    </cfRule>
    <cfRule type="containsText" dxfId="1622" priority="944" operator="containsText" text="ERROR">
      <formula>NOT(ISERROR(SEARCH("ERROR",N15)))</formula>
    </cfRule>
  </conditionalFormatting>
  <conditionalFormatting sqref="N78">
    <cfRule type="cellIs" dxfId="1621" priority="110" operator="equal">
      <formula>0</formula>
    </cfRule>
    <cfRule type="cellIs" dxfId="1620" priority="111" operator="lessThan">
      <formula>0</formula>
    </cfRule>
  </conditionalFormatting>
  <conditionalFormatting sqref="N326:N329">
    <cfRule type="cellIs" dxfId="1619" priority="521" operator="equal">
      <formula>0</formula>
    </cfRule>
    <cfRule type="cellIs" dxfId="1618" priority="522" operator="lessThan">
      <formula>0</formula>
    </cfRule>
  </conditionalFormatting>
  <conditionalFormatting sqref="N363:N364">
    <cfRule type="cellIs" dxfId="1617" priority="1035" operator="equal">
      <formula>0</formula>
    </cfRule>
    <cfRule type="cellIs" dxfId="1616" priority="1036" operator="lessThan">
      <formula>0</formula>
    </cfRule>
    <cfRule type="containsText" dxfId="1615" priority="1037" operator="containsText" text="OK">
      <formula>NOT(ISERROR(SEARCH("OK",N363)))</formula>
    </cfRule>
    <cfRule type="containsText" dxfId="1614" priority="1038" operator="containsText" text="ERROR">
      <formula>NOT(ISERROR(SEARCH("ERROR",N363)))</formula>
    </cfRule>
    <cfRule type="containsText" dxfId="1613" priority="1039" operator="containsText" text="OK">
      <formula>NOT(ISERROR(SEARCH("OK",N363)))</formula>
    </cfRule>
    <cfRule type="containsText" dxfId="1612" priority="1040" operator="containsText" text="ERROR">
      <formula>NOT(ISERROR(SEARCH("ERROR",N363)))</formula>
    </cfRule>
  </conditionalFormatting>
  <conditionalFormatting sqref="N371">
    <cfRule type="cellIs" dxfId="1611" priority="1207" operator="equal">
      <formula>0</formula>
    </cfRule>
    <cfRule type="cellIs" dxfId="1610" priority="1208" operator="lessThan">
      <formula>0</formula>
    </cfRule>
    <cfRule type="containsText" dxfId="1609" priority="1209" operator="containsText" text="OK">
      <formula>NOT(ISERROR(SEARCH("OK",N371)))</formula>
    </cfRule>
    <cfRule type="containsText" dxfId="1608" priority="1210" operator="containsText" text="ERROR">
      <formula>NOT(ISERROR(SEARCH("ERROR",N371)))</formula>
    </cfRule>
  </conditionalFormatting>
  <conditionalFormatting sqref="N78:O78">
    <cfRule type="cellIs" dxfId="1607" priority="58" operator="equal">
      <formula>0</formula>
    </cfRule>
    <cfRule type="containsText" dxfId="1606" priority="60" operator="containsText" text="OK">
      <formula>NOT(ISERROR(SEARCH("OK",N78)))</formula>
    </cfRule>
    <cfRule type="containsText" dxfId="1605" priority="61" operator="containsText" text="ERROR">
      <formula>NOT(ISERROR(SEARCH("ERROR",N78)))</formula>
    </cfRule>
  </conditionalFormatting>
  <conditionalFormatting sqref="N294:P294">
    <cfRule type="containsText" dxfId="1604" priority="1" operator="containsText" text="OK">
      <formula>NOT(ISERROR(SEARCH("OK",N294)))</formula>
    </cfRule>
    <cfRule type="containsText" dxfId="1603" priority="2" operator="containsText" text="ERROR">
      <formula>NOT(ISERROR(SEARCH("ERROR",N294)))</formula>
    </cfRule>
    <cfRule type="containsText" dxfId="1602" priority="3" operator="containsText" text="OK">
      <formula>NOT(ISERROR(SEARCH("OK",N294)))</formula>
    </cfRule>
    <cfRule type="containsText" dxfId="1601" priority="4" operator="containsText" text="ERROR">
      <formula>NOT(ISERROR(SEARCH("ERROR",N294)))</formula>
    </cfRule>
    <cfRule type="cellIs" dxfId="1600" priority="5" operator="equal">
      <formula>0</formula>
    </cfRule>
    <cfRule type="cellIs" dxfId="1599" priority="6" operator="lessThan">
      <formula>0</formula>
    </cfRule>
    <cfRule type="containsText" dxfId="1598" priority="9" operator="containsText" text="OK">
      <formula>NOT(ISERROR(SEARCH("OK",N294)))</formula>
    </cfRule>
    <cfRule type="containsText" dxfId="1597" priority="10" operator="containsText" text="ERROR">
      <formula>NOT(ISERROR(SEARCH("ERROR",N294)))</formula>
    </cfRule>
  </conditionalFormatting>
  <conditionalFormatting sqref="N18:V23">
    <cfRule type="containsText" dxfId="1596" priority="488" operator="containsText" text="OK">
      <formula>NOT(ISERROR(SEARCH("OK",N18)))</formula>
    </cfRule>
    <cfRule type="containsText" dxfId="1595" priority="489" operator="containsText" text="ERROR">
      <formula>NOT(ISERROR(SEARCH("ERROR",N18)))</formula>
    </cfRule>
  </conditionalFormatting>
  <conditionalFormatting sqref="N24:V25">
    <cfRule type="cellIs" dxfId="1594" priority="35" operator="equal">
      <formula>0</formula>
    </cfRule>
    <cfRule type="cellIs" dxfId="1593" priority="36" operator="lessThan">
      <formula>0</formula>
    </cfRule>
    <cfRule type="containsText" dxfId="1592" priority="37" operator="containsText" text="OK">
      <formula>NOT(ISERROR(SEARCH("OK",N24)))</formula>
    </cfRule>
    <cfRule type="containsText" dxfId="1591" priority="38" operator="containsText" text="ERROR">
      <formula>NOT(ISERROR(SEARCH("ERROR",N24)))</formula>
    </cfRule>
  </conditionalFormatting>
  <conditionalFormatting sqref="N26:V26">
    <cfRule type="containsText" dxfId="1590" priority="897" operator="containsText" text="OK">
      <formula>NOT(ISERROR(SEARCH("OK",N26)))</formula>
    </cfRule>
    <cfRule type="containsText" dxfId="1589" priority="898" operator="containsText" text="ERROR">
      <formula>NOT(ISERROR(SEARCH("ERROR",N26)))</formula>
    </cfRule>
  </conditionalFormatting>
  <conditionalFormatting sqref="N34:V35">
    <cfRule type="cellIs" dxfId="1588" priority="939" operator="equal">
      <formula>0</formula>
    </cfRule>
    <cfRule type="cellIs" dxfId="1587" priority="940" operator="lessThan">
      <formula>0</formula>
    </cfRule>
    <cfRule type="containsText" dxfId="1586" priority="982" operator="containsText" text="OK">
      <formula>NOT(ISERROR(SEARCH("OK",N34)))</formula>
    </cfRule>
    <cfRule type="containsText" dxfId="1585" priority="983" operator="containsText" text="ERROR">
      <formula>NOT(ISERROR(SEARCH("ERROR",N34)))</formula>
    </cfRule>
  </conditionalFormatting>
  <conditionalFormatting sqref="N35:V35">
    <cfRule type="containsText" dxfId="1584" priority="937" operator="containsText" text="OK">
      <formula>NOT(ISERROR(SEARCH("OK",N35)))</formula>
    </cfRule>
    <cfRule type="containsText" dxfId="1583" priority="938" operator="containsText" text="ERROR">
      <formula>NOT(ISERROR(SEARCH("ERROR",N35)))</formula>
    </cfRule>
  </conditionalFormatting>
  <conditionalFormatting sqref="N37:V37 L37">
    <cfRule type="containsText" dxfId="1582" priority="929" operator="containsText" text="OK">
      <formula>NOT(ISERROR(SEARCH("OK",L37)))</formula>
    </cfRule>
  </conditionalFormatting>
  <conditionalFormatting sqref="N37:V37">
    <cfRule type="containsText" dxfId="1581" priority="927" operator="containsText" text="OK">
      <formula>NOT(ISERROR(SEARCH("OK",N37)))</formula>
    </cfRule>
    <cfRule type="containsText" dxfId="1580" priority="928" operator="containsText" text="ERROR">
      <formula>NOT(ISERROR(SEARCH("ERROR",N37)))</formula>
    </cfRule>
  </conditionalFormatting>
  <conditionalFormatting sqref="N53:V65">
    <cfRule type="containsText" dxfId="1579" priority="973" operator="containsText" text="OK">
      <formula>NOT(ISERROR(SEARCH("OK",N53)))</formula>
    </cfRule>
    <cfRule type="containsText" dxfId="1578" priority="974" operator="containsText" text="ERROR">
      <formula>NOT(ISERROR(SEARCH("ERROR",N53)))</formula>
    </cfRule>
  </conditionalFormatting>
  <conditionalFormatting sqref="N65:V65 N276:V276">
    <cfRule type="cellIs" dxfId="1577" priority="975" operator="equal">
      <formula>0</formula>
    </cfRule>
  </conditionalFormatting>
  <conditionalFormatting sqref="N88:V88">
    <cfRule type="containsText" dxfId="1576" priority="779" operator="containsText" text="OK">
      <formula>NOT(ISERROR(SEARCH("OK",N88)))</formula>
    </cfRule>
    <cfRule type="containsText" dxfId="1575" priority="780" operator="containsText" text="ERROR">
      <formula>NOT(ISERROR(SEARCH("ERROR",N88)))</formula>
    </cfRule>
    <cfRule type="cellIs" dxfId="1574" priority="781" operator="equal">
      <formula>0</formula>
    </cfRule>
    <cfRule type="cellIs" dxfId="1573" priority="782" operator="lessThan">
      <formula>0</formula>
    </cfRule>
  </conditionalFormatting>
  <conditionalFormatting sqref="N99:V103">
    <cfRule type="cellIs" dxfId="1572" priority="759" operator="lessThan">
      <formula>0</formula>
    </cfRule>
  </conditionalFormatting>
  <conditionalFormatting sqref="N101:V101">
    <cfRule type="containsText" dxfId="1571" priority="756" operator="containsText" text="OK">
      <formula>NOT(ISERROR(SEARCH("OK",N101)))</formula>
    </cfRule>
    <cfRule type="containsText" dxfId="1570" priority="757" operator="containsText" text="ERROR">
      <formula>NOT(ISERROR(SEARCH("ERROR",N101)))</formula>
    </cfRule>
    <cfRule type="cellIs" dxfId="1569" priority="758" operator="equal">
      <formula>0</formula>
    </cfRule>
  </conditionalFormatting>
  <conditionalFormatting sqref="N154:V155">
    <cfRule type="containsText" dxfId="1568" priority="362" operator="containsText" text="OK">
      <formula>NOT(ISERROR(SEARCH("OK",N154)))</formula>
    </cfRule>
    <cfRule type="containsText" dxfId="1567" priority="363" operator="containsText" text="ERROR">
      <formula>NOT(ISERROR(SEARCH("ERROR",N154)))</formula>
    </cfRule>
    <cfRule type="cellIs" dxfId="1566" priority="364" operator="equal">
      <formula>0</formula>
    </cfRule>
    <cfRule type="cellIs" dxfId="1565" priority="365" operator="lessThan">
      <formula>0</formula>
    </cfRule>
  </conditionalFormatting>
  <conditionalFormatting sqref="N227:V227">
    <cfRule type="cellIs" dxfId="1564" priority="965" operator="equal">
      <formula>0</formula>
    </cfRule>
    <cfRule type="cellIs" dxfId="1563" priority="966" operator="lessThan">
      <formula>0</formula>
    </cfRule>
  </conditionalFormatting>
  <conditionalFormatting sqref="N241:V243">
    <cfRule type="cellIs" dxfId="1562" priority="546" operator="equal">
      <formula>0</formula>
    </cfRule>
  </conditionalFormatting>
  <conditionalFormatting sqref="N247:V250">
    <cfRule type="cellIs" dxfId="1561" priority="907" operator="equal">
      <formula>0</formula>
    </cfRule>
    <cfRule type="cellIs" dxfId="1560" priority="908" operator="lessThan">
      <formula>0</formula>
    </cfRule>
  </conditionalFormatting>
  <conditionalFormatting sqref="N314:V314">
    <cfRule type="cellIs" dxfId="1559" priority="911" operator="equal">
      <formula>0</formula>
    </cfRule>
    <cfRule type="cellIs" dxfId="1558" priority="912" operator="lessThan">
      <formula>0</formula>
    </cfRule>
  </conditionalFormatting>
  <conditionalFormatting sqref="N316:V316">
    <cfRule type="cellIs" dxfId="1557" priority="960" operator="equal">
      <formula>0</formula>
    </cfRule>
    <cfRule type="cellIs" dxfId="1556" priority="961" operator="lessThan">
      <formula>0</formula>
    </cfRule>
  </conditionalFormatting>
  <conditionalFormatting sqref="N374:V379">
    <cfRule type="containsText" dxfId="1555" priority="1049" operator="containsText" text="OK">
      <formula>NOT(ISERROR(SEARCH("OK",N374)))</formula>
    </cfRule>
    <cfRule type="containsText" dxfId="1554" priority="1050" operator="containsText" text="ERROR">
      <formula>NOT(ISERROR(SEARCH("ERROR",N374)))</formula>
    </cfRule>
  </conditionalFormatting>
  <conditionalFormatting sqref="N380:V381 I380:J380 L380 I381:L381">
    <cfRule type="cellIs" dxfId="1553" priority="1055" operator="equal">
      <formula>0</formula>
    </cfRule>
    <cfRule type="cellIs" dxfId="1552" priority="1056" operator="lessThan">
      <formula>0</formula>
    </cfRule>
  </conditionalFormatting>
  <conditionalFormatting sqref="N380:V381">
    <cfRule type="containsText" dxfId="1551" priority="1057" operator="containsText" text="OK">
      <formula>NOT(ISERROR(SEARCH("OK",N380)))</formula>
    </cfRule>
    <cfRule type="containsText" dxfId="1550" priority="1058" operator="containsText" text="ERROR">
      <formula>NOT(ISERROR(SEARCH("ERROR",N380)))</formula>
    </cfRule>
  </conditionalFormatting>
  <conditionalFormatting sqref="N382:V382">
    <cfRule type="containsText" dxfId="1549" priority="1183" operator="containsText" text="OK">
      <formula>NOT(ISERROR(SEARCH("OK",N382)))</formula>
    </cfRule>
    <cfRule type="containsText" dxfId="1548" priority="1184" operator="containsText" text="ERROR">
      <formula>NOT(ISERROR(SEARCH("ERROR",N382)))</formula>
    </cfRule>
  </conditionalFormatting>
  <conditionalFormatting sqref="N390:V391">
    <cfRule type="cellIs" dxfId="1547" priority="1205" operator="equal">
      <formula>0</formula>
    </cfRule>
    <cfRule type="cellIs" dxfId="1546" priority="1206" operator="lessThan">
      <formula>0</formula>
    </cfRule>
    <cfRule type="containsText" dxfId="1545" priority="1217" operator="containsText" text="OK">
      <formula>NOT(ISERROR(SEARCH("OK",N390)))</formula>
    </cfRule>
    <cfRule type="containsText" dxfId="1544" priority="1218" operator="containsText" text="ERROR">
      <formula>NOT(ISERROR(SEARCH("ERROR",N390)))</formula>
    </cfRule>
  </conditionalFormatting>
  <conditionalFormatting sqref="N391:V391">
    <cfRule type="containsText" dxfId="1543" priority="1203" operator="containsText" text="OK">
      <formula>NOT(ISERROR(SEARCH("OK",N391)))</formula>
    </cfRule>
    <cfRule type="containsText" dxfId="1542" priority="1204" operator="containsText" text="ERROR">
      <formula>NOT(ISERROR(SEARCH("ERROR",N391)))</formula>
    </cfRule>
  </conditionalFormatting>
  <conditionalFormatting sqref="N393:V393 L393">
    <cfRule type="containsText" dxfId="1541" priority="1199" operator="containsText" text="OK">
      <formula>NOT(ISERROR(SEARCH("OK",L393)))</formula>
    </cfRule>
  </conditionalFormatting>
  <conditionalFormatting sqref="N393:V393">
    <cfRule type="containsText" dxfId="1540" priority="1197" operator="containsText" text="OK">
      <formula>NOT(ISERROR(SEARCH("OK",N393)))</formula>
    </cfRule>
    <cfRule type="containsText" dxfId="1539" priority="1198" operator="containsText" text="ERROR">
      <formula>NOT(ISERROR(SEARCH("ERROR",N393)))</formula>
    </cfRule>
  </conditionalFormatting>
  <conditionalFormatting sqref="N71:W71">
    <cfRule type="cellIs" dxfId="1538" priority="217" operator="lessThan">
      <formula>0</formula>
    </cfRule>
    <cfRule type="cellIs" dxfId="1537" priority="218" operator="equal">
      <formula>0</formula>
    </cfRule>
    <cfRule type="containsText" dxfId="1536" priority="232" operator="containsText" text="OK">
      <formula>NOT(ISERROR(SEARCH("OK",N71)))</formula>
    </cfRule>
    <cfRule type="containsText" dxfId="1535" priority="233" operator="containsText" text="ERROR">
      <formula>NOT(ISERROR(SEARCH("ERROR",N71)))</formula>
    </cfRule>
  </conditionalFormatting>
  <conditionalFormatting sqref="N74:W74">
    <cfRule type="containsText" dxfId="1534" priority="184" operator="containsText" text="OK">
      <formula>NOT(ISERROR(SEARCH("OK",N74)))</formula>
    </cfRule>
    <cfRule type="containsText" dxfId="1533" priority="185" operator="containsText" text="ERROR">
      <formula>NOT(ISERROR(SEARCH("ERROR",N74)))</formula>
    </cfRule>
  </conditionalFormatting>
  <conditionalFormatting sqref="N23:AA23">
    <cfRule type="cellIs" dxfId="1532" priority="482" operator="equal">
      <formula>0</formula>
    </cfRule>
    <cfRule type="cellIs" dxfId="1531" priority="483" operator="lessThan">
      <formula>0</formula>
    </cfRule>
  </conditionalFormatting>
  <conditionalFormatting sqref="N23:AA25">
    <cfRule type="containsText" dxfId="1530" priority="33" operator="containsText" text="OK">
      <formula>NOT(ISERROR(SEARCH("OK",N23)))</formula>
    </cfRule>
    <cfRule type="containsText" dxfId="1529" priority="34" operator="containsText" text="ERROR">
      <formula>NOT(ISERROR(SEARCH("ERROR",N23)))</formula>
    </cfRule>
  </conditionalFormatting>
  <conditionalFormatting sqref="N35:AA35">
    <cfRule type="cellIs" dxfId="1528" priority="884" operator="lessThan">
      <formula>0</formula>
    </cfRule>
  </conditionalFormatting>
  <conditionalFormatting sqref="N37:AA37">
    <cfRule type="cellIs" dxfId="1527" priority="879" operator="equal">
      <formula>0</formula>
    </cfRule>
    <cfRule type="cellIs" dxfId="1526" priority="880" operator="lessThan">
      <formula>0</formula>
    </cfRule>
  </conditionalFormatting>
  <conditionalFormatting sqref="N74:AA74">
    <cfRule type="cellIs" dxfId="1525" priority="166" operator="equal">
      <formula>0</formula>
    </cfRule>
    <cfRule type="cellIs" dxfId="1524" priority="167" operator="lessThan">
      <formula>0</formula>
    </cfRule>
  </conditionalFormatting>
  <conditionalFormatting sqref="N88:AA88">
    <cfRule type="cellIs" dxfId="1523" priority="778" operator="lessThan">
      <formula>0</formula>
    </cfRule>
  </conditionalFormatting>
  <conditionalFormatting sqref="N89:AA89 W97:AA103">
    <cfRule type="cellIs" dxfId="1522" priority="888" operator="lessThan">
      <formula>0</formula>
    </cfRule>
  </conditionalFormatting>
  <conditionalFormatting sqref="N379:AA379">
    <cfRule type="containsText" dxfId="1521" priority="1041" operator="containsText" text="OK">
      <formula>NOT(ISERROR(SEARCH("OK",N379)))</formula>
    </cfRule>
    <cfRule type="containsText" dxfId="1520" priority="1042" operator="containsText" text="ERROR">
      <formula>NOT(ISERROR(SEARCH("ERROR",N379)))</formula>
    </cfRule>
    <cfRule type="cellIs" dxfId="1519" priority="1043" operator="equal">
      <formula>0</formula>
    </cfRule>
    <cfRule type="cellIs" dxfId="1518" priority="1044" operator="lessThan">
      <formula>0</formula>
    </cfRule>
  </conditionalFormatting>
  <conditionalFormatting sqref="N380:AA381">
    <cfRule type="containsText" dxfId="1517" priority="1053" operator="containsText" text="OK">
      <formula>NOT(ISERROR(SEARCH("OK",N380)))</formula>
    </cfRule>
    <cfRule type="containsText" dxfId="1516" priority="1054" operator="containsText" text="ERROR">
      <formula>NOT(ISERROR(SEARCH("ERROR",N380)))</formula>
    </cfRule>
  </conditionalFormatting>
  <conditionalFormatting sqref="N382:AA382">
    <cfRule type="containsText" dxfId="1515" priority="1167" operator="containsText" text="OK">
      <formula>NOT(ISERROR(SEARCH("OK",N382)))</formula>
    </cfRule>
    <cfRule type="containsText" dxfId="1514" priority="1168" operator="containsText" text="ERROR">
      <formula>NOT(ISERROR(SEARCH("ERROR",N382)))</formula>
    </cfRule>
  </conditionalFormatting>
  <conditionalFormatting sqref="N391:AA391">
    <cfRule type="cellIs" dxfId="1513" priority="1178" operator="lessThan">
      <formula>0</formula>
    </cfRule>
  </conditionalFormatting>
  <conditionalFormatting sqref="N393:AA393">
    <cfRule type="cellIs" dxfId="1512" priority="1173" operator="equal">
      <formula>0</formula>
    </cfRule>
    <cfRule type="cellIs" dxfId="1511" priority="1174" operator="lessThan">
      <formula>0</formula>
    </cfRule>
  </conditionalFormatting>
  <conditionalFormatting sqref="N251:AB255">
    <cfRule type="cellIs" dxfId="1510" priority="712" operator="equal">
      <formula>0</formula>
    </cfRule>
    <cfRule type="cellIs" dxfId="1509" priority="713" operator="lessThan">
      <formula>0</formula>
    </cfRule>
  </conditionalFormatting>
  <conditionalFormatting sqref="N270:AB270">
    <cfRule type="cellIs" dxfId="1508" priority="788" operator="equal">
      <formula>0</formula>
    </cfRule>
    <cfRule type="cellIs" dxfId="1507" priority="789" operator="lessThan">
      <formula>0</formula>
    </cfRule>
  </conditionalFormatting>
  <conditionalFormatting sqref="N272:AB272">
    <cfRule type="cellIs" dxfId="1506" priority="786" operator="equal">
      <formula>0</formula>
    </cfRule>
    <cfRule type="cellIs" dxfId="1505" priority="787" operator="lessThan">
      <formula>0</formula>
    </cfRule>
  </conditionalFormatting>
  <conditionalFormatting sqref="N10:AC10">
    <cfRule type="containsText" dxfId="1504" priority="1227" operator="containsText" text="wrong">
      <formula>NOT(ISERROR(SEARCH("wrong",N10)))</formula>
    </cfRule>
    <cfRule type="containsText" dxfId="1503" priority="1228" operator="containsText" text="ok">
      <formula>NOT(ISERROR(SEARCH("ok",N10)))</formula>
    </cfRule>
  </conditionalFormatting>
  <conditionalFormatting sqref="N15:AC17 L16:L21 N33:AC36 L34:L36 N66:AC68 N89:V89 O93:AC93 N94 L94:L95 N95:AC95 N97:O97 Q97:R97 V97 W98:AC98 L99:L100 N99:AC103 L102:L104 P107 N112:AC113 J117:M117 K148:L159 K164:L164 N164:AC164 K167:L168 K170:L171 L183:L187 K188:L190">
    <cfRule type="containsText" dxfId="1502" priority="996" operator="containsText" text="ERROR">
      <formula>NOT(ISERROR(SEARCH("ERROR",J15)))</formula>
    </cfRule>
  </conditionalFormatting>
  <conditionalFormatting sqref="N26:AC27 N30:AC31">
    <cfRule type="containsText" dxfId="1501" priority="802" operator="containsText" text="OK">
      <formula>NOT(ISERROR(SEARCH("OK",N26)))</formula>
    </cfRule>
    <cfRule type="containsText" dxfId="1500" priority="803" operator="containsText" text="ERROR">
      <formula>NOT(ISERROR(SEARCH("ERROR",N26)))</formula>
    </cfRule>
  </conditionalFormatting>
  <conditionalFormatting sqref="N27:AC27 N30:AC31">
    <cfRule type="containsText" dxfId="1499" priority="797" operator="containsText" text="ERROR">
      <formula>NOT(ISERROR(SEARCH("ERROR",N27)))</formula>
    </cfRule>
  </conditionalFormatting>
  <conditionalFormatting sqref="N30:AC31 N27:AC27">
    <cfRule type="containsText" dxfId="1498" priority="796" operator="containsText" text="OK">
      <formula>NOT(ISERROR(SEARCH("OK",N27)))</formula>
    </cfRule>
  </conditionalFormatting>
  <conditionalFormatting sqref="N30:AC31">
    <cfRule type="containsText" dxfId="1497" priority="724" operator="containsText" text="OK">
      <formula>NOT(ISERROR(SEARCH("OK",N30)))</formula>
    </cfRule>
    <cfRule type="containsText" dxfId="1496" priority="725" operator="containsText" text="ERROR">
      <formula>NOT(ISERROR(SEARCH("ERROR",N30)))</formula>
    </cfRule>
    <cfRule type="cellIs" dxfId="1495" priority="726" operator="equal">
      <formula>0</formula>
    </cfRule>
    <cfRule type="cellIs" dxfId="1494" priority="727" operator="lessThan">
      <formula>0</formula>
    </cfRule>
  </conditionalFormatting>
  <conditionalFormatting sqref="N35:AC35">
    <cfRule type="cellIs" dxfId="1493" priority="830" operator="equal">
      <formula>0</formula>
    </cfRule>
  </conditionalFormatting>
  <conditionalFormatting sqref="N38:AC38">
    <cfRule type="containsText" dxfId="1492" priority="564" operator="containsText" text="OK">
      <formula>NOT(ISERROR(SEARCH("OK",N38)))</formula>
    </cfRule>
    <cfRule type="containsText" dxfId="1491" priority="565" operator="containsText" text="ERROR">
      <formula>NOT(ISERROR(SEARCH("ERROR",N38)))</formula>
    </cfRule>
  </conditionalFormatting>
  <conditionalFormatting sqref="N39:AC39">
    <cfRule type="containsText" dxfId="1490" priority="612" operator="containsText" text="OK">
      <formula>NOT(ISERROR(SEARCH("OK",N39)))</formula>
    </cfRule>
    <cfRule type="containsText" dxfId="1489" priority="613" operator="containsText" text="ERROR">
      <formula>NOT(ISERROR(SEARCH("ERROR",N39)))</formula>
    </cfRule>
  </conditionalFormatting>
  <conditionalFormatting sqref="N40:AC49">
    <cfRule type="containsText" dxfId="1488" priority="570" operator="containsText" text="OK">
      <formula>NOT(ISERROR(SEARCH("OK",N40)))</formula>
    </cfRule>
    <cfRule type="containsText" dxfId="1487" priority="571" operator="containsText" text="ERROR">
      <formula>NOT(ISERROR(SEARCH("ERROR",N40)))</formula>
    </cfRule>
  </conditionalFormatting>
  <conditionalFormatting sqref="N46:AC46">
    <cfRule type="cellIs" dxfId="1486" priority="732" operator="equal">
      <formula>0</formula>
    </cfRule>
    <cfRule type="cellIs" dxfId="1485" priority="733" operator="lessThan">
      <formula>0</formula>
    </cfRule>
  </conditionalFormatting>
  <conditionalFormatting sqref="N51:AC51">
    <cfRule type="cellIs" dxfId="1484" priority="700" operator="equal">
      <formula>0</formula>
    </cfRule>
    <cfRule type="cellIs" dxfId="1483" priority="701" operator="lessThan">
      <formula>0</formula>
    </cfRule>
    <cfRule type="containsText" dxfId="1482" priority="702" operator="containsText" text="OK">
      <formula>NOT(ISERROR(SEARCH("OK",N51)))</formula>
    </cfRule>
    <cfRule type="containsText" dxfId="1481" priority="703" operator="containsText" text="ERROR">
      <formula>NOT(ISERROR(SEARCH("ERROR",N51)))</formula>
    </cfRule>
  </conditionalFormatting>
  <conditionalFormatting sqref="N67:AC67">
    <cfRule type="cellIs" dxfId="1480" priority="843" operator="equal">
      <formula>0</formula>
    </cfRule>
    <cfRule type="cellIs" dxfId="1479" priority="844" operator="lessThan">
      <formula>0</formula>
    </cfRule>
  </conditionalFormatting>
  <conditionalFormatting sqref="N69:AC69">
    <cfRule type="cellIs" dxfId="1478" priority="523" operator="equal">
      <formula>0</formula>
    </cfRule>
    <cfRule type="cellIs" dxfId="1477" priority="524" operator="lessThan">
      <formula>0</formula>
    </cfRule>
  </conditionalFormatting>
  <conditionalFormatting sqref="N69:AC70">
    <cfRule type="containsText" dxfId="1476" priority="528" operator="containsText" text="OK">
      <formula>NOT(ISERROR(SEARCH("OK",N69)))</formula>
    </cfRule>
    <cfRule type="containsText" dxfId="1475" priority="529" operator="containsText" text="ERROR">
      <formula>NOT(ISERROR(SEARCH("ERROR",N69)))</formula>
    </cfRule>
  </conditionalFormatting>
  <conditionalFormatting sqref="N72:AC72">
    <cfRule type="cellIs" dxfId="1474" priority="259" operator="lessThan">
      <formula>0</formula>
    </cfRule>
    <cfRule type="cellIs" dxfId="1473" priority="260" operator="equal">
      <formula>0</formula>
    </cfRule>
    <cfRule type="containsText" dxfId="1472" priority="286" operator="containsText" text="OK">
      <formula>NOT(ISERROR(SEARCH("OK",N72)))</formula>
    </cfRule>
    <cfRule type="containsText" dxfId="1471" priority="287" operator="containsText" text="ERROR">
      <formula>NOT(ISERROR(SEARCH("ERROR",N72)))</formula>
    </cfRule>
  </conditionalFormatting>
  <conditionalFormatting sqref="N73:AC73">
    <cfRule type="containsText" dxfId="1470" priority="130" operator="containsText" text="OK">
      <formula>NOT(ISERROR(SEARCH("OK",N73)))</formula>
    </cfRule>
    <cfRule type="containsText" dxfId="1469" priority="131" operator="containsText" text="ERROR">
      <formula>NOT(ISERROR(SEARCH("ERROR",N73)))</formula>
    </cfRule>
  </conditionalFormatting>
  <conditionalFormatting sqref="N75:AC76">
    <cfRule type="cellIs" dxfId="1468" priority="117" operator="lessThan">
      <formula>0</formula>
    </cfRule>
    <cfRule type="cellIs" dxfId="1467" priority="118" operator="equal">
      <formula>0</formula>
    </cfRule>
  </conditionalFormatting>
  <conditionalFormatting sqref="N75:AC77">
    <cfRule type="containsText" dxfId="1466" priority="128" operator="containsText" text="OK">
      <formula>NOT(ISERROR(SEARCH("OK",N75)))</formula>
    </cfRule>
    <cfRule type="containsText" dxfId="1465" priority="129" operator="containsText" text="ERROR">
      <formula>NOT(ISERROR(SEARCH("ERROR",N75)))</formula>
    </cfRule>
  </conditionalFormatting>
  <conditionalFormatting sqref="N78:AC85">
    <cfRule type="cellIs" dxfId="1464" priority="59" operator="lessThan">
      <formula>0</formula>
    </cfRule>
  </conditionalFormatting>
  <conditionalFormatting sqref="N79:AC79">
    <cfRule type="containsText" dxfId="1463" priority="114" operator="containsText" text="OK">
      <formula>NOT(ISERROR(SEARCH("OK",N79)))</formula>
    </cfRule>
    <cfRule type="containsText" dxfId="1462" priority="115" operator="containsText" text="ERROR">
      <formula>NOT(ISERROR(SEARCH("ERROR",N79)))</formula>
    </cfRule>
  </conditionalFormatting>
  <conditionalFormatting sqref="N79:AC85">
    <cfRule type="cellIs" dxfId="1461" priority="112" operator="equal">
      <formula>0</formula>
    </cfRule>
  </conditionalFormatting>
  <conditionalFormatting sqref="N80:AC87">
    <cfRule type="containsText" dxfId="1460" priority="538" operator="containsText" text="OK">
      <formula>NOT(ISERROR(SEARCH("OK",N80)))</formula>
    </cfRule>
    <cfRule type="containsText" dxfId="1459" priority="539" operator="containsText" text="ERROR">
      <formula>NOT(ISERROR(SEARCH("ERROR",N80)))</formula>
    </cfRule>
  </conditionalFormatting>
  <conditionalFormatting sqref="N87:AC87">
    <cfRule type="cellIs" dxfId="1458" priority="537" operator="lessThan">
      <formula>0</formula>
    </cfRule>
  </conditionalFormatting>
  <conditionalFormatting sqref="N87:AC89">
    <cfRule type="cellIs" dxfId="1457" priority="536" operator="equal">
      <formula>0</formula>
    </cfRule>
  </conditionalFormatting>
  <conditionalFormatting sqref="N91:AC91">
    <cfRule type="containsText" dxfId="1456" priority="21" operator="containsText" text="OK">
      <formula>NOT(ISERROR(SEARCH("OK",N91)))</formula>
    </cfRule>
    <cfRule type="containsText" dxfId="1455" priority="22" operator="containsText" text="ERROR">
      <formula>NOT(ISERROR(SEARCH("ERROR",N91)))</formula>
    </cfRule>
  </conditionalFormatting>
  <conditionalFormatting sqref="N94:AC95">
    <cfRule type="cellIs" dxfId="1454" priority="721" operator="lessThan">
      <formula>0</formula>
    </cfRule>
  </conditionalFormatting>
  <conditionalFormatting sqref="N102:AC102">
    <cfRule type="cellIs" dxfId="1453" priority="836" operator="equal">
      <formula>0</formula>
    </cfRule>
  </conditionalFormatting>
  <conditionalFormatting sqref="N105:AC105">
    <cfRule type="containsText" dxfId="1452" priority="708" operator="containsText" text="OK">
      <formula>NOT(ISERROR(SEARCH("OK",N105)))</formula>
    </cfRule>
    <cfRule type="containsText" dxfId="1451" priority="709" operator="containsText" text="ERROR">
      <formula>NOT(ISERROR(SEARCH("ERROR",N105)))</formula>
    </cfRule>
  </conditionalFormatting>
  <conditionalFormatting sqref="N108:AC110">
    <cfRule type="containsText" dxfId="1450" priority="760" operator="containsText" text="OK">
      <formula>NOT(ISERROR(SEARCH("OK",N108)))</formula>
    </cfRule>
    <cfRule type="containsText" dxfId="1449" priority="761" operator="containsText" text="ERROR">
      <formula>NOT(ISERROR(SEARCH("ERROR",N108)))</formula>
    </cfRule>
    <cfRule type="cellIs" dxfId="1448" priority="762" operator="equal">
      <formula>0</formula>
    </cfRule>
    <cfRule type="cellIs" dxfId="1447" priority="763" operator="lessThan">
      <formula>0</formula>
    </cfRule>
  </conditionalFormatting>
  <conditionalFormatting sqref="N111:AC111">
    <cfRule type="cellIs" dxfId="1446" priority="714" operator="lessThan">
      <formula>0</formula>
    </cfRule>
    <cfRule type="cellIs" dxfId="1445" priority="736" operator="greaterThan">
      <formula>1000000</formula>
    </cfRule>
    <cfRule type="cellIs" dxfId="1444" priority="737" operator="between">
      <formula>500000</formula>
      <formula>1000000</formula>
    </cfRule>
  </conditionalFormatting>
  <conditionalFormatting sqref="N115:AC116">
    <cfRule type="containsText" dxfId="1443" priority="370" operator="containsText" text="OK">
      <formula>NOT(ISERROR(SEARCH("OK",N115)))</formula>
    </cfRule>
    <cfRule type="containsText" dxfId="1442" priority="371" operator="containsText" text="ERROR">
      <formula>NOT(ISERROR(SEARCH("ERROR",N115)))</formula>
    </cfRule>
  </conditionalFormatting>
  <conditionalFormatting sqref="N117:AC143">
    <cfRule type="containsText" dxfId="1441" priority="376" operator="containsText" text="OK">
      <formula>NOT(ISERROR(SEARCH("OK",N117)))</formula>
    </cfRule>
    <cfRule type="containsText" dxfId="1440" priority="377" operator="containsText" text="ERROR">
      <formula>NOT(ISERROR(SEARCH("ERROR",N117)))</formula>
    </cfRule>
  </conditionalFormatting>
  <conditionalFormatting sqref="N133:AC133">
    <cfRule type="cellIs" dxfId="1439" priority="400" operator="equal">
      <formula>0</formula>
    </cfRule>
    <cfRule type="cellIs" dxfId="1438" priority="401" operator="lessThan">
      <formula>0</formula>
    </cfRule>
  </conditionalFormatting>
  <conditionalFormatting sqref="N142:AC142">
    <cfRule type="cellIs" dxfId="1437" priority="470" operator="equal">
      <formula>0</formula>
    </cfRule>
    <cfRule type="cellIs" dxfId="1436" priority="471" operator="lessThan">
      <formula>0</formula>
    </cfRule>
  </conditionalFormatting>
  <conditionalFormatting sqref="N146:AC146">
    <cfRule type="containsText" dxfId="1435" priority="632" operator="containsText" text="OK">
      <formula>NOT(ISERROR(SEARCH("OK",N146)))</formula>
    </cfRule>
    <cfRule type="containsText" dxfId="1434" priority="633" operator="containsText" text="ERROR">
      <formula>NOT(ISERROR(SEARCH("ERROR",N146)))</formula>
    </cfRule>
  </conditionalFormatting>
  <conditionalFormatting sqref="N146:AC147">
    <cfRule type="cellIs" dxfId="1433" priority="628" operator="equal">
      <formula>0</formula>
    </cfRule>
    <cfRule type="cellIs" dxfId="1432" priority="629" operator="lessThan">
      <formula>0</formula>
    </cfRule>
  </conditionalFormatting>
  <conditionalFormatting sqref="N147:AC159">
    <cfRule type="containsText" dxfId="1431" priority="368" operator="containsText" text="OK">
      <formula>NOT(ISERROR(SEARCH("OK",N147)))</formula>
    </cfRule>
    <cfRule type="containsText" dxfId="1430" priority="369" operator="containsText" text="ERROR">
      <formula>NOT(ISERROR(SEARCH("ERROR",N147)))</formula>
    </cfRule>
  </conditionalFormatting>
  <conditionalFormatting sqref="N148:AC148">
    <cfRule type="containsText" dxfId="1429" priority="334" operator="containsText" text="OK">
      <formula>NOT(ISERROR(SEARCH("OK",N148)))</formula>
    </cfRule>
    <cfRule type="containsText" dxfId="1428" priority="335" operator="containsText" text="ERROR">
      <formula>NOT(ISERROR(SEARCH("ERROR",N148)))</formula>
    </cfRule>
  </conditionalFormatting>
  <conditionalFormatting sqref="N148:AC152">
    <cfRule type="containsText" dxfId="1427" priority="328" operator="containsText" text="OK">
      <formula>NOT(ISERROR(SEARCH("OK",N148)))</formula>
    </cfRule>
    <cfRule type="containsText" dxfId="1426" priority="329" operator="containsText" text="ERROR">
      <formula>NOT(ISERROR(SEARCH("ERROR",N148)))</formula>
    </cfRule>
    <cfRule type="cellIs" dxfId="1425" priority="336" operator="equal">
      <formula>0</formula>
    </cfRule>
    <cfRule type="cellIs" dxfId="1424" priority="337" operator="lessThan">
      <formula>0</formula>
    </cfRule>
  </conditionalFormatting>
  <conditionalFormatting sqref="N149:AC152">
    <cfRule type="containsText" dxfId="1423" priority="326" operator="containsText" text="OK">
      <formula>NOT(ISERROR(SEARCH("OK",N149)))</formula>
    </cfRule>
    <cfRule type="containsText" dxfId="1422" priority="327" operator="containsText" text="ERROR">
      <formula>NOT(ISERROR(SEARCH("ERROR",N149)))</formula>
    </cfRule>
    <cfRule type="cellIs" dxfId="1421" priority="330" operator="equal">
      <formula>0</formula>
    </cfRule>
    <cfRule type="cellIs" dxfId="1420" priority="331" operator="lessThan">
      <formula>0</formula>
    </cfRule>
  </conditionalFormatting>
  <conditionalFormatting sqref="N156:AC158">
    <cfRule type="containsText" dxfId="1419" priority="320" operator="containsText" text="OK">
      <formula>NOT(ISERROR(SEARCH("OK",N156)))</formula>
    </cfRule>
    <cfRule type="containsText" dxfId="1418" priority="321" operator="containsText" text="ERROR">
      <formula>NOT(ISERROR(SEARCH("ERROR",N156)))</formula>
    </cfRule>
    <cfRule type="containsText" dxfId="1417" priority="322" operator="containsText" text="OK">
      <formula>NOT(ISERROR(SEARCH("OK",N156)))</formula>
    </cfRule>
    <cfRule type="containsText" dxfId="1416" priority="323" operator="containsText" text="ERROR">
      <formula>NOT(ISERROR(SEARCH("ERROR",N156)))</formula>
    </cfRule>
  </conditionalFormatting>
  <conditionalFormatting sqref="N160:AC162">
    <cfRule type="containsText" dxfId="1415" priority="288" operator="containsText" text="OK">
      <formula>NOT(ISERROR(SEARCH("OK",N160)))</formula>
    </cfRule>
    <cfRule type="containsText" dxfId="1414" priority="289" operator="containsText" text="ERROR">
      <formula>NOT(ISERROR(SEARCH("ERROR",N160)))</formula>
    </cfRule>
    <cfRule type="cellIs" dxfId="1413" priority="290" operator="equal">
      <formula>0</formula>
    </cfRule>
    <cfRule type="cellIs" dxfId="1412" priority="291" operator="lessThan">
      <formula>0</formula>
    </cfRule>
  </conditionalFormatting>
  <conditionalFormatting sqref="N164:AC164 L94:L95 N97:O97 Q97:R97 V97 L99:L100 N99:AC103 L102:L104 P107 N94 N95:AC95 N33:AC36 L16:L21 L34:L36 N15:AC17 O93:AC93 N89:V89 W98:AC98 N66:AC68 L183:L187 K148:L159 K164:L164 K188:L190 K167:L168 K170:L171 N112:AC113 J117:M117">
    <cfRule type="containsText" dxfId="1411" priority="995" operator="containsText" text="OK">
      <formula>NOT(ISERROR(SEARCH("OK",J15)))</formula>
    </cfRule>
  </conditionalFormatting>
  <conditionalFormatting sqref="N165:AC165">
    <cfRule type="containsText" dxfId="1410" priority="508" operator="containsText" text="OK">
      <formula>NOT(ISERROR(SEARCH("OK",N165)))</formula>
    </cfRule>
    <cfRule type="containsText" dxfId="1409" priority="509" operator="containsText" text="ERROR">
      <formula>NOT(ISERROR(SEARCH("ERROR",N165)))</formula>
    </cfRule>
    <cfRule type="cellIs" dxfId="1408" priority="510" operator="equal">
      <formula>0</formula>
    </cfRule>
    <cfRule type="cellIs" dxfId="1407" priority="511" operator="lessThan">
      <formula>0</formula>
    </cfRule>
  </conditionalFormatting>
  <conditionalFormatting sqref="N167:AC171">
    <cfRule type="containsText" dxfId="1406" priority="502" operator="containsText" text="OK">
      <formula>NOT(ISERROR(SEARCH("OK",N167)))</formula>
    </cfRule>
    <cfRule type="containsText" dxfId="1405" priority="503" operator="containsText" text="ERROR">
      <formula>NOT(ISERROR(SEARCH("ERROR",N167)))</formula>
    </cfRule>
  </conditionalFormatting>
  <conditionalFormatting sqref="N172:AC173">
    <cfRule type="containsText" dxfId="1404" priority="674" operator="containsText" text="OK">
      <formula>NOT(ISERROR(SEARCH("OK",N172)))</formula>
    </cfRule>
    <cfRule type="containsText" dxfId="1403" priority="675" operator="containsText" text="ERROR">
      <formula>NOT(ISERROR(SEARCH("ERROR",N172)))</formula>
    </cfRule>
  </conditionalFormatting>
  <conditionalFormatting sqref="N173:AC173">
    <cfRule type="cellIs" dxfId="1402" priority="672" operator="equal">
      <formula>0</formula>
    </cfRule>
    <cfRule type="cellIs" dxfId="1401" priority="673" operator="lessThan">
      <formula>0</formula>
    </cfRule>
  </conditionalFormatting>
  <conditionalFormatting sqref="N174:AC187">
    <cfRule type="containsText" dxfId="1400" priority="551" operator="containsText" text="OK">
      <formula>NOT(ISERROR(SEARCH("OK",N174)))</formula>
    </cfRule>
    <cfRule type="containsText" dxfId="1399" priority="552" operator="containsText" text="ERROR">
      <formula>NOT(ISERROR(SEARCH("ERROR",N174)))</formula>
    </cfRule>
  </conditionalFormatting>
  <conditionalFormatting sqref="N176:AC176">
    <cfRule type="cellIs" dxfId="1398" priority="664" operator="equal">
      <formula>0</formula>
    </cfRule>
    <cfRule type="cellIs" dxfId="1397" priority="665" operator="lessThan">
      <formula>0</formula>
    </cfRule>
  </conditionalFormatting>
  <conditionalFormatting sqref="N188:AC195">
    <cfRule type="containsText" dxfId="1396" priority="555" operator="containsText" text="OK">
      <formula>NOT(ISERROR(SEARCH("OK",N188)))</formula>
    </cfRule>
    <cfRule type="containsText" dxfId="1395" priority="556" operator="containsText" text="ERROR">
      <formula>NOT(ISERROR(SEARCH("ERROR",N188)))</formula>
    </cfRule>
  </conditionalFormatting>
  <conditionalFormatting sqref="N191:AC193">
    <cfRule type="cellIs" dxfId="1394" priority="642" operator="equal">
      <formula>0</formula>
    </cfRule>
    <cfRule type="cellIs" dxfId="1393" priority="643" operator="lessThan">
      <formula>0</formula>
    </cfRule>
  </conditionalFormatting>
  <conditionalFormatting sqref="N195:AC195">
    <cfRule type="cellIs" dxfId="1392" priority="666" operator="equal">
      <formula>0</formula>
    </cfRule>
    <cfRule type="cellIs" dxfId="1391" priority="667" operator="lessThan">
      <formula>0</formula>
    </cfRule>
  </conditionalFormatting>
  <conditionalFormatting sqref="N196:AC197">
    <cfRule type="containsText" dxfId="1390" priority="692" operator="containsText" text="OK">
      <formula>NOT(ISERROR(SEARCH("OK",N196)))</formula>
    </cfRule>
    <cfRule type="containsText" dxfId="1389" priority="693" operator="containsText" text="ERROR">
      <formula>NOT(ISERROR(SEARCH("ERROR",N196)))</formula>
    </cfRule>
  </conditionalFormatting>
  <conditionalFormatting sqref="N197:AC197">
    <cfRule type="cellIs" dxfId="1388" priority="690" operator="equal">
      <formula>0</formula>
    </cfRule>
    <cfRule type="cellIs" dxfId="1387" priority="691" operator="lessThan">
      <formula>0</formula>
    </cfRule>
  </conditionalFormatting>
  <conditionalFormatting sqref="N200:AC204">
    <cfRule type="cellIs" dxfId="1386" priority="783" operator="equal">
      <formula>0</formula>
    </cfRule>
    <cfRule type="cellIs" dxfId="1385" priority="784" operator="lessThan">
      <formula>0</formula>
    </cfRule>
  </conditionalFormatting>
  <conditionalFormatting sqref="N211:AC211">
    <cfRule type="cellIs" dxfId="1384" priority="967" operator="equal">
      <formula>0</formula>
    </cfRule>
    <cfRule type="cellIs" dxfId="1383" priority="968" operator="lessThan">
      <formula>0</formula>
    </cfRule>
  </conditionalFormatting>
  <conditionalFormatting sqref="N220:AC221">
    <cfRule type="containsText" dxfId="1382" priority="837" operator="containsText" text="wrong">
      <formula>NOT(ISERROR(SEARCH("wrong",N220)))</formula>
    </cfRule>
  </conditionalFormatting>
  <conditionalFormatting sqref="N226:AC226">
    <cfRule type="cellIs" dxfId="1381" priority="969" operator="equal">
      <formula>0</formula>
    </cfRule>
    <cfRule type="cellIs" dxfId="1380" priority="970" operator="lessThan">
      <formula>0</formula>
    </cfRule>
  </conditionalFormatting>
  <conditionalFormatting sqref="N243:AC243">
    <cfRule type="cellIs" dxfId="1379" priority="545" operator="lessThan">
      <formula>0</formula>
    </cfRule>
    <cfRule type="containsText" dxfId="1378" priority="547" operator="containsText" text="OK">
      <formula>NOT(ISERROR(SEARCH("OK",N243)))</formula>
    </cfRule>
    <cfRule type="containsText" dxfId="1377" priority="548" operator="containsText" text="ERROR">
      <formula>NOT(ISERROR(SEARCH("ERROR",N243)))</formula>
    </cfRule>
  </conditionalFormatting>
  <conditionalFormatting sqref="N245:AC245">
    <cfRule type="cellIs" dxfId="1376" priority="806" operator="equal">
      <formula>0</formula>
    </cfRule>
    <cfRule type="cellIs" dxfId="1375" priority="807" operator="lessThan">
      <formula>0</formula>
    </cfRule>
  </conditionalFormatting>
  <conditionalFormatting sqref="N258:AC258">
    <cfRule type="cellIs" dxfId="1374" priority="590" operator="equal">
      <formula>0</formula>
    </cfRule>
    <cfRule type="cellIs" dxfId="1373" priority="591" operator="lessThan">
      <formula>0</formula>
    </cfRule>
    <cfRule type="containsText" dxfId="1372" priority="592" operator="containsText" text="OK">
      <formula>NOT(ISERROR(SEARCH("OK",N258)))</formula>
    </cfRule>
    <cfRule type="containsText" dxfId="1371" priority="593" operator="containsText" text="ERROR">
      <formula>NOT(ISERROR(SEARCH("ERROR",N258)))</formula>
    </cfRule>
    <cfRule type="cellIs" dxfId="1370" priority="594" operator="equal">
      <formula>0</formula>
    </cfRule>
    <cfRule type="cellIs" dxfId="1369" priority="595" operator="lessThan">
      <formula>0</formula>
    </cfRule>
  </conditionalFormatting>
  <conditionalFormatting sqref="N260:AC264">
    <cfRule type="cellIs" dxfId="1368" priority="530" operator="equal">
      <formula>0</formula>
    </cfRule>
    <cfRule type="cellIs" dxfId="1367" priority="531" operator="lessThan">
      <formula>0</formula>
    </cfRule>
  </conditionalFormatting>
  <conditionalFormatting sqref="N269:AC269">
    <cfRule type="cellIs" dxfId="1366" priority="790" operator="equal">
      <formula>0</formula>
    </cfRule>
    <cfRule type="cellIs" dxfId="1365" priority="791" operator="lessThan">
      <formula>0</formula>
    </cfRule>
  </conditionalFormatting>
  <conditionalFormatting sqref="N271:AC271">
    <cfRule type="cellIs" dxfId="1364" priority="792" operator="equal">
      <formula>0</formula>
    </cfRule>
    <cfRule type="cellIs" dxfId="1363" priority="793" operator="lessThan">
      <formula>0</formula>
    </cfRule>
  </conditionalFormatting>
  <conditionalFormatting sqref="N305:AC305">
    <cfRule type="containsText" dxfId="1362" priority="962" operator="containsText" text="wrong">
      <formula>NOT(ISERROR(SEARCH("wrong",N305)))</formula>
    </cfRule>
    <cfRule type="cellIs" dxfId="1361" priority="963" operator="equal">
      <formula>0</formula>
    </cfRule>
    <cfRule type="cellIs" dxfId="1360" priority="964" operator="lessThan">
      <formula>0</formula>
    </cfRule>
  </conditionalFormatting>
  <conditionalFormatting sqref="N318:AC318">
    <cfRule type="cellIs" dxfId="1359" priority="682" operator="equal">
      <formula>0</formula>
    </cfRule>
    <cfRule type="cellIs" dxfId="1358" priority="683" operator="lessThan">
      <formula>0</formula>
    </cfRule>
    <cfRule type="containsText" dxfId="1357" priority="684" operator="containsText" text="OK">
      <formula>NOT(ISERROR(SEARCH("OK",N318)))</formula>
    </cfRule>
    <cfRule type="containsText" dxfId="1356" priority="685" operator="containsText" text="ERROR">
      <formula>NOT(ISERROR(SEARCH("ERROR",N318)))</formula>
    </cfRule>
  </conditionalFormatting>
  <conditionalFormatting sqref="N350:AC350">
    <cfRule type="cellIs" dxfId="1355" priority="1275" operator="equal">
      <formula>0</formula>
    </cfRule>
    <cfRule type="cellIs" dxfId="1354" priority="1276" operator="lessThan">
      <formula>0</formula>
    </cfRule>
    <cfRule type="containsText" dxfId="1353" priority="1283" operator="containsText" text="OK">
      <formula>NOT(ISERROR(SEARCH("OK",N350)))</formula>
    </cfRule>
    <cfRule type="containsText" dxfId="1352" priority="1284" operator="containsText" text="ERROR">
      <formula>NOT(ISERROR(SEARCH("ERROR",N350)))</formula>
    </cfRule>
  </conditionalFormatting>
  <conditionalFormatting sqref="N368:AC368">
    <cfRule type="cellIs" dxfId="1351" priority="1086" operator="equal">
      <formula>0</formula>
    </cfRule>
    <cfRule type="cellIs" dxfId="1350" priority="1087" operator="lessThan">
      <formula>0</formula>
    </cfRule>
  </conditionalFormatting>
  <conditionalFormatting sqref="N371:AC373 L372:L377 N389:AC392 L390:L392">
    <cfRule type="containsText" dxfId="1349" priority="1220" operator="containsText" text="ERROR">
      <formula>NOT(ISERROR(SEARCH("ERROR",L371)))</formula>
    </cfRule>
  </conditionalFormatting>
  <conditionalFormatting sqref="N383:AC383 N386:AC387">
    <cfRule type="containsText" dxfId="1348" priority="1118" operator="containsText" text="ERROR">
      <formula>NOT(ISERROR(SEARCH("ERROR",N383)))</formula>
    </cfRule>
    <cfRule type="containsText" dxfId="1347" priority="1123" operator="containsText" text="OK">
      <formula>NOT(ISERROR(SEARCH("OK",N383)))</formula>
    </cfRule>
    <cfRule type="containsText" dxfId="1346" priority="1124" operator="containsText" text="ERROR">
      <formula>NOT(ISERROR(SEARCH("ERROR",N383)))</formula>
    </cfRule>
  </conditionalFormatting>
  <conditionalFormatting sqref="N386:AC387 N383:AC383">
    <cfRule type="containsText" dxfId="1345" priority="1117" operator="containsText" text="OK">
      <formula>NOT(ISERROR(SEARCH("OK",N383)))</formula>
    </cfRule>
  </conditionalFormatting>
  <conditionalFormatting sqref="N386:AC387">
    <cfRule type="containsText" dxfId="1344" priority="1103" operator="containsText" text="OK">
      <formula>NOT(ISERROR(SEARCH("OK",N386)))</formula>
    </cfRule>
    <cfRule type="containsText" dxfId="1343" priority="1104" operator="containsText" text="ERROR">
      <formula>NOT(ISERROR(SEARCH("ERROR",N386)))</formula>
    </cfRule>
    <cfRule type="cellIs" dxfId="1342" priority="1105" operator="equal">
      <formula>0</formula>
    </cfRule>
    <cfRule type="cellIs" dxfId="1341" priority="1106" operator="lessThan">
      <formula>0</formula>
    </cfRule>
  </conditionalFormatting>
  <conditionalFormatting sqref="N389:AC392 L372:L377 L390:L392 N371:AC373">
    <cfRule type="containsText" dxfId="1340" priority="1219" operator="containsText" text="OK">
      <formula>NOT(ISERROR(SEARCH("OK",L371)))</formula>
    </cfRule>
  </conditionalFormatting>
  <conditionalFormatting sqref="N391:AC391">
    <cfRule type="cellIs" dxfId="1339" priority="1145" operator="equal">
      <formula>0</formula>
    </cfRule>
  </conditionalFormatting>
  <conditionalFormatting sqref="N394:AC394">
    <cfRule type="containsText" dxfId="1338" priority="1069" operator="containsText" text="OK">
      <formula>NOT(ISERROR(SEARCH("OK",N394)))</formula>
    </cfRule>
    <cfRule type="containsText" dxfId="1337" priority="1070" operator="containsText" text="ERROR">
      <formula>NOT(ISERROR(SEARCH("ERROR",N394)))</formula>
    </cfRule>
  </conditionalFormatting>
  <conditionalFormatting sqref="N395:AC395">
    <cfRule type="cellIs" dxfId="1336" priority="1090" operator="equal">
      <formula>0</formula>
    </cfRule>
    <cfRule type="cellIs" dxfId="1335" priority="1091" operator="lessThan">
      <formula>0</formula>
    </cfRule>
    <cfRule type="containsText" dxfId="1334" priority="1092" operator="containsText" text="OK">
      <formula>NOT(ISERROR(SEARCH("OK",N395)))</formula>
    </cfRule>
    <cfRule type="containsText" dxfId="1333" priority="1093" operator="containsText" text="ERROR">
      <formula>NOT(ISERROR(SEARCH("ERROR",N395)))</formula>
    </cfRule>
  </conditionalFormatting>
  <conditionalFormatting sqref="N396:AC405">
    <cfRule type="containsText" dxfId="1332" priority="1076" operator="containsText" text="OK">
      <formula>NOT(ISERROR(SEARCH("OK",N396)))</formula>
    </cfRule>
    <cfRule type="containsText" dxfId="1331" priority="1077" operator="containsText" text="ERROR">
      <formula>NOT(ISERROR(SEARCH("ERROR",N396)))</formula>
    </cfRule>
  </conditionalFormatting>
  <conditionalFormatting sqref="N402:AC402">
    <cfRule type="cellIs" dxfId="1330" priority="1113" operator="equal">
      <formula>0</formula>
    </cfRule>
    <cfRule type="cellIs" dxfId="1329" priority="1114" operator="lessThan">
      <formula>0</formula>
    </cfRule>
  </conditionalFormatting>
  <conditionalFormatting sqref="N105:AD105">
    <cfRule type="cellIs" dxfId="1328" priority="706" operator="equal">
      <formula>0</formula>
    </cfRule>
    <cfRule type="cellIs" dxfId="1327" priority="707" operator="lessThan">
      <formula>0</formula>
    </cfRule>
  </conditionalFormatting>
  <conditionalFormatting sqref="N124:AD125">
    <cfRule type="cellIs" dxfId="1326" priority="420" operator="equal">
      <formula>0</formula>
    </cfRule>
    <cfRule type="cellIs" dxfId="1325" priority="421" operator="lessThan">
      <formula>0</formula>
    </cfRule>
  </conditionalFormatting>
  <conditionalFormatting sqref="N156:AD158">
    <cfRule type="cellIs" dxfId="1324" priority="324" operator="equal">
      <formula>0</formula>
    </cfRule>
    <cfRule type="cellIs" dxfId="1323" priority="325" operator="lessThan">
      <formula>0</formula>
    </cfRule>
  </conditionalFormatting>
  <conditionalFormatting sqref="N182:AD190">
    <cfRule type="cellIs" dxfId="1322" priority="553" operator="equal">
      <formula>0</formula>
    </cfRule>
    <cfRule type="cellIs" dxfId="1321" priority="554" operator="lessThan">
      <formula>0</formula>
    </cfRule>
  </conditionalFormatting>
  <conditionalFormatting sqref="N197:AD197 N318:AD318 N173:AD175 N146:AC146 W164:AC164">
    <cfRule type="cellIs" dxfId="1320" priority="993" operator="equal">
      <formula>0</formula>
    </cfRule>
    <cfRule type="cellIs" dxfId="1319" priority="994" operator="lessThan">
      <formula>0</formula>
    </cfRule>
  </conditionalFormatting>
  <conditionalFormatting sqref="N243:AD243">
    <cfRule type="cellIs" dxfId="1318" priority="549" operator="equal">
      <formula>0</formula>
    </cfRule>
    <cfRule type="cellIs" dxfId="1317" priority="550" operator="lessThan">
      <formula>0</formula>
    </cfRule>
  </conditionalFormatting>
  <conditionalFormatting sqref="N350:AD350 J52 AE90:AT90 AU91:XFD91 AE95:AF95 AD96 AE100:AT100 AD101 AU101:XFD101 AE104:AT104 AU105:XFD105 AE123:AT124 AU124:XFD125 AE131:AT132 AD132:AD133 AU132:XFD133 AE145:AT151 AD146:AD152 AU146:XFD152 AE155:AT157 AU156:XFD158 AE159:AT162 AD160:AD163 AU160:XFD163 AE172:AT174 AU173:XFD175 AE181:AT189 AU182:XFD190 AE196:AT196 AU197:XFD197 AE242:AT242 AU243:XFD243 AE244:AT274 AD245:AD275 AU245:XFD275 AE310:AT310 AD311 AU311:XFD311 AE313:AT313 AD314 AU314:XFD314 AE317:AT317 AU318:XFD318 AE349:AT349 AU350:XFD350">
    <cfRule type="cellIs" dxfId="1316" priority="1523" operator="lessThan">
      <formula>0</formula>
    </cfRule>
  </conditionalFormatting>
  <conditionalFormatting sqref="N350:AD350 J52 AE90:AT90 AU91:XFD91 AE95:AF95 AD96 AE100:AT100 AU101:XFD101 AE104:AT104 AU105:XFD105 AE123:AT124 AU124:XFD125 AE131:AT132 AD132:AD133 AU132:XFD133 AE145:AT151 AD146:AD152 AU146:XFD152 AE155:AT157 AU156:XFD158 AE159:AT162 AD160:AD163 AU160:XFD163 AE172:AT174 AU173:XFD175 AE181:AT189 AU182:XFD190 AE196:AT196 AU197:XFD197 AE242:AT242 AU243:XFD243 AE244:AT274 AD245:AD275 AU245:XFD275 AE310:AT310 AD311 AU311:XFD311 AE313:AT313 AD314 AU314:XFD314 AE317:AT317 AU318:XFD318 AE349:AT349 AU350:XFD350">
    <cfRule type="cellIs" dxfId="1315" priority="1522" operator="equal">
      <formula>0</formula>
    </cfRule>
  </conditionalFormatting>
  <conditionalFormatting sqref="N39:XFD39">
    <cfRule type="cellIs" dxfId="1314" priority="610" operator="equal">
      <formula>0</formula>
    </cfRule>
    <cfRule type="cellIs" dxfId="1313" priority="611" operator="lessThan">
      <formula>0</formula>
    </cfRule>
  </conditionalFormatting>
  <conditionalFormatting sqref="N51:XFD51 H51:L51">
    <cfRule type="cellIs" dxfId="1312" priority="704" operator="equal">
      <formula>0</formula>
    </cfRule>
    <cfRule type="cellIs" dxfId="1311" priority="705" operator="lessThan">
      <formula>0</formula>
    </cfRule>
  </conditionalFormatting>
  <conditionalFormatting sqref="O97">
    <cfRule type="cellIs" dxfId="1310" priority="600" operator="greaterThan">
      <formula>60%</formula>
    </cfRule>
    <cfRule type="cellIs" dxfId="1309" priority="601" operator="between">
      <formula>19.999%</formula>
      <formula>49.99%</formula>
    </cfRule>
    <cfRule type="cellIs" dxfId="1308" priority="602" operator="between">
      <formula>10.001%</formula>
      <formula>19.999%</formula>
    </cfRule>
    <cfRule type="cellIs" dxfId="1307" priority="603" operator="lessThanOrEqual">
      <formula>10%</formula>
    </cfRule>
  </conditionalFormatting>
  <conditionalFormatting sqref="O119:P120 O122:P123">
    <cfRule type="cellIs" dxfId="1306" priority="394" operator="equal">
      <formula>0</formula>
    </cfRule>
    <cfRule type="cellIs" dxfId="1305" priority="395" operator="lessThan">
      <formula>0</formula>
    </cfRule>
  </conditionalFormatting>
  <conditionalFormatting sqref="O126:P132">
    <cfRule type="cellIs" dxfId="1304" priority="388" operator="equal">
      <formula>0</formula>
    </cfRule>
    <cfRule type="cellIs" dxfId="1303" priority="389" operator="lessThan">
      <formula>0</formula>
    </cfRule>
  </conditionalFormatting>
  <conditionalFormatting sqref="O134:P134 O136:P137">
    <cfRule type="cellIs" dxfId="1302" priority="382" operator="equal">
      <formula>0</formula>
    </cfRule>
    <cfRule type="cellIs" dxfId="1301" priority="383" operator="lessThan">
      <formula>0</formula>
    </cfRule>
  </conditionalFormatting>
  <conditionalFormatting sqref="O139:P139">
    <cfRule type="cellIs" dxfId="1300" priority="416" operator="equal">
      <formula>0</formula>
    </cfRule>
    <cfRule type="cellIs" dxfId="1299" priority="417" operator="lessThan">
      <formula>0</formula>
    </cfRule>
  </conditionalFormatting>
  <conditionalFormatting sqref="O101:R101">
    <cfRule type="cellIs" dxfId="1298" priority="754" operator="equal">
      <formula>0</formula>
    </cfRule>
    <cfRule type="cellIs" dxfId="1297" priority="755" operator="lessThan">
      <formula>0</formula>
    </cfRule>
  </conditionalFormatting>
  <conditionalFormatting sqref="O329:V329">
    <cfRule type="cellIs" dxfId="1296" priority="984" operator="lessThan">
      <formula>0</formula>
    </cfRule>
  </conditionalFormatting>
  <conditionalFormatting sqref="O12:AC12">
    <cfRule type="cellIs" dxfId="1295" priority="1273" operator="equal">
      <formula>0</formula>
    </cfRule>
    <cfRule type="cellIs" dxfId="1294" priority="1274" operator="lessThan">
      <formula>0</formula>
    </cfRule>
  </conditionalFormatting>
  <conditionalFormatting sqref="O94:AC94">
    <cfRule type="cellIs" dxfId="1293" priority="715" operator="equal">
      <formula>0</formula>
    </cfRule>
    <cfRule type="cellIs" dxfId="1292" priority="716" operator="lessThan">
      <formula>0</formula>
    </cfRule>
    <cfRule type="containsText" dxfId="1291" priority="718" operator="containsText" text="OK">
      <formula>NOT(ISERROR(SEARCH("OK",O94)))</formula>
    </cfRule>
    <cfRule type="containsText" dxfId="1290" priority="719" operator="containsText" text="ERROR">
      <formula>NOT(ISERROR(SEARCH("ERROR",O94)))</formula>
    </cfRule>
    <cfRule type="cellIs" dxfId="1289" priority="720" operator="equal">
      <formula>0</formula>
    </cfRule>
  </conditionalFormatting>
  <conditionalFormatting sqref="O326:AC326">
    <cfRule type="cellIs" dxfId="1288" priority="519" operator="equal">
      <formula>0</formula>
    </cfRule>
    <cfRule type="cellIs" dxfId="1287" priority="520" operator="lessThan">
      <formula>0</formula>
    </cfRule>
  </conditionalFormatting>
  <conditionalFormatting sqref="O329:AC329">
    <cfRule type="cellIs" dxfId="1286" priority="841" operator="equal">
      <formula>0</formula>
    </cfRule>
  </conditionalFormatting>
  <conditionalFormatting sqref="P347:P348">
    <cfRule type="cellIs" dxfId="1285" priority="1265" operator="equal">
      <formula>0</formula>
    </cfRule>
    <cfRule type="cellIs" dxfId="1284" priority="1266" operator="lessThan">
      <formula>0</formula>
    </cfRule>
  </conditionalFormatting>
  <conditionalFormatting sqref="P352:P359">
    <cfRule type="containsText" dxfId="1283" priority="1029" operator="containsText" text="wrong">
      <formula>NOT(ISERROR(SEARCH("wrong",P352)))</formula>
    </cfRule>
  </conditionalFormatting>
  <conditionalFormatting sqref="P353:P359">
    <cfRule type="cellIs" dxfId="1282" priority="1012" operator="equal">
      <formula>0</formula>
    </cfRule>
    <cfRule type="cellIs" dxfId="1281" priority="1013" operator="lessThan">
      <formula>0</formula>
    </cfRule>
  </conditionalFormatting>
  <conditionalFormatting sqref="P78:AC78">
    <cfRule type="cellIs" dxfId="1280" priority="62" operator="equal">
      <formula>0</formula>
    </cfRule>
    <cfRule type="containsText" dxfId="1279" priority="102" operator="containsText" text="OK">
      <formula>NOT(ISERROR(SEARCH("OK",P78)))</formula>
    </cfRule>
    <cfRule type="containsText" dxfId="1278" priority="103" operator="containsText" text="ERROR">
      <formula>NOT(ISERROR(SEARCH("ERROR",P78)))</formula>
    </cfRule>
  </conditionalFormatting>
  <conditionalFormatting sqref="P78:AD78">
    <cfRule type="cellIs" dxfId="1277" priority="104" operator="equal">
      <formula>0</formula>
    </cfRule>
    <cfRule type="cellIs" dxfId="1276" priority="105" operator="lessThan">
      <formula>0</formula>
    </cfRule>
  </conditionalFormatting>
  <conditionalFormatting sqref="Q352:Q359">
    <cfRule type="cellIs" dxfId="1275" priority="1027" operator="equal">
      <formula>0</formula>
    </cfRule>
    <cfRule type="cellIs" dxfId="1274" priority="1028" operator="lessThan">
      <formula>0</formula>
    </cfRule>
  </conditionalFormatting>
  <conditionalFormatting sqref="R97">
    <cfRule type="cellIs" dxfId="1273" priority="997" operator="between">
      <formula>0</formula>
      <formula>$V$356</formula>
    </cfRule>
    <cfRule type="cellIs" dxfId="1272" priority="998" operator="greaterThan">
      <formula>$V$356*3</formula>
    </cfRule>
    <cfRule type="cellIs" dxfId="1271" priority="999" operator="between">
      <formula>$V$356</formula>
      <formula>$V$356*2.999</formula>
    </cfRule>
    <cfRule type="cellIs" dxfId="1270" priority="1000" operator="lessThan">
      <formula>0</formula>
    </cfRule>
  </conditionalFormatting>
  <conditionalFormatting sqref="R71:W71">
    <cfRule type="cellIs" dxfId="1269" priority="216" operator="equal">
      <formula>0</formula>
    </cfRule>
  </conditionalFormatting>
  <conditionalFormatting sqref="R74:W74">
    <cfRule type="cellIs" dxfId="1268" priority="168" operator="equal">
      <formula>0</formula>
    </cfRule>
  </conditionalFormatting>
  <conditionalFormatting sqref="R69:AC69">
    <cfRule type="cellIs" dxfId="1267" priority="525" operator="equal">
      <formula>0</formula>
    </cfRule>
  </conditionalFormatting>
  <conditionalFormatting sqref="R72:AC72">
    <cfRule type="cellIs" dxfId="1266" priority="258" operator="equal">
      <formula>0</formula>
    </cfRule>
  </conditionalFormatting>
  <conditionalFormatting sqref="R75:AC75">
    <cfRule type="cellIs" dxfId="1265" priority="116" operator="equal">
      <formula>0</formula>
    </cfRule>
  </conditionalFormatting>
  <conditionalFormatting sqref="R78:AC78">
    <cfRule type="cellIs" dxfId="1264" priority="64" operator="equal">
      <formula>0</formula>
    </cfRule>
  </conditionalFormatting>
  <conditionalFormatting sqref="R94:AC94">
    <cfRule type="cellIs" dxfId="1263" priority="717" operator="equal">
      <formula>0</formula>
    </cfRule>
  </conditionalFormatting>
  <conditionalFormatting sqref="S352:S355">
    <cfRule type="cellIs" dxfId="1262" priority="1005" operator="equal">
      <formula>0</formula>
    </cfRule>
    <cfRule type="cellIs" dxfId="1261" priority="1006" operator="lessThan">
      <formula>0</formula>
    </cfRule>
  </conditionalFormatting>
  <conditionalFormatting sqref="S352:S359 Z352:Z359">
    <cfRule type="cellIs" dxfId="1260" priority="1025" operator="equal">
      <formula>0</formula>
    </cfRule>
    <cfRule type="cellIs" dxfId="1259" priority="1026" operator="lessThan">
      <formula>0</formula>
    </cfRule>
  </conditionalFormatting>
  <conditionalFormatting sqref="S356:S357">
    <cfRule type="cellIs" dxfId="1258" priority="1007" operator="lessThan">
      <formula>0.25</formula>
    </cfRule>
    <cfRule type="cellIs" dxfId="1257" priority="1008" operator="greaterThanOrEqual">
      <formula>0.25</formula>
    </cfRule>
  </conditionalFormatting>
  <conditionalFormatting sqref="S358">
    <cfRule type="cellIs" dxfId="1256" priority="1003" operator="equal">
      <formula>0</formula>
    </cfRule>
    <cfRule type="cellIs" dxfId="1255" priority="1004" operator="lessThan">
      <formula>0</formula>
    </cfRule>
  </conditionalFormatting>
  <conditionalFormatting sqref="S359">
    <cfRule type="cellIs" dxfId="1254" priority="1009" operator="greaterThan">
      <formula>3</formula>
    </cfRule>
    <cfRule type="cellIs" dxfId="1253" priority="1010" operator="between">
      <formula>2</formula>
      <formula>2.999</formula>
    </cfRule>
    <cfRule type="cellIs" dxfId="1252" priority="1011" operator="lessThan">
      <formula>2</formula>
    </cfRule>
  </conditionalFormatting>
  <conditionalFormatting sqref="U97">
    <cfRule type="cellIs" dxfId="1251" priority="596" operator="greaterThan">
      <formula>3</formula>
    </cfRule>
    <cfRule type="cellIs" dxfId="1250" priority="597" operator="between">
      <formula>2</formula>
      <formula>2.999</formula>
    </cfRule>
    <cfRule type="cellIs" dxfId="1249" priority="598" operator="between">
      <formula>1</formula>
      <formula>1.999</formula>
    </cfRule>
    <cfRule type="cellIs" dxfId="1248" priority="599" operator="lessThan">
      <formula>1</formula>
    </cfRule>
  </conditionalFormatting>
  <conditionalFormatting sqref="U334">
    <cfRule type="cellIs" dxfId="1247" priority="1268" operator="lessThan">
      <formula>0</formula>
    </cfRule>
  </conditionalFormatting>
  <conditionalFormatting sqref="U334:V334">
    <cfRule type="cellIs" dxfId="1246" priority="1267" operator="equal">
      <formula>0</formula>
    </cfRule>
  </conditionalFormatting>
  <conditionalFormatting sqref="V333">
    <cfRule type="cellIs" dxfId="1245" priority="1507" operator="equal">
      <formula>0</formula>
    </cfRule>
  </conditionalFormatting>
  <conditionalFormatting sqref="V333:V334">
    <cfRule type="cellIs" dxfId="1244" priority="1508" operator="lessThan">
      <formula>0</formula>
    </cfRule>
  </conditionalFormatting>
  <conditionalFormatting sqref="V335:V349 V351">
    <cfRule type="containsText" dxfId="1243" priority="1472" operator="containsText" text="wrong">
      <formula>NOT(ISERROR(SEARCH("wrong",V335)))</formula>
    </cfRule>
  </conditionalFormatting>
  <conditionalFormatting sqref="V353:V359">
    <cfRule type="cellIs" dxfId="1242" priority="1023" operator="equal">
      <formula>0</formula>
    </cfRule>
    <cfRule type="cellIs" dxfId="1241" priority="1024" operator="lessThan">
      <formula>0</formula>
    </cfRule>
  </conditionalFormatting>
  <conditionalFormatting sqref="W35:AA35">
    <cfRule type="containsText" dxfId="1240" priority="881" operator="containsText" text="OK">
      <formula>NOT(ISERROR(SEARCH("OK",W35)))</formula>
    </cfRule>
    <cfRule type="containsText" dxfId="1239" priority="882" operator="containsText" text="ERROR">
      <formula>NOT(ISERROR(SEARCH("ERROR",W35)))</formula>
    </cfRule>
    <cfRule type="cellIs" dxfId="1238" priority="883" operator="equal">
      <formula>0</formula>
    </cfRule>
  </conditionalFormatting>
  <conditionalFormatting sqref="W37:AA37">
    <cfRule type="containsText" dxfId="1237" priority="875" operator="containsText" text="OK">
      <formula>NOT(ISERROR(SEARCH("OK",W37)))</formula>
    </cfRule>
    <cfRule type="containsText" dxfId="1236" priority="876" operator="containsText" text="ERROR">
      <formula>NOT(ISERROR(SEARCH("ERROR",W37)))</formula>
    </cfRule>
    <cfRule type="containsText" dxfId="1235" priority="877" operator="containsText" text="OK">
      <formula>NOT(ISERROR(SEARCH("OK",W37)))</formula>
    </cfRule>
    <cfRule type="containsText" dxfId="1234" priority="878" operator="containsText" text="ERROR">
      <formula>NOT(ISERROR(SEARCH("ERROR",W37)))</formula>
    </cfRule>
  </conditionalFormatting>
  <conditionalFormatting sqref="W88:AA88">
    <cfRule type="containsText" dxfId="1233" priority="775" operator="containsText" text="OK">
      <formula>NOT(ISERROR(SEARCH("OK",W88)))</formula>
    </cfRule>
    <cfRule type="containsText" dxfId="1232" priority="776" operator="containsText" text="ERROR">
      <formula>NOT(ISERROR(SEARCH("ERROR",W88)))</formula>
    </cfRule>
    <cfRule type="cellIs" dxfId="1231" priority="777" operator="equal">
      <formula>0</formula>
    </cfRule>
  </conditionalFormatting>
  <conditionalFormatting sqref="W89:AA89 W97:AA103">
    <cfRule type="containsText" dxfId="1230" priority="885" operator="containsText" text="OK">
      <formula>NOT(ISERROR(SEARCH("OK",W89)))</formula>
    </cfRule>
    <cfRule type="containsText" dxfId="1229" priority="886" operator="containsText" text="ERROR">
      <formula>NOT(ISERROR(SEARCH("ERROR",W89)))</formula>
    </cfRule>
    <cfRule type="cellIs" dxfId="1228" priority="887" operator="equal">
      <formula>0</formula>
    </cfRule>
  </conditionalFormatting>
  <conditionalFormatting sqref="W379:AA381">
    <cfRule type="containsText" dxfId="1227" priority="1045" operator="containsText" text="OK">
      <formula>NOT(ISERROR(SEARCH("OK",W379)))</formula>
    </cfRule>
    <cfRule type="containsText" dxfId="1226" priority="1046" operator="containsText" text="ERROR">
      <formula>NOT(ISERROR(SEARCH("ERROR",W379)))</formula>
    </cfRule>
  </conditionalFormatting>
  <conditionalFormatting sqref="W380:AA381">
    <cfRule type="cellIs" dxfId="1225" priority="1051" operator="equal">
      <formula>0</formula>
    </cfRule>
    <cfRule type="cellIs" dxfId="1224" priority="1052" operator="lessThan">
      <formula>0</formula>
    </cfRule>
  </conditionalFormatting>
  <conditionalFormatting sqref="W391:AA391">
    <cfRule type="containsText" dxfId="1223" priority="1175" operator="containsText" text="OK">
      <formula>NOT(ISERROR(SEARCH("OK",W391)))</formula>
    </cfRule>
    <cfRule type="containsText" dxfId="1222" priority="1176" operator="containsText" text="ERROR">
      <formula>NOT(ISERROR(SEARCH("ERROR",W391)))</formula>
    </cfRule>
    <cfRule type="cellIs" dxfId="1221" priority="1177" operator="equal">
      <formula>0</formula>
    </cfRule>
  </conditionalFormatting>
  <conditionalFormatting sqref="W393:AA393">
    <cfRule type="containsText" dxfId="1220" priority="1169" operator="containsText" text="OK">
      <formula>NOT(ISERROR(SEARCH("OK",W393)))</formula>
    </cfRule>
    <cfRule type="containsText" dxfId="1219" priority="1170" operator="containsText" text="ERROR">
      <formula>NOT(ISERROR(SEARCH("ERROR",W393)))</formula>
    </cfRule>
    <cfRule type="containsText" dxfId="1218" priority="1171" operator="containsText" text="OK">
      <formula>NOT(ISERROR(SEARCH("OK",W393)))</formula>
    </cfRule>
    <cfRule type="containsText" dxfId="1217" priority="1172" operator="containsText" text="ERROR">
      <formula>NOT(ISERROR(SEARCH("ERROR",W393)))</formula>
    </cfRule>
  </conditionalFormatting>
  <conditionalFormatting sqref="W35:AB35">
    <cfRule type="cellIs" dxfId="1216" priority="865" operator="lessThan">
      <formula>0</formula>
    </cfRule>
  </conditionalFormatting>
  <conditionalFormatting sqref="W37:AB37">
    <cfRule type="cellIs" dxfId="1215" priority="860" operator="equal">
      <formula>0</formula>
    </cfRule>
    <cfRule type="cellIs" dxfId="1214" priority="861" operator="lessThan">
      <formula>0</formula>
    </cfRule>
  </conditionalFormatting>
  <conditionalFormatting sqref="W52:AB65">
    <cfRule type="cellIs" dxfId="1213" priority="866" operator="equal">
      <formula>0</formula>
    </cfRule>
  </conditionalFormatting>
  <conditionalFormatting sqref="W63:AB64">
    <cfRule type="containsText" dxfId="1212" priority="871" operator="containsText" text="OK">
      <formula>NOT(ISERROR(SEARCH("OK",W63)))</formula>
    </cfRule>
    <cfRule type="containsText" dxfId="1211" priority="872" operator="containsText" text="ERROR">
      <formula>NOT(ISERROR(SEARCH("ERROR",W63)))</formula>
    </cfRule>
  </conditionalFormatting>
  <conditionalFormatting sqref="W73:AB73">
    <cfRule type="cellIs" dxfId="1210" priority="136" operator="equal">
      <formula>0</formula>
    </cfRule>
    <cfRule type="cellIs" dxfId="1209" priority="137" operator="lessThan">
      <formula>0</formula>
    </cfRule>
  </conditionalFormatting>
  <conditionalFormatting sqref="W88:AB88">
    <cfRule type="cellIs" dxfId="1208" priority="774" operator="lessThan">
      <formula>0</formula>
    </cfRule>
  </conditionalFormatting>
  <conditionalFormatting sqref="W89:AB89 W97:AB103 W275:AB275">
    <cfRule type="cellIs" dxfId="1207" priority="870" operator="lessThan">
      <formula>0</formula>
    </cfRule>
  </conditionalFormatting>
  <conditionalFormatting sqref="W101:AB101">
    <cfRule type="cellIs" dxfId="1206" priority="753" operator="lessThan">
      <formula>0</formula>
    </cfRule>
  </conditionalFormatting>
  <conditionalFormatting sqref="W246:AB250">
    <cfRule type="cellIs" dxfId="1205" priority="854" operator="equal">
      <formula>0</formula>
    </cfRule>
    <cfRule type="cellIs" dxfId="1204" priority="855" operator="lessThan">
      <formula>0</formula>
    </cfRule>
  </conditionalFormatting>
  <conditionalFormatting sqref="W275:AB277">
    <cfRule type="cellIs" dxfId="1203" priority="589" operator="equal">
      <formula>0</formula>
    </cfRule>
  </conditionalFormatting>
  <conditionalFormatting sqref="W391:AB391">
    <cfRule type="cellIs" dxfId="1202" priority="1166" operator="lessThan">
      <formula>0</formula>
    </cfRule>
  </conditionalFormatting>
  <conditionalFormatting sqref="W393:AB393">
    <cfRule type="cellIs" dxfId="1201" priority="1161" operator="equal">
      <formula>0</formula>
    </cfRule>
    <cfRule type="cellIs" dxfId="1200" priority="1162" operator="lessThan">
      <formula>0</formula>
    </cfRule>
  </conditionalFormatting>
  <conditionalFormatting sqref="W18:AC20 W53:AC62 AC89 AC97:AC103 J114:AC114">
    <cfRule type="containsText" dxfId="1199" priority="847" operator="containsText" text="ERROR">
      <formula>NOT(ISERROR(SEARCH("ERROR",J18)))</formula>
    </cfRule>
  </conditionalFormatting>
  <conditionalFormatting sqref="W18:AC21 W52:AC64 AB89:AC89 AB97:AC103 W114:AC114 W170:AC170 W32:AC32 W198:AC199 W208:AC210 W212:AC225 W256:AC257 W319:AC323 W325:AC325">
    <cfRule type="cellIs" dxfId="1198" priority="849" operator="lessThan">
      <formula>0</formula>
    </cfRule>
  </conditionalFormatting>
  <conditionalFormatting sqref="W18:AC21 AC52:AC64 AC89 AC97:AC103 W114:AC114 W212:AC225 W170:AC170 W32:AC32 W198:AC199 W208:AC210 W256:AC257 W319:AC323 W325:AC325 W327:AC328 W330:AC349">
    <cfRule type="cellIs" dxfId="1197" priority="848" operator="equal">
      <formula>0</formula>
    </cfRule>
  </conditionalFormatting>
  <conditionalFormatting sqref="W21:AC21">
    <cfRule type="containsText" dxfId="1196" priority="850" operator="containsText" text="OK">
      <formula>NOT(ISERROR(SEARCH("OK",W21)))</formula>
    </cfRule>
    <cfRule type="containsText" dxfId="1195" priority="851" operator="containsText" text="ERROR">
      <formula>NOT(ISERROR(SEARCH("ERROR",W21)))</formula>
    </cfRule>
  </conditionalFormatting>
  <conditionalFormatting sqref="W22:AC22">
    <cfRule type="cellIs" dxfId="1194" priority="494" operator="equal">
      <formula>0</formula>
    </cfRule>
    <cfRule type="cellIs" dxfId="1193" priority="495" operator="lessThan">
      <formula>0</formula>
    </cfRule>
    <cfRule type="containsText" dxfId="1192" priority="496" operator="containsText" text="OK">
      <formula>NOT(ISERROR(SEARCH("OK",W22)))</formula>
    </cfRule>
    <cfRule type="containsText" dxfId="1191" priority="497" operator="containsText" text="ERROR">
      <formula>NOT(ISERROR(SEARCH("ERROR",W22)))</formula>
    </cfRule>
  </conditionalFormatting>
  <conditionalFormatting sqref="W23:AC23">
    <cfRule type="containsText" dxfId="1190" priority="484" operator="containsText" text="OK">
      <formula>NOT(ISERROR(SEARCH("OK",W23)))</formula>
    </cfRule>
    <cfRule type="containsText" dxfId="1189" priority="485" operator="containsText" text="ERROR">
      <formula>NOT(ISERROR(SEARCH("ERROR",W23)))</formula>
    </cfRule>
  </conditionalFormatting>
  <conditionalFormatting sqref="W24:AC26">
    <cfRule type="containsText" dxfId="1188" priority="29" operator="containsText" text="OK">
      <formula>NOT(ISERROR(SEARCH("OK",W24)))</formula>
    </cfRule>
    <cfRule type="containsText" dxfId="1187" priority="30" operator="containsText" text="ERROR">
      <formula>NOT(ISERROR(SEARCH("ERROR",W24)))</formula>
    </cfRule>
    <cfRule type="cellIs" dxfId="1186" priority="31" operator="equal">
      <formula>0</formula>
    </cfRule>
    <cfRule type="cellIs" dxfId="1185" priority="32" operator="lessThan">
      <formula>0</formula>
    </cfRule>
  </conditionalFormatting>
  <conditionalFormatting sqref="W65:AC65">
    <cfRule type="containsText" dxfId="1184" priority="838" operator="containsText" text="OK">
      <formula>NOT(ISERROR(SEARCH("OK",W65)))</formula>
    </cfRule>
    <cfRule type="containsText" dxfId="1183" priority="839" operator="containsText" text="ERROR">
      <formula>NOT(ISERROR(SEARCH("ERROR",W65)))</formula>
    </cfRule>
  </conditionalFormatting>
  <conditionalFormatting sqref="W70:AC70">
    <cfRule type="cellIs" dxfId="1182" priority="604" operator="equal">
      <formula>0</formula>
    </cfRule>
    <cfRule type="cellIs" dxfId="1181" priority="605" operator="lessThan">
      <formula>0</formula>
    </cfRule>
  </conditionalFormatting>
  <conditionalFormatting sqref="W97:AC103">
    <cfRule type="cellIs" dxfId="1180" priority="845" operator="equal">
      <formula>0</formula>
    </cfRule>
  </conditionalFormatting>
  <conditionalFormatting sqref="W101:AC101">
    <cfRule type="containsText" dxfId="1179" priority="749" operator="containsText" text="OK">
      <formula>NOT(ISERROR(SEARCH("OK",W101)))</formula>
    </cfRule>
    <cfRule type="containsText" dxfId="1178" priority="750" operator="containsText" text="ERROR">
      <formula>NOT(ISERROR(SEARCH("ERROR",W101)))</formula>
    </cfRule>
  </conditionalFormatting>
  <conditionalFormatting sqref="W138:AC138">
    <cfRule type="cellIs" dxfId="1177" priority="452" operator="equal">
      <formula>0</formula>
    </cfRule>
    <cfRule type="cellIs" dxfId="1176" priority="453" operator="lessThan">
      <formula>0</formula>
    </cfRule>
  </conditionalFormatting>
  <conditionalFormatting sqref="W153:AC155">
    <cfRule type="containsText" dxfId="1175" priority="338" operator="containsText" text="OK">
      <formula>NOT(ISERROR(SEARCH("OK",W153)))</formula>
    </cfRule>
    <cfRule type="containsText" dxfId="1174" priority="339" operator="containsText" text="ERROR">
      <formula>NOT(ISERROR(SEARCH("ERROR",W153)))</formula>
    </cfRule>
    <cfRule type="cellIs" dxfId="1173" priority="340" operator="equal">
      <formula>0</formula>
    </cfRule>
    <cfRule type="cellIs" dxfId="1172" priority="341" operator="lessThan">
      <formula>0</formula>
    </cfRule>
  </conditionalFormatting>
  <conditionalFormatting sqref="W227:AC240">
    <cfRule type="cellIs" dxfId="1171" priority="557" operator="lessThan">
      <formula>0</formula>
    </cfRule>
  </conditionalFormatting>
  <conditionalFormatting sqref="W227:AC243">
    <cfRule type="cellIs" dxfId="1170" priority="544" operator="equal">
      <formula>0</formula>
    </cfRule>
  </conditionalFormatting>
  <conditionalFormatting sqref="W259:AC268">
    <cfRule type="cellIs" dxfId="1169" priority="532" operator="equal">
      <formula>0</formula>
    </cfRule>
    <cfRule type="cellIs" dxfId="1168" priority="533" operator="lessThan">
      <formula>0</formula>
    </cfRule>
  </conditionalFormatting>
  <conditionalFormatting sqref="W277:AC277">
    <cfRule type="cellIs" dxfId="1167" priority="588" operator="lessThan">
      <formula>0</formula>
    </cfRule>
  </conditionalFormatting>
  <conditionalFormatting sqref="W306:AC306">
    <cfRule type="cellIs" dxfId="1166" priority="585" operator="equal">
      <formula>0</formula>
    </cfRule>
    <cfRule type="cellIs" dxfId="1165" priority="586" operator="lessThan">
      <formula>0</formula>
    </cfRule>
  </conditionalFormatting>
  <conditionalFormatting sqref="W311:AC317">
    <cfRule type="cellIs" dxfId="1164" priority="816" operator="equal">
      <formula>0</formula>
    </cfRule>
    <cfRule type="cellIs" dxfId="1163" priority="817" operator="lessThan">
      <formula>0</formula>
    </cfRule>
  </conditionalFormatting>
  <conditionalFormatting sqref="W327:AC349">
    <cfRule type="cellIs" dxfId="1162" priority="842" operator="lessThan">
      <formula>0</formula>
    </cfRule>
  </conditionalFormatting>
  <conditionalFormatting sqref="W351:AC351">
    <cfRule type="cellIs" dxfId="1161" priority="1436" operator="equal">
      <formula>0</formula>
    </cfRule>
    <cfRule type="cellIs" dxfId="1160" priority="1437" operator="lessThan">
      <formula>0</formula>
    </cfRule>
  </conditionalFormatting>
  <conditionalFormatting sqref="W360:AC360 W865:AC1048576">
    <cfRule type="cellIs" dxfId="1159" priority="1438" operator="equal">
      <formula>0</formula>
    </cfRule>
    <cfRule type="cellIs" dxfId="1158" priority="1439" operator="lessThan">
      <formula>0</formula>
    </cfRule>
  </conditionalFormatting>
  <conditionalFormatting sqref="W362:AC362">
    <cfRule type="cellIs" dxfId="1157" priority="1032" operator="equal">
      <formula>0</formula>
    </cfRule>
    <cfRule type="cellIs" dxfId="1156" priority="1033" operator="lessThan">
      <formula>0</formula>
    </cfRule>
  </conditionalFormatting>
  <conditionalFormatting sqref="W374:AC376">
    <cfRule type="containsText" dxfId="1155" priority="1151" operator="containsText" text="OK">
      <formula>NOT(ISERROR(SEARCH("OK",W374)))</formula>
    </cfRule>
    <cfRule type="containsText" dxfId="1154" priority="1152" operator="containsText" text="ERROR">
      <formula>NOT(ISERROR(SEARCH("ERROR",W374)))</formula>
    </cfRule>
  </conditionalFormatting>
  <conditionalFormatting sqref="W374:AC377 W388:AC388">
    <cfRule type="cellIs" dxfId="1153" priority="1153" operator="equal">
      <formula>0</formula>
    </cfRule>
    <cfRule type="cellIs" dxfId="1152" priority="1154" operator="lessThan">
      <formula>0</formula>
    </cfRule>
  </conditionalFormatting>
  <conditionalFormatting sqref="W377:AC377">
    <cfRule type="containsText" dxfId="1151" priority="1155" operator="containsText" text="OK">
      <formula>NOT(ISERROR(SEARCH("OK",W377)))</formula>
    </cfRule>
    <cfRule type="containsText" dxfId="1150" priority="1156" operator="containsText" text="ERROR">
      <formula>NOT(ISERROR(SEARCH("ERROR",W377)))</formula>
    </cfRule>
  </conditionalFormatting>
  <conditionalFormatting sqref="W378:AC378">
    <cfRule type="cellIs" dxfId="1149" priority="1059" operator="equal">
      <formula>0</formula>
    </cfRule>
    <cfRule type="cellIs" dxfId="1148" priority="1060" operator="lessThan">
      <formula>0</formula>
    </cfRule>
    <cfRule type="containsText" dxfId="1147" priority="1061" operator="containsText" text="OK">
      <formula>NOT(ISERROR(SEARCH("OK",W378)))</formula>
    </cfRule>
    <cfRule type="containsText" dxfId="1146" priority="1062" operator="containsText" text="ERROR">
      <formula>NOT(ISERROR(SEARCH("ERROR",W378)))</formula>
    </cfRule>
  </conditionalFormatting>
  <conditionalFormatting sqref="W382:AC382">
    <cfRule type="containsText" dxfId="1145" priority="1127" operator="containsText" text="OK">
      <formula>NOT(ISERROR(SEARCH("OK",W382)))</formula>
    </cfRule>
    <cfRule type="containsText" dxfId="1144" priority="1128" operator="containsText" text="ERROR">
      <formula>NOT(ISERROR(SEARCH("ERROR",W382)))</formula>
    </cfRule>
    <cfRule type="cellIs" dxfId="1143" priority="1129" operator="equal">
      <formula>0</formula>
    </cfRule>
    <cfRule type="cellIs" dxfId="1142" priority="1130" operator="lessThan">
      <formula>0</formula>
    </cfRule>
  </conditionalFormatting>
  <conditionalFormatting sqref="W407:AC407">
    <cfRule type="cellIs" dxfId="1141" priority="47" operator="equal">
      <formula>0</formula>
    </cfRule>
    <cfRule type="cellIs" dxfId="1140" priority="48" operator="lessThan">
      <formula>0</formula>
    </cfRule>
  </conditionalFormatting>
  <conditionalFormatting sqref="W455:AC455">
    <cfRule type="cellIs" dxfId="1139" priority="54" operator="equal">
      <formula>0</formula>
    </cfRule>
    <cfRule type="cellIs" dxfId="1138" priority="55" operator="lessThan">
      <formula>0</formula>
    </cfRule>
  </conditionalFormatting>
  <conditionalFormatting sqref="W101:AD101">
    <cfRule type="cellIs" dxfId="1137" priority="751" operator="equal">
      <formula>0</formula>
    </cfRule>
  </conditionalFormatting>
  <conditionalFormatting sqref="X71:AA71">
    <cfRule type="containsText" dxfId="1136" priority="252" operator="containsText" text="OK">
      <formula>NOT(ISERROR(SEARCH("OK",X71)))</formula>
    </cfRule>
    <cfRule type="containsText" dxfId="1135" priority="253" operator="containsText" text="ERROR">
      <formula>NOT(ISERROR(SEARCH("ERROR",X71)))</formula>
    </cfRule>
    <cfRule type="containsText" dxfId="1134" priority="254" operator="containsText" text="OK">
      <formula>NOT(ISERROR(SEARCH("OK",X71)))</formula>
    </cfRule>
    <cfRule type="containsText" dxfId="1133" priority="255" operator="containsText" text="ERROR">
      <formula>NOT(ISERROR(SEARCH("ERROR",X71)))</formula>
    </cfRule>
    <cfRule type="cellIs" dxfId="1132" priority="256" operator="equal">
      <formula>0</formula>
    </cfRule>
    <cfRule type="cellIs" dxfId="1131" priority="257" operator="lessThan">
      <formula>0</formula>
    </cfRule>
  </conditionalFormatting>
  <conditionalFormatting sqref="X74:AA74">
    <cfRule type="containsText" dxfId="1130" priority="162" operator="containsText" text="OK">
      <formula>NOT(ISERROR(SEARCH("OK",X74)))</formula>
    </cfRule>
    <cfRule type="containsText" dxfId="1129" priority="163" operator="containsText" text="ERROR">
      <formula>NOT(ISERROR(SEARCH("ERROR",X74)))</formula>
    </cfRule>
    <cfRule type="containsText" dxfId="1128" priority="164" operator="containsText" text="OK">
      <formula>NOT(ISERROR(SEARCH("OK",X74)))</formula>
    </cfRule>
    <cfRule type="containsText" dxfId="1127" priority="165" operator="containsText" text="ERROR">
      <formula>NOT(ISERROR(SEARCH("ERROR",X74)))</formula>
    </cfRule>
  </conditionalFormatting>
  <conditionalFormatting sqref="X71:AB71">
    <cfRule type="cellIs" dxfId="1126" priority="248" operator="equal">
      <formula>0</formula>
    </cfRule>
    <cfRule type="cellIs" dxfId="1125" priority="249" operator="lessThan">
      <formula>0</formula>
    </cfRule>
  </conditionalFormatting>
  <conditionalFormatting sqref="X74:AB74">
    <cfRule type="cellIs" dxfId="1124" priority="158" operator="equal">
      <formula>0</formula>
    </cfRule>
    <cfRule type="cellIs" dxfId="1123" priority="159" operator="lessThan">
      <formula>0</formula>
    </cfRule>
  </conditionalFormatting>
  <conditionalFormatting sqref="X259:AC259">
    <cfRule type="cellIs" dxfId="1122" priority="808" operator="equal">
      <formula>0</formula>
    </cfRule>
    <cfRule type="cellIs" dxfId="1121" priority="809" operator="lessThan">
      <formula>0</formula>
    </cfRule>
  </conditionalFormatting>
  <conditionalFormatting sqref="Y352:Y355">
    <cfRule type="cellIs" dxfId="1120" priority="1016" operator="equal">
      <formula>0</formula>
    </cfRule>
    <cfRule type="cellIs" dxfId="1119" priority="1017" operator="lessThan">
      <formula>0</formula>
    </cfRule>
  </conditionalFormatting>
  <conditionalFormatting sqref="Y356:Y357">
    <cfRule type="cellIs" dxfId="1118" priority="1018" operator="lessThan">
      <formula>0.25</formula>
    </cfRule>
    <cfRule type="cellIs" dxfId="1117" priority="1019" operator="greaterThanOrEqual">
      <formula>0.25</formula>
    </cfRule>
  </conditionalFormatting>
  <conditionalFormatting sqref="Y358">
    <cfRule type="cellIs" dxfId="1116" priority="1014" operator="equal">
      <formula>0</formula>
    </cfRule>
    <cfRule type="cellIs" dxfId="1115" priority="1015" operator="lessThan">
      <formula>0</formula>
    </cfRule>
  </conditionalFormatting>
  <conditionalFormatting sqref="Y359">
    <cfRule type="cellIs" dxfId="1114" priority="1020" operator="greaterThan">
      <formula>3</formula>
    </cfRule>
    <cfRule type="cellIs" dxfId="1113" priority="1021" operator="between">
      <formula>2</formula>
      <formula>2.999</formula>
    </cfRule>
    <cfRule type="cellIs" dxfId="1112" priority="1022" operator="lessThan">
      <formula>2</formula>
    </cfRule>
  </conditionalFormatting>
  <conditionalFormatting sqref="AB35">
    <cfRule type="containsText" dxfId="1111" priority="862" operator="containsText" text="OK">
      <formula>NOT(ISERROR(SEARCH("OK",AB35)))</formula>
    </cfRule>
    <cfRule type="containsText" dxfId="1110" priority="863" operator="containsText" text="ERROR">
      <formula>NOT(ISERROR(SEARCH("ERROR",AB35)))</formula>
    </cfRule>
    <cfRule type="cellIs" dxfId="1109" priority="864" operator="equal">
      <formula>0</formula>
    </cfRule>
  </conditionalFormatting>
  <conditionalFormatting sqref="AB37">
    <cfRule type="containsText" dxfId="1108" priority="856" operator="containsText" text="OK">
      <formula>NOT(ISERROR(SEARCH("OK",AB37)))</formula>
    </cfRule>
    <cfRule type="containsText" dxfId="1107" priority="857" operator="containsText" text="ERROR">
      <formula>NOT(ISERROR(SEARCH("ERROR",AB37)))</formula>
    </cfRule>
    <cfRule type="containsText" dxfId="1106" priority="858" operator="containsText" text="OK">
      <formula>NOT(ISERROR(SEARCH("OK",AB37)))</formula>
    </cfRule>
    <cfRule type="containsText" dxfId="1105" priority="859" operator="containsText" text="ERROR">
      <formula>NOT(ISERROR(SEARCH("ERROR",AB37)))</formula>
    </cfRule>
  </conditionalFormatting>
  <conditionalFormatting sqref="AB71">
    <cfRule type="containsText" dxfId="1104" priority="244" operator="containsText" text="OK">
      <formula>NOT(ISERROR(SEARCH("OK",AB71)))</formula>
    </cfRule>
    <cfRule type="containsText" dxfId="1103" priority="245" operator="containsText" text="ERROR">
      <formula>NOT(ISERROR(SEARCH("ERROR",AB71)))</formula>
    </cfRule>
    <cfRule type="containsText" dxfId="1102" priority="246" operator="containsText" text="OK">
      <formula>NOT(ISERROR(SEARCH("OK",AB71)))</formula>
    </cfRule>
    <cfRule type="containsText" dxfId="1101" priority="247" operator="containsText" text="ERROR">
      <formula>NOT(ISERROR(SEARCH("ERROR",AB71)))</formula>
    </cfRule>
  </conditionalFormatting>
  <conditionalFormatting sqref="AB74">
    <cfRule type="containsText" dxfId="1100" priority="154" operator="containsText" text="OK">
      <formula>NOT(ISERROR(SEARCH("OK",AB74)))</formula>
    </cfRule>
    <cfRule type="containsText" dxfId="1099" priority="155" operator="containsText" text="ERROR">
      <formula>NOT(ISERROR(SEARCH("ERROR",AB74)))</formula>
    </cfRule>
    <cfRule type="containsText" dxfId="1098" priority="156" operator="containsText" text="OK">
      <formula>NOT(ISERROR(SEARCH("OK",AB74)))</formula>
    </cfRule>
    <cfRule type="containsText" dxfId="1097" priority="157" operator="containsText" text="ERROR">
      <formula>NOT(ISERROR(SEARCH("ERROR",AB74)))</formula>
    </cfRule>
  </conditionalFormatting>
  <conditionalFormatting sqref="AB89 AB97:AB103">
    <cfRule type="containsText" dxfId="1096" priority="867" operator="containsText" text="OK">
      <formula>NOT(ISERROR(SEARCH("OK",AB89)))</formula>
    </cfRule>
    <cfRule type="containsText" dxfId="1095" priority="868" operator="containsText" text="ERROR">
      <formula>NOT(ISERROR(SEARCH("ERROR",AB89)))</formula>
    </cfRule>
    <cfRule type="cellIs" dxfId="1094" priority="869" operator="equal">
      <formula>0</formula>
    </cfRule>
  </conditionalFormatting>
  <conditionalFormatting sqref="AB391">
    <cfRule type="containsText" dxfId="1093" priority="1163" operator="containsText" text="OK">
      <formula>NOT(ISERROR(SEARCH("OK",AB391)))</formula>
    </cfRule>
    <cfRule type="containsText" dxfId="1092" priority="1164" operator="containsText" text="ERROR">
      <formula>NOT(ISERROR(SEARCH("ERROR",AB391)))</formula>
    </cfRule>
    <cfRule type="cellIs" dxfId="1091" priority="1165" operator="equal">
      <formula>0</formula>
    </cfRule>
  </conditionalFormatting>
  <conditionalFormatting sqref="AB393">
    <cfRule type="containsText" dxfId="1090" priority="1157" operator="containsText" text="OK">
      <formula>NOT(ISERROR(SEARCH("OK",AB393)))</formula>
    </cfRule>
    <cfRule type="containsText" dxfId="1089" priority="1158" operator="containsText" text="ERROR">
      <formula>NOT(ISERROR(SEARCH("ERROR",AB393)))</formula>
    </cfRule>
    <cfRule type="containsText" dxfId="1088" priority="1159" operator="containsText" text="OK">
      <formula>NOT(ISERROR(SEARCH("OK",AB393)))</formula>
    </cfRule>
    <cfRule type="containsText" dxfId="1087" priority="1160" operator="containsText" text="ERROR">
      <formula>NOT(ISERROR(SEARCH("ERROR",AB393)))</formula>
    </cfRule>
  </conditionalFormatting>
  <conditionalFormatting sqref="AB23:AC23">
    <cfRule type="cellIs" dxfId="1086" priority="818" operator="equal">
      <formula>0</formula>
    </cfRule>
    <cfRule type="cellIs" dxfId="1085" priority="819" operator="lessThan">
      <formula>0</formula>
    </cfRule>
    <cfRule type="containsText" dxfId="1084" priority="820" operator="containsText" text="OK">
      <formula>NOT(ISERROR(SEARCH("OK",AB23)))</formula>
    </cfRule>
    <cfRule type="containsText" dxfId="1083" priority="821" operator="containsText" text="ERROR">
      <formula>NOT(ISERROR(SEARCH("ERROR",AB23)))</formula>
    </cfRule>
  </conditionalFormatting>
  <conditionalFormatting sqref="AB24:AC25">
    <cfRule type="containsText" dxfId="1082" priority="43" operator="containsText" text="OK">
      <formula>NOT(ISERROR(SEARCH("OK",AB24)))</formula>
    </cfRule>
    <cfRule type="containsText" dxfId="1081" priority="44" operator="containsText" text="ERROR">
      <formula>NOT(ISERROR(SEARCH("ERROR",AB24)))</formula>
    </cfRule>
  </conditionalFormatting>
  <conditionalFormatting sqref="AB35:AC35">
    <cfRule type="cellIs" dxfId="1080" priority="835" operator="lessThan">
      <formula>0</formula>
    </cfRule>
  </conditionalFormatting>
  <conditionalFormatting sqref="AB71:AC71">
    <cfRule type="cellIs" dxfId="1079" priority="240" operator="equal">
      <formula>0</formula>
    </cfRule>
    <cfRule type="cellIs" dxfId="1078" priority="241" operator="lessThan">
      <formula>0</formula>
    </cfRule>
  </conditionalFormatting>
  <conditionalFormatting sqref="AB74:AC74">
    <cfRule type="cellIs" dxfId="1077" priority="150" operator="equal">
      <formula>0</formula>
    </cfRule>
    <cfRule type="cellIs" dxfId="1076" priority="151" operator="lessThan">
      <formula>0</formula>
    </cfRule>
  </conditionalFormatting>
  <conditionalFormatting sqref="AB88:AC88">
    <cfRule type="cellIs" dxfId="1075" priority="769" operator="lessThan">
      <formula>0</formula>
    </cfRule>
    <cfRule type="containsText" dxfId="1074" priority="770" operator="containsText" text="OK">
      <formula>NOT(ISERROR(SEARCH("OK",AB88)))</formula>
    </cfRule>
    <cfRule type="containsText" dxfId="1073" priority="771" operator="containsText" text="ERROR">
      <formula>NOT(ISERROR(SEARCH("ERROR",AB88)))</formula>
    </cfRule>
    <cfRule type="cellIs" dxfId="1072" priority="772" operator="equal">
      <formula>0</formula>
    </cfRule>
  </conditionalFormatting>
  <conditionalFormatting sqref="AB379:AC381">
    <cfRule type="cellIs" dxfId="1071" priority="1133" operator="equal">
      <formula>0</formula>
    </cfRule>
    <cfRule type="cellIs" dxfId="1070" priority="1134" operator="lessThan">
      <formula>0</formula>
    </cfRule>
    <cfRule type="containsText" dxfId="1069" priority="1135" operator="containsText" text="OK">
      <formula>NOT(ISERROR(SEARCH("OK",AB379)))</formula>
    </cfRule>
    <cfRule type="containsText" dxfId="1068" priority="1136" operator="containsText" text="ERROR">
      <formula>NOT(ISERROR(SEARCH("ERROR",AB379)))</formula>
    </cfRule>
  </conditionalFormatting>
  <conditionalFormatting sqref="AB379:AC382">
    <cfRule type="containsText" dxfId="1067" priority="1131" operator="containsText" text="OK">
      <formula>NOT(ISERROR(SEARCH("OK",AB379)))</formula>
    </cfRule>
    <cfRule type="containsText" dxfId="1066" priority="1132" operator="containsText" text="ERROR">
      <formula>NOT(ISERROR(SEARCH("ERROR",AB379)))</formula>
    </cfRule>
  </conditionalFormatting>
  <conditionalFormatting sqref="AB391:AC391">
    <cfRule type="cellIs" dxfId="1065" priority="1150" operator="lessThan">
      <formula>0</formula>
    </cfRule>
  </conditionalFormatting>
  <conditionalFormatting sqref="AB393:AC393">
    <cfRule type="cellIs" dxfId="1064" priority="1143" operator="equal">
      <formula>0</formula>
    </cfRule>
    <cfRule type="cellIs" dxfId="1063" priority="1144" operator="lessThan">
      <formula>0</formula>
    </cfRule>
  </conditionalFormatting>
  <conditionalFormatting sqref="AB37:XFD37">
    <cfRule type="cellIs" dxfId="1062" priority="828" operator="equal">
      <formula>0</formula>
    </cfRule>
    <cfRule type="cellIs" dxfId="1061" priority="829" operator="lessThan">
      <formula>0</formula>
    </cfRule>
  </conditionalFormatting>
  <conditionalFormatting sqref="AC35">
    <cfRule type="cellIs" dxfId="1060" priority="831" operator="lessThan">
      <formula>0</formula>
    </cfRule>
    <cfRule type="containsText" dxfId="1059" priority="832" operator="containsText" text="OK">
      <formula>NOT(ISERROR(SEARCH("OK",AC35)))</formula>
    </cfRule>
    <cfRule type="containsText" dxfId="1058" priority="833" operator="containsText" text="ERROR">
      <formula>NOT(ISERROR(SEARCH("ERROR",AC35)))</formula>
    </cfRule>
    <cfRule type="cellIs" dxfId="1057" priority="834" operator="equal">
      <formula>0</formula>
    </cfRule>
  </conditionalFormatting>
  <conditionalFormatting sqref="AC37">
    <cfRule type="cellIs" dxfId="1056" priority="822" operator="equal">
      <formula>0</formula>
    </cfRule>
    <cfRule type="cellIs" dxfId="1055" priority="823" operator="lessThan">
      <formula>0</formula>
    </cfRule>
    <cfRule type="containsText" dxfId="1054" priority="824" operator="containsText" text="OK">
      <formula>NOT(ISERROR(SEARCH("OK",AC37)))</formula>
    </cfRule>
    <cfRule type="containsText" dxfId="1053" priority="825" operator="containsText" text="ERROR">
      <formula>NOT(ISERROR(SEARCH("ERROR",AC37)))</formula>
    </cfRule>
    <cfRule type="containsText" dxfId="1052" priority="826" operator="containsText" text="OK">
      <formula>NOT(ISERROR(SEARCH("OK",AC37)))</formula>
    </cfRule>
    <cfRule type="containsText" dxfId="1051" priority="827" operator="containsText" text="ERROR">
      <formula>NOT(ISERROR(SEARCH("ERROR",AC37)))</formula>
    </cfRule>
  </conditionalFormatting>
  <conditionalFormatting sqref="AC63:AC64">
    <cfRule type="containsText" dxfId="1050" priority="852" operator="containsText" text="OK">
      <formula>NOT(ISERROR(SEARCH("OK",AC63)))</formula>
    </cfRule>
    <cfRule type="containsText" dxfId="1049" priority="853" operator="containsText" text="ERROR">
      <formula>NOT(ISERROR(SEARCH("ERROR",AC63)))</formula>
    </cfRule>
  </conditionalFormatting>
  <conditionalFormatting sqref="AC71">
    <cfRule type="cellIs" dxfId="1048" priority="234" operator="equal">
      <formula>0</formula>
    </cfRule>
    <cfRule type="cellIs" dxfId="1047" priority="235" operator="lessThan">
      <formula>0</formula>
    </cfRule>
    <cfRule type="containsText" dxfId="1046" priority="236" operator="containsText" text="OK">
      <formula>NOT(ISERROR(SEARCH("OK",AC71)))</formula>
    </cfRule>
    <cfRule type="containsText" dxfId="1045" priority="237" operator="containsText" text="ERROR">
      <formula>NOT(ISERROR(SEARCH("ERROR",AC71)))</formula>
    </cfRule>
    <cfRule type="containsText" dxfId="1044" priority="238" operator="containsText" text="OK">
      <formula>NOT(ISERROR(SEARCH("OK",AC71)))</formula>
    </cfRule>
    <cfRule type="containsText" dxfId="1043" priority="239" operator="containsText" text="ERROR">
      <formula>NOT(ISERROR(SEARCH("ERROR",AC71)))</formula>
    </cfRule>
  </conditionalFormatting>
  <conditionalFormatting sqref="AC73:AC74">
    <cfRule type="cellIs" dxfId="1042" priority="132" operator="equal">
      <formula>0</formula>
    </cfRule>
    <cfRule type="cellIs" dxfId="1041" priority="133" operator="lessThan">
      <formula>0</formula>
    </cfRule>
  </conditionalFormatting>
  <conditionalFormatting sqref="AC74">
    <cfRule type="containsText" dxfId="1040" priority="146" operator="containsText" text="OK">
      <formula>NOT(ISERROR(SEARCH("OK",AC74)))</formula>
    </cfRule>
    <cfRule type="containsText" dxfId="1039" priority="147" operator="containsText" text="ERROR">
      <formula>NOT(ISERROR(SEARCH("ERROR",AC74)))</formula>
    </cfRule>
    <cfRule type="containsText" dxfId="1038" priority="148" operator="containsText" text="OK">
      <formula>NOT(ISERROR(SEARCH("OK",AC74)))</formula>
    </cfRule>
    <cfRule type="containsText" dxfId="1037" priority="149" operator="containsText" text="ERROR">
      <formula>NOT(ISERROR(SEARCH("ERROR",AC74)))</formula>
    </cfRule>
  </conditionalFormatting>
  <conditionalFormatting sqref="AC88:AC89">
    <cfRule type="cellIs" dxfId="1036" priority="773" operator="lessThan">
      <formula>0</formula>
    </cfRule>
  </conditionalFormatting>
  <conditionalFormatting sqref="AC97:AC103 AC89 W18:AC20 W53:AC62 J114:AC114">
    <cfRule type="containsText" dxfId="1035" priority="846" operator="containsText" text="OK">
      <formula>NOT(ISERROR(SEARCH("OK",J18)))</formula>
    </cfRule>
  </conditionalFormatting>
  <conditionalFormatting sqref="AC97:AC103">
    <cfRule type="cellIs" dxfId="1034" priority="752" operator="lessThan">
      <formula>0</formula>
    </cfRule>
  </conditionalFormatting>
  <conditionalFormatting sqref="AC117">
    <cfRule type="cellIs" dxfId="1033" priority="374" operator="equal">
      <formula>0</formula>
    </cfRule>
    <cfRule type="cellIs" dxfId="1032" priority="375" operator="lessThan">
      <formula>0</formula>
    </cfRule>
  </conditionalFormatting>
  <conditionalFormatting sqref="AC246:AC255">
    <cfRule type="cellIs" dxfId="1031" priority="710" operator="equal">
      <formula>0</formula>
    </cfRule>
    <cfRule type="cellIs" dxfId="1030" priority="711" operator="lessThan">
      <formula>0</formula>
    </cfRule>
  </conditionalFormatting>
  <conditionalFormatting sqref="AC269:AC275">
    <cfRule type="cellIs" dxfId="1029" priority="785" operator="lessThan">
      <formula>0</formula>
    </cfRule>
  </conditionalFormatting>
  <conditionalFormatting sqref="AC269:AC277">
    <cfRule type="cellIs" dxfId="1028" priority="587" operator="equal">
      <formula>0</formula>
    </cfRule>
  </conditionalFormatting>
  <conditionalFormatting sqref="AC391">
    <cfRule type="cellIs" dxfId="1027" priority="1146" operator="lessThan">
      <formula>0</formula>
    </cfRule>
    <cfRule type="containsText" dxfId="1026" priority="1147" operator="containsText" text="OK">
      <formula>NOT(ISERROR(SEARCH("OK",AC391)))</formula>
    </cfRule>
    <cfRule type="containsText" dxfId="1025" priority="1148" operator="containsText" text="ERROR">
      <formula>NOT(ISERROR(SEARCH("ERROR",AC391)))</formula>
    </cfRule>
    <cfRule type="cellIs" dxfId="1024" priority="1149" operator="equal">
      <formula>0</formula>
    </cfRule>
  </conditionalFormatting>
  <conditionalFormatting sqref="AC393">
    <cfRule type="cellIs" dxfId="1023" priority="1137" operator="equal">
      <formula>0</formula>
    </cfRule>
    <cfRule type="cellIs" dxfId="1022" priority="1138" operator="lessThan">
      <formula>0</formula>
    </cfRule>
    <cfRule type="containsText" dxfId="1021" priority="1139" operator="containsText" text="OK">
      <formula>NOT(ISERROR(SEARCH("OK",AC393)))</formula>
    </cfRule>
    <cfRule type="containsText" dxfId="1020" priority="1140" operator="containsText" text="ERROR">
      <formula>NOT(ISERROR(SEARCH("ERROR",AC393)))</formula>
    </cfRule>
    <cfRule type="containsText" dxfId="1019" priority="1141" operator="containsText" text="OK">
      <formula>NOT(ISERROR(SEARCH("OK",AC393)))</formula>
    </cfRule>
    <cfRule type="containsText" dxfId="1018" priority="1142" operator="containsText" text="ERROR">
      <formula>NOT(ISERROR(SEARCH("ERROR",AC393)))</formula>
    </cfRule>
  </conditionalFormatting>
  <conditionalFormatting sqref="AC65:XFD65">
    <cfRule type="cellIs" dxfId="1017" priority="840" operator="equal">
      <formula>0</formula>
    </cfRule>
  </conditionalFormatting>
  <conditionalFormatting sqref="AD68">
    <cfRule type="containsText" dxfId="1016" priority="1524" operator="containsText" text="OK">
      <formula>NOT(ISERROR(SEARCH("OK",AD68)))</formula>
    </cfRule>
    <cfRule type="containsText" dxfId="1015" priority="1525" operator="containsText" text="ERROR">
      <formula>NOT(ISERROR(SEARCH("ERROR",AD68)))</formula>
    </cfRule>
  </conditionalFormatting>
  <conditionalFormatting sqref="AD90:AD92">
    <cfRule type="cellIs" dxfId="1014" priority="1450" operator="equal">
      <formula>0</formula>
    </cfRule>
    <cfRule type="cellIs" dxfId="1013" priority="1451" operator="lessThan">
      <formula>0</formula>
    </cfRule>
  </conditionalFormatting>
  <conditionalFormatting sqref="AQ77">
    <cfRule type="cellIs" dxfId="1012" priority="1253" operator="equal">
      <formula>0</formula>
    </cfRule>
    <cfRule type="cellIs" dxfId="1011" priority="1254" operator="lessThan">
      <formula>0</formula>
    </cfRule>
  </conditionalFormatting>
  <conditionalFormatting sqref="AQ352:BB359">
    <cfRule type="cellIs" dxfId="1010" priority="1030" operator="equal">
      <formula>0</formula>
    </cfRule>
    <cfRule type="cellIs" dxfId="1009" priority="1031" operator="lessThan">
      <formula>0</formula>
    </cfRule>
  </conditionalFormatting>
  <conditionalFormatting sqref="AQ361:BB362">
    <cfRule type="cellIs" dxfId="1008" priority="1221" operator="equal">
      <formula>0</formula>
    </cfRule>
    <cfRule type="cellIs" dxfId="1007" priority="1222" operator="lessThan">
      <formula>0</formula>
    </cfRule>
  </conditionalFormatting>
  <conditionalFormatting sqref="AQ407:BB407">
    <cfRule type="cellIs" dxfId="1006" priority="50" operator="equal">
      <formula>0</formula>
    </cfRule>
    <cfRule type="cellIs" dxfId="1005" priority="51" operator="lessThan">
      <formula>0</formula>
    </cfRule>
  </conditionalFormatting>
  <conditionalFormatting sqref="AU78:XFD78">
    <cfRule type="cellIs" dxfId="1004" priority="1414" operator="equal">
      <formula>0</formula>
    </cfRule>
    <cfRule type="cellIs" dxfId="1003" priority="1415" operator="lessThan">
      <formula>0</formula>
    </cfRule>
  </conditionalFormatting>
  <dataValidations disablePrompts="1" count="17">
    <dataValidation type="list" allowBlank="1" showInputMessage="1" showErrorMessage="1" errorTitle="Select from Drop Box ONLY" error="Selection MUST be made from the drop box only" promptTitle="Must Select Method" prompt="Select method of calculating tooling recoverable balance i.e. funding Interplex must provide during Tool Fabrication, If Manual Calculation is selected, enter the balances manually in the next row or use the default formulas (refer column AE:AL)" sqref="L86" xr:uid="{26C61B3B-D3BB-4460-9B04-943AC7DEF210}">
      <formula1>"Milestone Calculation, Manual Calculation"</formula1>
    </dataValidation>
    <dataValidation type="whole" errorStyle="warning" operator="greaterThanOrEqual" allowBlank="1" showInputMessage="1" showErrorMessage="1" errorTitle="Tool Price (+)" error="Tool price must be entered as a positive (+) number" promptTitle="Enter Tool Price (+ amount(" prompt="Tool Price must be entered as a postive number" sqref="AL71 AL81" xr:uid="{A1A90B02-EA73-406E-86BD-523D473BEC4D}">
      <formula1>0</formula1>
    </dataValidation>
    <dataValidation type="whole" errorStyle="warning" operator="lessThanOrEqual" allowBlank="1" showInputMessage="1" showErrorMessage="1" errorTitle="Enter Negative number" error="Tool Cost must be entered as a negative number" promptTitle="Enter Tool Cost (-ve)" prompt="Tool Cost must be entered as a negative amount (e.g. -650,000)" sqref="AJ81 AJ71" xr:uid="{155AF012-6597-4995-8C81-B7251ACA735C}">
      <formula1>0</formula1>
    </dataValidation>
    <dataValidation type="whole" operator="greaterThanOrEqual" showInputMessage="1" showErrorMessage="1" errorTitle="Mandatory Input" error="Must NOT be zero or blank" promptTitle="MUST enter SOP Month &amp; Year" prompt="This is a mandatory field for this worksheet_x000a_Enter Month of SOP (MM), and_x000a_Enter Year of SOP (YYYY)" sqref="L11:L12" xr:uid="{117FEE94-9523-423D-A648-6B03AA99CD33}">
      <formula1>1</formula1>
    </dataValidation>
    <dataValidation type="whole" allowBlank="1" showInputMessage="1" showErrorMessage="1" sqref="N82:AC84" xr:uid="{CB152E41-7D3D-4668-B938-2E9891E7F9D9}">
      <formula1>0</formula1>
      <formula2>500</formula2>
    </dataValidation>
    <dataValidation type="whole" allowBlank="1" showInputMessage="1" showErrorMessage="1" sqref="N81:AC81" xr:uid="{DD76ED41-892F-4C0E-9777-14AA6EE0E221}">
      <formula1>0</formula1>
      <formula2>300</formula2>
    </dataValidation>
    <dataValidation type="list" allowBlank="1" showInputMessage="1" showErrorMessage="1" sqref="N12" xr:uid="{8FFD303F-C549-4DD5-AF5A-16A87F346428}">
      <formula1>"Calendar Year, Fiscal Year"</formula1>
    </dataValidation>
    <dataValidation type="whole" showInputMessage="1" showErrorMessage="1" sqref="N81:AC82 O83:AC84" xr:uid="{D150E4F0-5BD0-468C-9530-D22B369FE19A}">
      <formula1>0</formula1>
      <formula2>9999</formula2>
    </dataValidation>
    <dataValidation type="whole" allowBlank="1" showInputMessage="1" showErrorMessage="1" sqref="N88:AC88 N78:AC78" xr:uid="{405F3A1F-9274-4C40-B5A5-9BACAF0821B4}">
      <formula1>0</formula1>
      <formula2>9999</formula2>
    </dataValidation>
    <dataValidation type="list" allowBlank="1" showInputMessage="1" showErrorMessage="1" sqref="P107 L99" xr:uid="{4E36ABB2-2444-4F81-8D17-C7B3BB816B92}">
      <formula1>"No, Yes"</formula1>
    </dataValidation>
    <dataValidation allowBlank="1" showInputMessage="1" showErrorMessage="1" errorTitle="Error in data entered" error="Data entered has errors. Correction needed. e.g. Div 0!_x000a__x000a_This will cause errors in the calculations and financial model output. " sqref="N69:AC69" xr:uid="{18528D34-6073-47E0-9B45-92F36ACAC3E9}"/>
    <dataValidation type="decimal" errorStyle="warning" operator="lessThan" allowBlank="1" showInputMessage="1" showErrorMessage="1" errorTitle="Input Value" error="Enter negative (-) % for cost" sqref="K183:K187" xr:uid="{E15B0FE0-028B-4801-803C-AEF391C9EB2D}">
      <formula1>0</formula1>
    </dataValidation>
    <dataValidation type="decimal" errorStyle="warning" operator="greaterThan" allowBlank="1" showInputMessage="1" showErrorMessage="1" errorTitle="Input Value" error="COPA is typically postive (+) value" sqref="K182" xr:uid="{22A0373C-BE46-40FE-87E1-95A53511225A}">
      <formula1>0</formula1>
    </dataValidation>
    <dataValidation type="decimal" errorStyle="warning" operator="greaterThan" allowBlank="1" showInputMessage="1" showErrorMessage="1" errorTitle="Error in data entered" error="Capex, Tooling Invetsment and Asset Transfers are normally postive (+) values" sqref="N70:AC72 AC74:AC75 N74:AB74" xr:uid="{CB5C3164-5FAB-426A-89E9-37EE14CD3CE6}">
      <formula1>0</formula1>
    </dataValidation>
    <dataValidation type="whole" allowBlank="1" showInputMessage="1" showErrorMessage="1" promptTitle="+15 days on top of RFQ pay terms" prompt="Add minimum 15 days on top of RFQ payment terms._x000a_Cover customer's internal process, typical delays due to 1) ignoring INCOTERM on title transfer, 2) delays recording receipt, 3) tax reconciliation, 4) infrequent payment runs, 5) delinquency   " sqref="O80:AC80" xr:uid="{036CB729-208B-4F07-93C7-4E3035F5B3A8}">
      <formula1>15</formula1>
      <formula2>9999</formula2>
    </dataValidation>
    <dataValidation type="whole" allowBlank="1" showInputMessage="1" showErrorMessage="1" promptTitle="+20 days on top of RFQ pay terms" prompt="Add minimum 20 to 30 days on top of RFQ payment terms._x000a_Cover customer's internal process, typical delays due to 1) breach of INCOTERM on title transfer, 2) delays recording receipt, 3) tax reconciliation, 4) infrequent payment runs, 5) delinquency.   " sqref="N79:N80 O79:AC79" xr:uid="{5DC62867-7561-40E8-A111-010127D6C2F6}">
      <formula1>15</formula1>
      <formula2>9999</formula2>
    </dataValidation>
    <dataValidation type="whole" errorStyle="warning" operator="greaterThan" allowBlank="1" showInputMessage="1" showErrorMessage="1" errorTitle="Error in data entered" error="Capex, Tooling Invetsment and Asset Transfers are normally postive (+) values" sqref="N75:AB75" xr:uid="{F3F0D5E3-7B16-411A-BF0D-8D10CA9F4FAA}">
      <formula1>0</formula1>
    </dataValidation>
  </dataValidations>
  <pageMargins left="0.70866141732283472" right="0.51181102362204722" top="0.55118110236220474" bottom="0.35433070866141736" header="0.31496062992125984" footer="0.31496062992125984"/>
  <pageSetup paperSize="8" scale="28" fitToHeight="2" orientation="portrait" r:id="rId1"/>
  <rowBreaks count="1" manualBreakCount="1">
    <brk id="221" min="7" max="20" man="1"/>
  </rowBreaks>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E294C-501F-43D2-81AE-C10CEF36DECF}">
  <sheetPr>
    <tabColor theme="3" tint="0.79998168889431442"/>
    <pageSetUpPr fitToPage="1"/>
  </sheetPr>
  <dimension ref="A1:BF864"/>
  <sheetViews>
    <sheetView showGridLines="0" topLeftCell="H7" zoomScale="70" zoomScaleNormal="70" workbookViewId="0">
      <selection activeCell="O21" sqref="O21"/>
    </sheetView>
  </sheetViews>
  <sheetFormatPr defaultColWidth="9.28515625" defaultRowHeight="16.5" outlineLevelRow="1" x14ac:dyDescent="0.3"/>
  <cols>
    <col min="1" max="1" width="9.28515625" style="1" hidden="1" customWidth="1"/>
    <col min="2" max="2" width="5.7109375" style="1" hidden="1" customWidth="1"/>
    <col min="3" max="3" width="4.28515625" style="1" hidden="1" customWidth="1"/>
    <col min="4" max="4" width="4.7109375" style="1" hidden="1" customWidth="1"/>
    <col min="5" max="5" width="5" style="1" hidden="1" customWidth="1"/>
    <col min="6" max="6" width="6.5703125" style="1" hidden="1" customWidth="1"/>
    <col min="7" max="7" width="5.5703125" style="1" hidden="1" customWidth="1"/>
    <col min="8" max="8" width="2.28515625" style="1" customWidth="1"/>
    <col min="9" max="9" width="6.5703125" style="2" customWidth="1"/>
    <col min="10" max="10" width="57.7109375" style="1" customWidth="1"/>
    <col min="11" max="11" width="18.7109375" style="3" customWidth="1"/>
    <col min="12" max="12" width="20" style="1" customWidth="1"/>
    <col min="13" max="13" width="1.42578125" style="1" customWidth="1"/>
    <col min="14" max="14" width="16.140625" style="1" customWidth="1"/>
    <col min="15" max="15" width="18.7109375" style="1" customWidth="1"/>
    <col min="16" max="20" width="15" style="1" customWidth="1"/>
    <col min="21" max="21" width="18.5703125" style="1" customWidth="1"/>
    <col min="22" max="29" width="15" style="1" customWidth="1"/>
    <col min="30" max="30" width="5.7109375" style="4" customWidth="1"/>
    <col min="31" max="31" width="17.28515625" style="4" customWidth="1"/>
    <col min="32" max="33" width="3.7109375" style="1" customWidth="1"/>
    <col min="34" max="34" width="21.28515625" style="1" customWidth="1"/>
    <col min="35" max="38" width="15.5703125" style="1" customWidth="1"/>
    <col min="39" max="39" width="3.28515625" style="1" customWidth="1"/>
    <col min="40" max="40" width="10.28515625" style="1" customWidth="1"/>
    <col min="41" max="41" width="10.85546875" style="1" customWidth="1"/>
    <col min="42" max="42" width="13.5703125" style="1" customWidth="1"/>
    <col min="43" max="43" width="3.42578125" style="1" customWidth="1"/>
    <col min="44" max="44" width="7.7109375" style="1" customWidth="1"/>
    <col min="45" max="45" width="13.7109375" style="1" customWidth="1"/>
    <col min="46" max="46" width="16.28515625" style="1" customWidth="1"/>
    <col min="47" max="51" width="7.7109375" style="1" customWidth="1"/>
    <col min="52" max="52" width="24.28515625" style="1" customWidth="1"/>
    <col min="53" max="56" width="22.28515625" style="1" customWidth="1"/>
    <col min="57" max="16384" width="9.28515625" style="1"/>
  </cols>
  <sheetData>
    <row r="1" spans="8:31" hidden="1" x14ac:dyDescent="0.3"/>
    <row r="2" spans="8:31" hidden="1" x14ac:dyDescent="0.3"/>
    <row r="3" spans="8:31" hidden="1" x14ac:dyDescent="0.3"/>
    <row r="4" spans="8:31" hidden="1" x14ac:dyDescent="0.3"/>
    <row r="5" spans="8:31" hidden="1" x14ac:dyDescent="0.3"/>
    <row r="6" spans="8:31" ht="14.65" hidden="1" customHeight="1" x14ac:dyDescent="0.3"/>
    <row r="7" spans="8:31" ht="34.9" customHeight="1" x14ac:dyDescent="0.2">
      <c r="H7" s="5"/>
      <c r="I7" s="1066" t="s">
        <v>0</v>
      </c>
      <c r="J7" s="1065"/>
      <c r="K7" s="1066" t="s">
        <v>463</v>
      </c>
      <c r="L7" s="533"/>
      <c r="N7" s="1003" t="s">
        <v>282</v>
      </c>
      <c r="O7" s="7"/>
      <c r="P7" s="7"/>
      <c r="Q7" s="7"/>
      <c r="R7" s="7"/>
      <c r="S7" s="7"/>
      <c r="U7" s="7"/>
      <c r="V7" s="6"/>
      <c r="W7" s="6"/>
      <c r="X7" s="6"/>
      <c r="Y7" s="6"/>
      <c r="Z7" s="6"/>
      <c r="AA7" s="6"/>
      <c r="AB7" s="6"/>
      <c r="AC7" s="6"/>
    </row>
    <row r="8" spans="8:31" ht="27.4" customHeight="1" x14ac:dyDescent="0.2">
      <c r="H8" s="5"/>
      <c r="J8" s="8" t="s">
        <v>279</v>
      </c>
      <c r="K8" s="9" t="s">
        <v>1</v>
      </c>
      <c r="L8" s="10" t="s">
        <v>280</v>
      </c>
      <c r="U8" s="11"/>
      <c r="V8" s="11"/>
      <c r="W8" s="12"/>
      <c r="X8" s="11"/>
      <c r="Y8" s="11"/>
      <c r="Z8" s="11"/>
      <c r="AA8" s="11"/>
      <c r="AB8" s="11"/>
      <c r="AC8" s="11"/>
    </row>
    <row r="9" spans="8:31" ht="39" customHeight="1" x14ac:dyDescent="0.2">
      <c r="H9" s="13"/>
      <c r="I9" s="13"/>
      <c r="J9" s="8" t="s">
        <v>457</v>
      </c>
      <c r="K9" s="14"/>
      <c r="L9" s="717" t="s">
        <v>443</v>
      </c>
      <c r="M9" s="13"/>
      <c r="Q9" s="13"/>
      <c r="R9" s="13"/>
      <c r="U9" s="13"/>
      <c r="V9" s="13"/>
      <c r="Y9" s="13"/>
      <c r="Z9" s="13"/>
      <c r="AA9" s="13"/>
      <c r="AB9" s="15" t="s">
        <v>2</v>
      </c>
      <c r="AC9" s="16" t="s">
        <v>3</v>
      </c>
    </row>
    <row r="10" spans="8:31" ht="56.65" customHeight="1" x14ac:dyDescent="0.2">
      <c r="J10" s="17" t="s">
        <v>4</v>
      </c>
      <c r="K10" s="18"/>
      <c r="L10" s="718" t="str">
        <f>IF(OR(L11=0,L11="",L12=0,L12=""),"WARNING: Must
 enter SOP YYYY &amp; MM below","OK, SOP date entered")</f>
        <v>OK, SOP date entered</v>
      </c>
      <c r="N10" s="534" t="str">
        <f>IF(AND(N220="OK",N221="OK",N241="OK",N255="OK",N305="OK",$K$49="OK,Fully Amortized"),"OK","Wrong")</f>
        <v>OK</v>
      </c>
      <c r="O10" s="19" t="str">
        <f t="shared" ref="O10:AC10" si="0">IF(AND(O220="OK",O221="OK",O241="OK",O255="OK",O305="OK"),"OK","Wrong")</f>
        <v>OK</v>
      </c>
      <c r="P10" s="19" t="str">
        <f t="shared" si="0"/>
        <v>OK</v>
      </c>
      <c r="Q10" s="19" t="str">
        <f t="shared" si="0"/>
        <v>OK</v>
      </c>
      <c r="R10" s="19" t="str">
        <f t="shared" si="0"/>
        <v>OK</v>
      </c>
      <c r="S10" s="19" t="str">
        <f t="shared" si="0"/>
        <v>OK</v>
      </c>
      <c r="T10" s="19" t="str">
        <f t="shared" si="0"/>
        <v>OK</v>
      </c>
      <c r="U10" s="19" t="str">
        <f t="shared" si="0"/>
        <v>OK</v>
      </c>
      <c r="V10" s="19" t="str">
        <f t="shared" si="0"/>
        <v>OK</v>
      </c>
      <c r="W10" s="19" t="str">
        <f t="shared" si="0"/>
        <v>OK</v>
      </c>
      <c r="X10" s="19" t="str">
        <f t="shared" si="0"/>
        <v>OK</v>
      </c>
      <c r="Y10" s="19" t="str">
        <f t="shared" si="0"/>
        <v>OK</v>
      </c>
      <c r="Z10" s="19" t="str">
        <f t="shared" si="0"/>
        <v>OK</v>
      </c>
      <c r="AA10" s="19" t="str">
        <f t="shared" si="0"/>
        <v>OK</v>
      </c>
      <c r="AB10" s="19" t="str">
        <f t="shared" si="0"/>
        <v>OK</v>
      </c>
      <c r="AC10" s="19" t="str">
        <f t="shared" si="0"/>
        <v>OK</v>
      </c>
    </row>
    <row r="11" spans="8:31" ht="21.4" customHeight="1" x14ac:dyDescent="0.25">
      <c r="H11" s="20"/>
      <c r="I11" s="21"/>
      <c r="J11" s="1187" t="str">
        <f>L8</f>
        <v>Currency:</v>
      </c>
      <c r="K11" s="22" t="s">
        <v>5</v>
      </c>
      <c r="L11" s="23">
        <v>2025</v>
      </c>
      <c r="N11" s="1064">
        <f>L11-1</f>
        <v>2024</v>
      </c>
      <c r="O11" s="24">
        <f>N11+1</f>
        <v>2025</v>
      </c>
      <c r="P11" s="24">
        <f t="shared" ref="P11:W11" si="1">O11+1</f>
        <v>2026</v>
      </c>
      <c r="Q11" s="24">
        <f t="shared" si="1"/>
        <v>2027</v>
      </c>
      <c r="R11" s="24">
        <f t="shared" si="1"/>
        <v>2028</v>
      </c>
      <c r="S11" s="24">
        <f t="shared" si="1"/>
        <v>2029</v>
      </c>
      <c r="T11" s="24">
        <f t="shared" si="1"/>
        <v>2030</v>
      </c>
      <c r="U11" s="24">
        <f t="shared" si="1"/>
        <v>2031</v>
      </c>
      <c r="V11" s="24">
        <f t="shared" si="1"/>
        <v>2032</v>
      </c>
      <c r="W11" s="24">
        <f t="shared" si="1"/>
        <v>2033</v>
      </c>
      <c r="X11" s="24">
        <f>IF(W11=0,0,W11+1)</f>
        <v>2034</v>
      </c>
      <c r="Y11" s="24">
        <f t="shared" ref="Y11:AC11" si="2">IF(X11=0,0,X11+1)</f>
        <v>2035</v>
      </c>
      <c r="Z11" s="24">
        <f t="shared" si="2"/>
        <v>2036</v>
      </c>
      <c r="AA11" s="24">
        <f t="shared" si="2"/>
        <v>2037</v>
      </c>
      <c r="AB11" s="24">
        <f t="shared" si="2"/>
        <v>2038</v>
      </c>
      <c r="AC11" s="25">
        <f t="shared" si="2"/>
        <v>2039</v>
      </c>
      <c r="AD11" s="1"/>
      <c r="AE11" s="1"/>
    </row>
    <row r="12" spans="8:31" ht="21.4" customHeight="1" x14ac:dyDescent="0.3">
      <c r="H12" s="20"/>
      <c r="I12" s="26"/>
      <c r="J12" s="1187"/>
      <c r="K12" s="27" t="s">
        <v>6</v>
      </c>
      <c r="L12" s="28">
        <v>6</v>
      </c>
      <c r="N12" s="426" t="s">
        <v>281</v>
      </c>
      <c r="O12" s="29" t="str">
        <f>N12</f>
        <v>Calendar Year</v>
      </c>
      <c r="P12" s="29" t="str">
        <f t="shared" ref="P12:AC12" si="3">O12</f>
        <v>Calendar Year</v>
      </c>
      <c r="Q12" s="29" t="str">
        <f t="shared" si="3"/>
        <v>Calendar Year</v>
      </c>
      <c r="R12" s="29" t="str">
        <f t="shared" si="3"/>
        <v>Calendar Year</v>
      </c>
      <c r="S12" s="29" t="str">
        <f t="shared" si="3"/>
        <v>Calendar Year</v>
      </c>
      <c r="T12" s="29" t="str">
        <f t="shared" si="3"/>
        <v>Calendar Year</v>
      </c>
      <c r="U12" s="29" t="str">
        <f t="shared" si="3"/>
        <v>Calendar Year</v>
      </c>
      <c r="V12" s="29" t="str">
        <f t="shared" si="3"/>
        <v>Calendar Year</v>
      </c>
      <c r="W12" s="29" t="str">
        <f t="shared" si="3"/>
        <v>Calendar Year</v>
      </c>
      <c r="X12" s="29" t="str">
        <f t="shared" si="3"/>
        <v>Calendar Year</v>
      </c>
      <c r="Y12" s="29" t="str">
        <f t="shared" si="3"/>
        <v>Calendar Year</v>
      </c>
      <c r="Z12" s="29" t="str">
        <f t="shared" si="3"/>
        <v>Calendar Year</v>
      </c>
      <c r="AA12" s="29" t="str">
        <f t="shared" si="3"/>
        <v>Calendar Year</v>
      </c>
      <c r="AB12" s="29" t="str">
        <f t="shared" si="3"/>
        <v>Calendar Year</v>
      </c>
      <c r="AC12" s="30" t="str">
        <f t="shared" si="3"/>
        <v>Calendar Year</v>
      </c>
      <c r="AD12" s="17"/>
      <c r="AE12" s="1"/>
    </row>
    <row r="13" spans="8:31" ht="17.25" thickBot="1" x14ac:dyDescent="0.35">
      <c r="AD13" s="1"/>
      <c r="AE13" s="1"/>
    </row>
    <row r="14" spans="8:31" ht="21.75" customHeight="1" x14ac:dyDescent="0.25">
      <c r="H14" s="31"/>
      <c r="I14" s="32">
        <v>1</v>
      </c>
      <c r="J14" s="33" t="s">
        <v>7</v>
      </c>
      <c r="K14" s="33"/>
      <c r="L14" s="34" t="s">
        <v>8</v>
      </c>
      <c r="N14" s="35"/>
      <c r="O14" s="36"/>
      <c r="P14" s="36"/>
      <c r="Q14" s="36"/>
      <c r="R14" s="36"/>
      <c r="S14" s="36"/>
      <c r="T14" s="36"/>
      <c r="U14" s="36"/>
      <c r="V14" s="36"/>
      <c r="W14" s="36"/>
      <c r="X14" s="36"/>
      <c r="Y14" s="36"/>
      <c r="Z14" s="36"/>
      <c r="AA14" s="36"/>
      <c r="AB14" s="36"/>
      <c r="AC14" s="37"/>
      <c r="AD14" s="1"/>
      <c r="AE14" s="1"/>
    </row>
    <row r="15" spans="8:31" ht="21.75" customHeight="1" x14ac:dyDescent="0.4">
      <c r="H15" s="31"/>
      <c r="I15" s="38" t="s">
        <v>9</v>
      </c>
      <c r="J15" s="39" t="s">
        <v>10</v>
      </c>
      <c r="K15" s="31"/>
      <c r="L15" s="40" t="s">
        <v>11</v>
      </c>
      <c r="N15" s="41"/>
      <c r="O15" s="42"/>
      <c r="P15" s="42"/>
      <c r="Q15" s="42"/>
      <c r="R15" s="42"/>
      <c r="S15" s="42"/>
      <c r="T15" s="42"/>
      <c r="U15" s="42"/>
      <c r="V15" s="42"/>
      <c r="W15" s="42"/>
      <c r="X15" s="42"/>
      <c r="Y15" s="42"/>
      <c r="Z15" s="42"/>
      <c r="AA15" s="42"/>
      <c r="AB15" s="42"/>
      <c r="AC15" s="43"/>
      <c r="AD15" s="1"/>
      <c r="AE15" s="1"/>
    </row>
    <row r="16" spans="8:31" ht="17.25" thickBot="1" x14ac:dyDescent="0.35">
      <c r="H16" s="31"/>
      <c r="I16" s="38"/>
      <c r="J16" s="44" t="s">
        <v>12</v>
      </c>
      <c r="K16" s="45" t="str">
        <f>"Years of Rev: "&amp;COUNTIF(N16:AC16,"&gt;0")&amp;" yrs"</f>
        <v>Years of Rev: 0 yrs</v>
      </c>
      <c r="L16" s="720">
        <f>SUM(N16:AC16)</f>
        <v>0</v>
      </c>
      <c r="M16" s="721"/>
      <c r="N16" s="722">
        <f t="shared" ref="N16:AC16" si="4">N118</f>
        <v>0</v>
      </c>
      <c r="O16" s="723">
        <f t="shared" si="4"/>
        <v>0</v>
      </c>
      <c r="P16" s="723">
        <f t="shared" si="4"/>
        <v>0</v>
      </c>
      <c r="Q16" s="723">
        <f t="shared" si="4"/>
        <v>0</v>
      </c>
      <c r="R16" s="723">
        <f t="shared" si="4"/>
        <v>0</v>
      </c>
      <c r="S16" s="723">
        <f t="shared" si="4"/>
        <v>0</v>
      </c>
      <c r="T16" s="723">
        <f t="shared" si="4"/>
        <v>0</v>
      </c>
      <c r="U16" s="723">
        <f t="shared" si="4"/>
        <v>0</v>
      </c>
      <c r="V16" s="723">
        <f t="shared" si="4"/>
        <v>0</v>
      </c>
      <c r="W16" s="723">
        <f t="shared" si="4"/>
        <v>0</v>
      </c>
      <c r="X16" s="723">
        <f t="shared" si="4"/>
        <v>0</v>
      </c>
      <c r="Y16" s="723">
        <f t="shared" si="4"/>
        <v>0</v>
      </c>
      <c r="Z16" s="723">
        <f t="shared" si="4"/>
        <v>0</v>
      </c>
      <c r="AA16" s="723">
        <f t="shared" si="4"/>
        <v>0</v>
      </c>
      <c r="AB16" s="723">
        <f t="shared" si="4"/>
        <v>0</v>
      </c>
      <c r="AC16" s="724">
        <f t="shared" si="4"/>
        <v>0</v>
      </c>
      <c r="AD16" s="1"/>
      <c r="AE16" s="1"/>
    </row>
    <row r="17" spans="8:34" s="50" customFormat="1" thickTop="1" x14ac:dyDescent="0.25">
      <c r="H17" s="46"/>
      <c r="I17" s="47"/>
      <c r="J17" s="48" t="s">
        <v>13</v>
      </c>
      <c r="K17" s="47"/>
      <c r="L17" s="49">
        <f>K125</f>
        <v>0</v>
      </c>
      <c r="N17" s="51">
        <f>N125</f>
        <v>0</v>
      </c>
      <c r="O17" s="52">
        <f t="shared" ref="O17:AC17" si="5">O125</f>
        <v>0</v>
      </c>
      <c r="P17" s="52">
        <f t="shared" si="5"/>
        <v>0</v>
      </c>
      <c r="Q17" s="52">
        <f t="shared" si="5"/>
        <v>0</v>
      </c>
      <c r="R17" s="52">
        <f t="shared" si="5"/>
        <v>0</v>
      </c>
      <c r="S17" s="52">
        <f t="shared" si="5"/>
        <v>0</v>
      </c>
      <c r="T17" s="52">
        <f t="shared" si="5"/>
        <v>0</v>
      </c>
      <c r="U17" s="52">
        <f t="shared" si="5"/>
        <v>0</v>
      </c>
      <c r="V17" s="52">
        <f t="shared" si="5"/>
        <v>0</v>
      </c>
      <c r="W17" s="52">
        <f t="shared" si="5"/>
        <v>0</v>
      </c>
      <c r="X17" s="52">
        <f t="shared" si="5"/>
        <v>0</v>
      </c>
      <c r="Y17" s="52">
        <f t="shared" si="5"/>
        <v>0</v>
      </c>
      <c r="Z17" s="52">
        <f t="shared" si="5"/>
        <v>0</v>
      </c>
      <c r="AA17" s="52">
        <f t="shared" si="5"/>
        <v>0</v>
      </c>
      <c r="AB17" s="52">
        <f t="shared" si="5"/>
        <v>0</v>
      </c>
      <c r="AC17" s="53">
        <f t="shared" si="5"/>
        <v>0</v>
      </c>
    </row>
    <row r="18" spans="8:34" ht="15.75" x14ac:dyDescent="0.25">
      <c r="H18" s="31"/>
      <c r="I18" s="38"/>
      <c r="J18" s="54" t="s">
        <v>14</v>
      </c>
      <c r="K18" s="38"/>
      <c r="L18" s="725">
        <f>SUM(N18:AC18)</f>
        <v>0</v>
      </c>
      <c r="M18" s="726"/>
      <c r="N18" s="727">
        <f>N153</f>
        <v>0</v>
      </c>
      <c r="O18" s="728">
        <f t="shared" ref="O18:AC18" si="6">O153</f>
        <v>0</v>
      </c>
      <c r="P18" s="728">
        <f t="shared" si="6"/>
        <v>0</v>
      </c>
      <c r="Q18" s="728">
        <f t="shared" si="6"/>
        <v>0</v>
      </c>
      <c r="R18" s="728">
        <f t="shared" si="6"/>
        <v>0</v>
      </c>
      <c r="S18" s="728">
        <f t="shared" si="6"/>
        <v>0</v>
      </c>
      <c r="T18" s="728">
        <f t="shared" si="6"/>
        <v>0</v>
      </c>
      <c r="U18" s="728">
        <f t="shared" si="6"/>
        <v>0</v>
      </c>
      <c r="V18" s="728">
        <f t="shared" si="6"/>
        <v>0</v>
      </c>
      <c r="W18" s="728">
        <f t="shared" si="6"/>
        <v>0</v>
      </c>
      <c r="X18" s="728">
        <f t="shared" si="6"/>
        <v>0</v>
      </c>
      <c r="Y18" s="728">
        <f t="shared" si="6"/>
        <v>0</v>
      </c>
      <c r="Z18" s="728">
        <f t="shared" si="6"/>
        <v>0</v>
      </c>
      <c r="AA18" s="728">
        <f t="shared" si="6"/>
        <v>0</v>
      </c>
      <c r="AB18" s="728">
        <f t="shared" si="6"/>
        <v>0</v>
      </c>
      <c r="AC18" s="729">
        <f t="shared" si="6"/>
        <v>0</v>
      </c>
      <c r="AD18" s="1"/>
      <c r="AE18" s="1"/>
    </row>
    <row r="19" spans="8:34" ht="15.75" x14ac:dyDescent="0.25">
      <c r="H19" s="31"/>
      <c r="I19" s="38"/>
      <c r="J19" s="54" t="s">
        <v>15</v>
      </c>
      <c r="K19" s="38"/>
      <c r="L19" s="58">
        <f>IFERROR(L18/L$16,0)</f>
        <v>0</v>
      </c>
      <c r="N19" s="59">
        <f>IFERROR(N18/N16,)</f>
        <v>0</v>
      </c>
      <c r="O19" s="60">
        <f t="shared" ref="O19:AC19" si="7">IFERROR(O18/O16,)</f>
        <v>0</v>
      </c>
      <c r="P19" s="60">
        <f t="shared" si="7"/>
        <v>0</v>
      </c>
      <c r="Q19" s="60">
        <f t="shared" si="7"/>
        <v>0</v>
      </c>
      <c r="R19" s="60">
        <f t="shared" si="7"/>
        <v>0</v>
      </c>
      <c r="S19" s="60">
        <f t="shared" si="7"/>
        <v>0</v>
      </c>
      <c r="T19" s="60">
        <f t="shared" si="7"/>
        <v>0</v>
      </c>
      <c r="U19" s="60">
        <f t="shared" si="7"/>
        <v>0</v>
      </c>
      <c r="V19" s="60">
        <f t="shared" si="7"/>
        <v>0</v>
      </c>
      <c r="W19" s="60">
        <f t="shared" si="7"/>
        <v>0</v>
      </c>
      <c r="X19" s="60">
        <f t="shared" si="7"/>
        <v>0</v>
      </c>
      <c r="Y19" s="60">
        <f t="shared" si="7"/>
        <v>0</v>
      </c>
      <c r="Z19" s="60">
        <f t="shared" si="7"/>
        <v>0</v>
      </c>
      <c r="AA19" s="60">
        <f t="shared" si="7"/>
        <v>0</v>
      </c>
      <c r="AB19" s="60">
        <f t="shared" si="7"/>
        <v>0</v>
      </c>
      <c r="AC19" s="61">
        <f t="shared" si="7"/>
        <v>0</v>
      </c>
      <c r="AD19" s="1"/>
      <c r="AE19" s="1"/>
    </row>
    <row r="20" spans="8:34" ht="15.75" x14ac:dyDescent="0.25">
      <c r="H20" s="31"/>
      <c r="I20" s="38"/>
      <c r="J20" s="44" t="s">
        <v>16</v>
      </c>
      <c r="K20" s="38"/>
      <c r="L20" s="730">
        <f>SUM(N20:AC20)</f>
        <v>0</v>
      </c>
      <c r="M20" s="726"/>
      <c r="N20" s="731">
        <f>N162</f>
        <v>0</v>
      </c>
      <c r="O20" s="732">
        <f t="shared" ref="O20:AC20" si="8">O162</f>
        <v>0</v>
      </c>
      <c r="P20" s="732">
        <f t="shared" si="8"/>
        <v>0</v>
      </c>
      <c r="Q20" s="732">
        <f t="shared" si="8"/>
        <v>0</v>
      </c>
      <c r="R20" s="732">
        <f t="shared" si="8"/>
        <v>0</v>
      </c>
      <c r="S20" s="732">
        <f t="shared" si="8"/>
        <v>0</v>
      </c>
      <c r="T20" s="732">
        <f t="shared" si="8"/>
        <v>0</v>
      </c>
      <c r="U20" s="732">
        <f t="shared" si="8"/>
        <v>0</v>
      </c>
      <c r="V20" s="732">
        <f t="shared" si="8"/>
        <v>0</v>
      </c>
      <c r="W20" s="732">
        <f t="shared" si="8"/>
        <v>0</v>
      </c>
      <c r="X20" s="732">
        <f t="shared" si="8"/>
        <v>0</v>
      </c>
      <c r="Y20" s="732">
        <f t="shared" si="8"/>
        <v>0</v>
      </c>
      <c r="Z20" s="732">
        <f t="shared" si="8"/>
        <v>0</v>
      </c>
      <c r="AA20" s="732">
        <f t="shared" si="8"/>
        <v>0</v>
      </c>
      <c r="AB20" s="732">
        <f t="shared" si="8"/>
        <v>0</v>
      </c>
      <c r="AC20" s="733">
        <f t="shared" si="8"/>
        <v>0</v>
      </c>
      <c r="AD20" s="1"/>
      <c r="AE20" s="1"/>
    </row>
    <row r="21" spans="8:34" ht="15.75" x14ac:dyDescent="0.25">
      <c r="H21" s="31"/>
      <c r="I21" s="38"/>
      <c r="J21" s="566" t="s">
        <v>423</v>
      </c>
      <c r="K21" s="38"/>
      <c r="L21" s="62">
        <f>IFERROR(L20/(L16+K139),0)</f>
        <v>0</v>
      </c>
      <c r="N21" s="63">
        <f>IFERROR(N20/(N16+N139),0)</f>
        <v>0</v>
      </c>
      <c r="O21" s="64">
        <f t="shared" ref="O21:AC21" si="9">IFERROR(O20/(O16+O139),0)</f>
        <v>0</v>
      </c>
      <c r="P21" s="64">
        <f t="shared" si="9"/>
        <v>0</v>
      </c>
      <c r="Q21" s="64">
        <f t="shared" si="9"/>
        <v>0</v>
      </c>
      <c r="R21" s="64">
        <f t="shared" si="9"/>
        <v>0</v>
      </c>
      <c r="S21" s="64">
        <f t="shared" si="9"/>
        <v>0</v>
      </c>
      <c r="T21" s="64">
        <f t="shared" si="9"/>
        <v>0</v>
      </c>
      <c r="U21" s="64">
        <f t="shared" si="9"/>
        <v>0</v>
      </c>
      <c r="V21" s="64">
        <f t="shared" si="9"/>
        <v>0</v>
      </c>
      <c r="W21" s="64">
        <f t="shared" si="9"/>
        <v>0</v>
      </c>
      <c r="X21" s="64">
        <f t="shared" si="9"/>
        <v>0</v>
      </c>
      <c r="Y21" s="64">
        <f t="shared" si="9"/>
        <v>0</v>
      </c>
      <c r="Z21" s="64">
        <f t="shared" si="9"/>
        <v>0</v>
      </c>
      <c r="AA21" s="64">
        <f t="shared" si="9"/>
        <v>0</v>
      </c>
      <c r="AB21" s="64">
        <f t="shared" si="9"/>
        <v>0</v>
      </c>
      <c r="AC21" s="65">
        <f t="shared" si="9"/>
        <v>0</v>
      </c>
      <c r="AD21" s="1"/>
      <c r="AE21" s="1"/>
    </row>
    <row r="22" spans="8:34" ht="15.75" x14ac:dyDescent="0.25">
      <c r="H22" s="31"/>
      <c r="I22" s="38"/>
      <c r="J22" s="538" t="s">
        <v>424</v>
      </c>
      <c r="K22" s="734"/>
      <c r="L22" s="539">
        <f>K166</f>
        <v>0</v>
      </c>
      <c r="M22" s="633"/>
      <c r="N22" s="540">
        <f>N166</f>
        <v>0</v>
      </c>
      <c r="O22" s="541">
        <f t="shared" ref="O22:AC22" si="10">O166</f>
        <v>0</v>
      </c>
      <c r="P22" s="541">
        <f t="shared" si="10"/>
        <v>0</v>
      </c>
      <c r="Q22" s="541">
        <f t="shared" si="10"/>
        <v>0</v>
      </c>
      <c r="R22" s="541">
        <f t="shared" si="10"/>
        <v>0</v>
      </c>
      <c r="S22" s="541">
        <f t="shared" si="10"/>
        <v>0</v>
      </c>
      <c r="T22" s="541">
        <f t="shared" si="10"/>
        <v>0</v>
      </c>
      <c r="U22" s="541">
        <f t="shared" si="10"/>
        <v>0</v>
      </c>
      <c r="V22" s="541">
        <f t="shared" si="10"/>
        <v>0</v>
      </c>
      <c r="W22" s="541">
        <f t="shared" si="10"/>
        <v>0</v>
      </c>
      <c r="X22" s="541">
        <f t="shared" si="10"/>
        <v>0</v>
      </c>
      <c r="Y22" s="541">
        <f t="shared" si="10"/>
        <v>0</v>
      </c>
      <c r="Z22" s="541">
        <f t="shared" si="10"/>
        <v>0</v>
      </c>
      <c r="AA22" s="541">
        <f t="shared" si="10"/>
        <v>0</v>
      </c>
      <c r="AB22" s="541">
        <f t="shared" si="10"/>
        <v>0</v>
      </c>
      <c r="AC22" s="542">
        <f t="shared" si="10"/>
        <v>0</v>
      </c>
      <c r="AD22" s="1"/>
      <c r="AE22" s="1"/>
    </row>
    <row r="23" spans="8:34" s="543" customFormat="1" ht="20.25" customHeight="1" thickBot="1" x14ac:dyDescent="0.3">
      <c r="H23" s="535"/>
      <c r="I23" s="536"/>
      <c r="J23" s="535" t="s">
        <v>17</v>
      </c>
      <c r="K23" s="38"/>
      <c r="L23" s="735">
        <f>SUM(N23:AC23)</f>
        <v>0</v>
      </c>
      <c r="M23" s="726"/>
      <c r="N23" s="736">
        <f t="shared" ref="N23:AC23" si="11">N324</f>
        <v>0</v>
      </c>
      <c r="O23" s="737">
        <f t="shared" si="11"/>
        <v>0</v>
      </c>
      <c r="P23" s="737">
        <f t="shared" si="11"/>
        <v>0</v>
      </c>
      <c r="Q23" s="737">
        <f t="shared" si="11"/>
        <v>0</v>
      </c>
      <c r="R23" s="737">
        <f t="shared" si="11"/>
        <v>0</v>
      </c>
      <c r="S23" s="737">
        <f t="shared" si="11"/>
        <v>0</v>
      </c>
      <c r="T23" s="737">
        <f t="shared" si="11"/>
        <v>0</v>
      </c>
      <c r="U23" s="737">
        <f t="shared" si="11"/>
        <v>0</v>
      </c>
      <c r="V23" s="737">
        <f t="shared" si="11"/>
        <v>0</v>
      </c>
      <c r="W23" s="737">
        <f t="shared" si="11"/>
        <v>0</v>
      </c>
      <c r="X23" s="737">
        <f t="shared" si="11"/>
        <v>0</v>
      </c>
      <c r="Y23" s="737">
        <f t="shared" si="11"/>
        <v>0</v>
      </c>
      <c r="Z23" s="737">
        <f t="shared" si="11"/>
        <v>0</v>
      </c>
      <c r="AA23" s="737">
        <f t="shared" si="11"/>
        <v>0</v>
      </c>
      <c r="AB23" s="737">
        <f t="shared" si="11"/>
        <v>0</v>
      </c>
      <c r="AC23" s="738">
        <f t="shared" si="11"/>
        <v>0</v>
      </c>
    </row>
    <row r="24" spans="8:34" s="543" customFormat="1" ht="20.25" customHeight="1" x14ac:dyDescent="0.3">
      <c r="H24" s="535"/>
      <c r="I24" s="536"/>
      <c r="J24" s="544" t="s">
        <v>374</v>
      </c>
      <c r="K24" s="45" t="str">
        <f>"Useful Life@"&amp;ROUND(L94,2)&amp;"yrs"</f>
        <v>Useful Life@8yrs</v>
      </c>
      <c r="L24" s="739">
        <f>SUM(N24:AC24)</f>
        <v>0</v>
      </c>
      <c r="M24" s="726"/>
      <c r="N24" s="740">
        <f>N70</f>
        <v>0</v>
      </c>
      <c r="O24" s="741">
        <f t="shared" ref="O24:AC24" si="12">O70</f>
        <v>0</v>
      </c>
      <c r="P24" s="741">
        <f t="shared" si="12"/>
        <v>0</v>
      </c>
      <c r="Q24" s="741">
        <f t="shared" si="12"/>
        <v>0</v>
      </c>
      <c r="R24" s="741">
        <f t="shared" si="12"/>
        <v>0</v>
      </c>
      <c r="S24" s="741">
        <f t="shared" si="12"/>
        <v>0</v>
      </c>
      <c r="T24" s="741">
        <f t="shared" si="12"/>
        <v>0</v>
      </c>
      <c r="U24" s="741">
        <f t="shared" si="12"/>
        <v>0</v>
      </c>
      <c r="V24" s="741">
        <f t="shared" si="12"/>
        <v>0</v>
      </c>
      <c r="W24" s="741">
        <f t="shared" si="12"/>
        <v>0</v>
      </c>
      <c r="X24" s="741">
        <f t="shared" si="12"/>
        <v>0</v>
      </c>
      <c r="Y24" s="741">
        <f t="shared" si="12"/>
        <v>0</v>
      </c>
      <c r="Z24" s="741">
        <f t="shared" si="12"/>
        <v>0</v>
      </c>
      <c r="AA24" s="741">
        <f t="shared" si="12"/>
        <v>0</v>
      </c>
      <c r="AB24" s="741">
        <f t="shared" si="12"/>
        <v>0</v>
      </c>
      <c r="AC24" s="742">
        <f t="shared" si="12"/>
        <v>0</v>
      </c>
    </row>
    <row r="25" spans="8:34" s="543" customFormat="1" ht="20.25" customHeight="1" thickBot="1" x14ac:dyDescent="0.3">
      <c r="H25" s="535"/>
      <c r="I25" s="536"/>
      <c r="J25" s="544" t="s">
        <v>375</v>
      </c>
      <c r="K25" s="38"/>
      <c r="L25" s="743">
        <f>SUM(N25:AC25)</f>
        <v>0</v>
      </c>
      <c r="M25" s="726"/>
      <c r="N25" s="744">
        <f>SUM(N73,N74)</f>
        <v>0</v>
      </c>
      <c r="O25" s="745">
        <f t="shared" ref="O25:AC25" si="13">SUM(O73,O74)</f>
        <v>0</v>
      </c>
      <c r="P25" s="745">
        <f t="shared" si="13"/>
        <v>0</v>
      </c>
      <c r="Q25" s="745">
        <f t="shared" si="13"/>
        <v>0</v>
      </c>
      <c r="R25" s="745">
        <f t="shared" si="13"/>
        <v>0</v>
      </c>
      <c r="S25" s="745">
        <f t="shared" si="13"/>
        <v>0</v>
      </c>
      <c r="T25" s="745">
        <f t="shared" si="13"/>
        <v>0</v>
      </c>
      <c r="U25" s="745">
        <f t="shared" si="13"/>
        <v>0</v>
      </c>
      <c r="V25" s="745">
        <f t="shared" si="13"/>
        <v>0</v>
      </c>
      <c r="W25" s="745">
        <f t="shared" si="13"/>
        <v>0</v>
      </c>
      <c r="X25" s="745">
        <f t="shared" si="13"/>
        <v>0</v>
      </c>
      <c r="Y25" s="745">
        <f t="shared" si="13"/>
        <v>0</v>
      </c>
      <c r="Z25" s="745">
        <f t="shared" si="13"/>
        <v>0</v>
      </c>
      <c r="AA25" s="745">
        <f t="shared" si="13"/>
        <v>0</v>
      </c>
      <c r="AB25" s="745">
        <f t="shared" si="13"/>
        <v>0</v>
      </c>
      <c r="AC25" s="746">
        <f t="shared" si="13"/>
        <v>0</v>
      </c>
    </row>
    <row r="26" spans="8:34" s="66" customFormat="1" ht="20.25" customHeight="1" x14ac:dyDescent="0.25">
      <c r="H26" s="31"/>
      <c r="I26" s="38"/>
      <c r="J26" s="72" t="str">
        <f>IF(L75&gt;0,"Annual Funding Gap (including IC asset transfer)","Annual Funding Gap")</f>
        <v>Annual Funding Gap</v>
      </c>
      <c r="K26" s="38"/>
      <c r="L26" s="747">
        <f>SUM(N26:AC26)</f>
        <v>0</v>
      </c>
      <c r="M26" s="726"/>
      <c r="N26" s="740">
        <f>-N65</f>
        <v>0</v>
      </c>
      <c r="O26" s="741">
        <f t="shared" ref="O26:AC26" si="14">-O65</f>
        <v>0</v>
      </c>
      <c r="P26" s="741">
        <f t="shared" si="14"/>
        <v>0</v>
      </c>
      <c r="Q26" s="741">
        <f t="shared" si="14"/>
        <v>0</v>
      </c>
      <c r="R26" s="741">
        <f t="shared" si="14"/>
        <v>0</v>
      </c>
      <c r="S26" s="741">
        <f t="shared" si="14"/>
        <v>0</v>
      </c>
      <c r="T26" s="741">
        <f t="shared" si="14"/>
        <v>0</v>
      </c>
      <c r="U26" s="741">
        <f t="shared" si="14"/>
        <v>0</v>
      </c>
      <c r="V26" s="741">
        <f t="shared" si="14"/>
        <v>0</v>
      </c>
      <c r="W26" s="741">
        <f t="shared" si="14"/>
        <v>0</v>
      </c>
      <c r="X26" s="741">
        <f t="shared" si="14"/>
        <v>0</v>
      </c>
      <c r="Y26" s="741">
        <f t="shared" si="14"/>
        <v>0</v>
      </c>
      <c r="Z26" s="741">
        <f t="shared" si="14"/>
        <v>0</v>
      </c>
      <c r="AA26" s="741">
        <f t="shared" si="14"/>
        <v>0</v>
      </c>
      <c r="AB26" s="741">
        <f t="shared" si="14"/>
        <v>0</v>
      </c>
      <c r="AC26" s="742">
        <f t="shared" si="14"/>
        <v>0</v>
      </c>
    </row>
    <row r="27" spans="8:34" s="66" customFormat="1" ht="19.5" customHeight="1" thickBot="1" x14ac:dyDescent="0.3">
      <c r="H27" s="31"/>
      <c r="I27" s="38"/>
      <c r="J27" s="72" t="str">
        <f>IF(L75&gt;0,"Peak Funding Gap (including IC asset transfer)","Peak Funding Gap")</f>
        <v>Peak Funding Gap</v>
      </c>
      <c r="K27" s="38"/>
      <c r="L27" s="748">
        <f>MIN(N27:AC27)</f>
        <v>0</v>
      </c>
      <c r="M27" s="726"/>
      <c r="N27" s="744">
        <f>N274</f>
        <v>0</v>
      </c>
      <c r="O27" s="745">
        <f t="shared" ref="O27:AC27" si="15">O274</f>
        <v>0</v>
      </c>
      <c r="P27" s="745">
        <f t="shared" si="15"/>
        <v>0</v>
      </c>
      <c r="Q27" s="745">
        <f t="shared" si="15"/>
        <v>0</v>
      </c>
      <c r="R27" s="745">
        <f t="shared" si="15"/>
        <v>0</v>
      </c>
      <c r="S27" s="745">
        <f t="shared" si="15"/>
        <v>0</v>
      </c>
      <c r="T27" s="745">
        <f t="shared" si="15"/>
        <v>0</v>
      </c>
      <c r="U27" s="745">
        <f t="shared" si="15"/>
        <v>0</v>
      </c>
      <c r="V27" s="745">
        <f t="shared" si="15"/>
        <v>0</v>
      </c>
      <c r="W27" s="745">
        <f t="shared" si="15"/>
        <v>0</v>
      </c>
      <c r="X27" s="745">
        <f t="shared" si="15"/>
        <v>0</v>
      </c>
      <c r="Y27" s="745">
        <f t="shared" si="15"/>
        <v>0</v>
      </c>
      <c r="Z27" s="745">
        <f t="shared" si="15"/>
        <v>0</v>
      </c>
      <c r="AA27" s="745">
        <f t="shared" si="15"/>
        <v>0</v>
      </c>
      <c r="AB27" s="745">
        <f t="shared" si="15"/>
        <v>0</v>
      </c>
      <c r="AC27" s="746">
        <f t="shared" si="15"/>
        <v>0</v>
      </c>
    </row>
    <row r="28" spans="8:34" ht="10.5" customHeight="1" x14ac:dyDescent="0.2">
      <c r="I28" s="1"/>
      <c r="K28" s="1"/>
      <c r="AD28" s="1"/>
      <c r="AE28" s="1"/>
    </row>
    <row r="29" spans="8:34" ht="17.649999999999999" customHeight="1" outlineLevel="1" x14ac:dyDescent="0.4">
      <c r="I29" s="1"/>
      <c r="J29" s="73" t="s">
        <v>18</v>
      </c>
      <c r="K29" s="1"/>
      <c r="AD29" s="1"/>
      <c r="AE29" s="1"/>
    </row>
    <row r="30" spans="8:34" s="76" customFormat="1" outlineLevel="1" x14ac:dyDescent="0.3">
      <c r="H30" s="31"/>
      <c r="I30" s="38"/>
      <c r="J30" s="74" t="s">
        <v>19</v>
      </c>
      <c r="K30" s="75" t="s">
        <v>20</v>
      </c>
      <c r="L30" s="867">
        <f>SUM(N30:AC30)</f>
        <v>0</v>
      </c>
      <c r="M30" s="868"/>
      <c r="N30" s="869">
        <f t="shared" ref="N30:AC30" si="16">SUM(N123,N132)</f>
        <v>0</v>
      </c>
      <c r="O30" s="870">
        <f t="shared" si="16"/>
        <v>0</v>
      </c>
      <c r="P30" s="870">
        <f t="shared" si="16"/>
        <v>0</v>
      </c>
      <c r="Q30" s="870">
        <f t="shared" si="16"/>
        <v>0</v>
      </c>
      <c r="R30" s="870">
        <f t="shared" si="16"/>
        <v>0</v>
      </c>
      <c r="S30" s="870">
        <f t="shared" si="16"/>
        <v>0</v>
      </c>
      <c r="T30" s="870">
        <f t="shared" si="16"/>
        <v>0</v>
      </c>
      <c r="U30" s="870">
        <f t="shared" si="16"/>
        <v>0</v>
      </c>
      <c r="V30" s="870">
        <f t="shared" si="16"/>
        <v>0</v>
      </c>
      <c r="W30" s="870">
        <f t="shared" si="16"/>
        <v>0</v>
      </c>
      <c r="X30" s="870">
        <f t="shared" si="16"/>
        <v>0</v>
      </c>
      <c r="Y30" s="870">
        <f t="shared" si="16"/>
        <v>0</v>
      </c>
      <c r="Z30" s="870">
        <f t="shared" si="16"/>
        <v>0</v>
      </c>
      <c r="AA30" s="870">
        <f t="shared" si="16"/>
        <v>0</v>
      </c>
      <c r="AB30" s="870">
        <f t="shared" si="16"/>
        <v>0</v>
      </c>
      <c r="AC30" s="871">
        <f t="shared" si="16"/>
        <v>0</v>
      </c>
    </row>
    <row r="31" spans="8:34" s="76" customFormat="1" ht="19.899999999999999" customHeight="1" outlineLevel="1" x14ac:dyDescent="0.3">
      <c r="H31" s="31"/>
      <c r="I31" s="38"/>
      <c r="J31" s="77" t="s">
        <v>21</v>
      </c>
      <c r="K31" s="75" t="str">
        <f>IF(P107="Yes","Imputed in ROI","Not imputed in ROI")</f>
        <v>Not imputed in ROI</v>
      </c>
      <c r="L31" s="872">
        <f>SUM(N31:AC31)</f>
        <v>0</v>
      </c>
      <c r="M31" s="868"/>
      <c r="N31" s="873">
        <f t="shared" ref="N31:AC31" si="17">IF(N167&gt;0,0,N167)</f>
        <v>0</v>
      </c>
      <c r="O31" s="874">
        <f t="shared" si="17"/>
        <v>0</v>
      </c>
      <c r="P31" s="874">
        <f t="shared" si="17"/>
        <v>0</v>
      </c>
      <c r="Q31" s="874">
        <f t="shared" si="17"/>
        <v>0</v>
      </c>
      <c r="R31" s="874">
        <f t="shared" si="17"/>
        <v>0</v>
      </c>
      <c r="S31" s="874">
        <f t="shared" si="17"/>
        <v>0</v>
      </c>
      <c r="T31" s="874">
        <f t="shared" si="17"/>
        <v>0</v>
      </c>
      <c r="U31" s="874">
        <f t="shared" si="17"/>
        <v>0</v>
      </c>
      <c r="V31" s="874">
        <f t="shared" si="17"/>
        <v>0</v>
      </c>
      <c r="W31" s="874">
        <f t="shared" si="17"/>
        <v>0</v>
      </c>
      <c r="X31" s="874">
        <f t="shared" si="17"/>
        <v>0</v>
      </c>
      <c r="Y31" s="874">
        <f t="shared" si="17"/>
        <v>0</v>
      </c>
      <c r="Z31" s="874">
        <f t="shared" si="17"/>
        <v>0</v>
      </c>
      <c r="AA31" s="874">
        <f t="shared" si="17"/>
        <v>0</v>
      </c>
      <c r="AB31" s="874">
        <f t="shared" si="17"/>
        <v>0</v>
      </c>
      <c r="AC31" s="875">
        <f t="shared" si="17"/>
        <v>0</v>
      </c>
    </row>
    <row r="32" spans="8:34" outlineLevel="1" thickBot="1" x14ac:dyDescent="0.3">
      <c r="H32" s="31"/>
      <c r="I32" s="38"/>
      <c r="J32" s="67"/>
      <c r="K32" s="67"/>
      <c r="L32" s="67"/>
      <c r="N32" s="67"/>
      <c r="O32" s="67"/>
      <c r="P32" s="67"/>
      <c r="Q32" s="67"/>
      <c r="R32" s="67"/>
      <c r="S32" s="67"/>
      <c r="T32" s="67"/>
      <c r="U32" s="67"/>
      <c r="V32" s="67"/>
      <c r="W32" s="67"/>
      <c r="X32" s="67"/>
      <c r="Y32" s="67"/>
      <c r="Z32" s="67"/>
      <c r="AA32" s="67"/>
      <c r="AB32" s="67"/>
      <c r="AC32" s="67"/>
      <c r="AD32" s="67"/>
      <c r="AE32" s="67"/>
      <c r="AF32" s="67"/>
      <c r="AG32" s="67"/>
      <c r="AH32" s="67"/>
    </row>
    <row r="33" spans="8:31" ht="18" x14ac:dyDescent="0.4">
      <c r="H33" s="31"/>
      <c r="I33" s="38" t="s">
        <v>22</v>
      </c>
      <c r="J33" s="39" t="s">
        <v>23</v>
      </c>
      <c r="K33" s="31"/>
      <c r="L33" s="78"/>
      <c r="N33" s="79"/>
      <c r="O33" s="80"/>
      <c r="P33" s="80"/>
      <c r="Q33" s="80"/>
      <c r="R33" s="80"/>
      <c r="S33" s="80"/>
      <c r="T33" s="80"/>
      <c r="U33" s="80"/>
      <c r="V33" s="80"/>
      <c r="W33" s="80"/>
      <c r="X33" s="80"/>
      <c r="Y33" s="80"/>
      <c r="Z33" s="80"/>
      <c r="AA33" s="80"/>
      <c r="AB33" s="80"/>
      <c r="AC33" s="81"/>
      <c r="AD33" s="1"/>
      <c r="AE33" s="1"/>
    </row>
    <row r="34" spans="8:31" ht="15.75" x14ac:dyDescent="0.25">
      <c r="H34" s="31"/>
      <c r="I34" s="38"/>
      <c r="J34" s="31" t="s">
        <v>24</v>
      </c>
      <c r="K34" s="1188" t="str">
        <f>IFERROR(CONCATENATE("CPCF Multiple: ",ROUND(L34/L65,1),"x"),"MOIC Multiple")</f>
        <v>MOIC Multiple</v>
      </c>
      <c r="L34" s="749">
        <f>AC34</f>
        <v>0</v>
      </c>
      <c r="M34" s="750"/>
      <c r="N34" s="751">
        <f t="shared" ref="N34:AC34" si="18">N325</f>
        <v>0</v>
      </c>
      <c r="O34" s="752">
        <f t="shared" si="18"/>
        <v>0</v>
      </c>
      <c r="P34" s="752">
        <f t="shared" si="18"/>
        <v>0</v>
      </c>
      <c r="Q34" s="752">
        <f t="shared" si="18"/>
        <v>0</v>
      </c>
      <c r="R34" s="752">
        <f t="shared" si="18"/>
        <v>0</v>
      </c>
      <c r="S34" s="752">
        <f t="shared" si="18"/>
        <v>0</v>
      </c>
      <c r="T34" s="752">
        <f t="shared" si="18"/>
        <v>0</v>
      </c>
      <c r="U34" s="752">
        <f t="shared" si="18"/>
        <v>0</v>
      </c>
      <c r="V34" s="752">
        <f t="shared" si="18"/>
        <v>0</v>
      </c>
      <c r="W34" s="752">
        <f t="shared" si="18"/>
        <v>0</v>
      </c>
      <c r="X34" s="752">
        <f t="shared" si="18"/>
        <v>0</v>
      </c>
      <c r="Y34" s="752">
        <f t="shared" si="18"/>
        <v>0</v>
      </c>
      <c r="Z34" s="752">
        <f t="shared" si="18"/>
        <v>0</v>
      </c>
      <c r="AA34" s="752">
        <f t="shared" si="18"/>
        <v>0</v>
      </c>
      <c r="AB34" s="752">
        <f t="shared" si="18"/>
        <v>0</v>
      </c>
      <c r="AC34" s="753">
        <f t="shared" si="18"/>
        <v>0</v>
      </c>
      <c r="AD34" s="83"/>
      <c r="AE34" s="1"/>
    </row>
    <row r="35" spans="8:31" ht="15.75" x14ac:dyDescent="0.25">
      <c r="H35" s="31"/>
      <c r="I35" s="38"/>
      <c r="J35" s="31" t="s">
        <v>25</v>
      </c>
      <c r="K35" s="1188"/>
      <c r="L35" s="82" t="str">
        <f>IF($L$335="No Full Recovery","No Full Recovery",CONCATENATE(ROUND(SUM(N326:AC326),1)," yrs"))</f>
        <v>0 yrs</v>
      </c>
      <c r="N35" s="84" t="str">
        <f>IF($L$335="No Full Recovery","",ROUND(N326,2)&amp;" yrs")</f>
        <v>0 yrs</v>
      </c>
      <c r="O35" s="85" t="str">
        <f>IF($L$335="No Full Recovery","",ROUND(O326,2)&amp;" yrs")</f>
        <v>0 yrs</v>
      </c>
      <c r="P35" s="85" t="str">
        <f t="shared" ref="P35:AC35" si="19">IF($L$335="No Full Recovery","",ROUND(P326,2)&amp;" yrs")</f>
        <v>0 yrs</v>
      </c>
      <c r="Q35" s="85" t="str">
        <f t="shared" si="19"/>
        <v>0 yrs</v>
      </c>
      <c r="R35" s="85" t="str">
        <f t="shared" si="19"/>
        <v>0 yrs</v>
      </c>
      <c r="S35" s="85" t="str">
        <f t="shared" si="19"/>
        <v>0 yrs</v>
      </c>
      <c r="T35" s="85" t="str">
        <f t="shared" si="19"/>
        <v>0 yrs</v>
      </c>
      <c r="U35" s="85" t="str">
        <f t="shared" si="19"/>
        <v>0 yrs</v>
      </c>
      <c r="V35" s="85" t="str">
        <f t="shared" si="19"/>
        <v>0 yrs</v>
      </c>
      <c r="W35" s="85" t="str">
        <f t="shared" si="19"/>
        <v>0 yrs</v>
      </c>
      <c r="X35" s="85" t="str">
        <f t="shared" si="19"/>
        <v>0 yrs</v>
      </c>
      <c r="Y35" s="85" t="str">
        <f t="shared" si="19"/>
        <v>0 yrs</v>
      </c>
      <c r="Z35" s="85" t="str">
        <f t="shared" si="19"/>
        <v>0 yrs</v>
      </c>
      <c r="AA35" s="85" t="str">
        <f t="shared" si="19"/>
        <v>0 yrs</v>
      </c>
      <c r="AB35" s="85" t="str">
        <f t="shared" si="19"/>
        <v>0 yrs</v>
      </c>
      <c r="AC35" s="86" t="str">
        <f t="shared" si="19"/>
        <v>0 yrs</v>
      </c>
      <c r="AD35" s="83"/>
      <c r="AE35" s="1"/>
    </row>
    <row r="36" spans="8:31" ht="15.75" x14ac:dyDescent="0.25">
      <c r="H36" s="31"/>
      <c r="I36" s="38"/>
      <c r="J36" s="31" t="s">
        <v>26</v>
      </c>
      <c r="K36" s="87" t="str">
        <f>CONCATENATE("WACC@",$L$98*100,"%")</f>
        <v>WACC@15%</v>
      </c>
      <c r="L36" s="749">
        <f>AC36</f>
        <v>0</v>
      </c>
      <c r="M36" s="750"/>
      <c r="N36" s="751">
        <f>SUM($N327:N327)</f>
        <v>0</v>
      </c>
      <c r="O36" s="752">
        <f>SUM($N327:O327)</f>
        <v>0</v>
      </c>
      <c r="P36" s="752">
        <f>SUM($N327:P327)</f>
        <v>0</v>
      </c>
      <c r="Q36" s="752">
        <f>SUM($N327:Q327)</f>
        <v>0</v>
      </c>
      <c r="R36" s="752">
        <f>SUM($N327:R327)</f>
        <v>0</v>
      </c>
      <c r="S36" s="752">
        <f>SUM($N327:S327)</f>
        <v>0</v>
      </c>
      <c r="T36" s="752">
        <f>SUM($N327:T327)</f>
        <v>0</v>
      </c>
      <c r="U36" s="752">
        <f>SUM($N327:U327)</f>
        <v>0</v>
      </c>
      <c r="V36" s="752">
        <f>SUM($N327:V327)</f>
        <v>0</v>
      </c>
      <c r="W36" s="752">
        <f>SUM($N327:W327)</f>
        <v>0</v>
      </c>
      <c r="X36" s="752">
        <f>SUM($N327:X327)</f>
        <v>0</v>
      </c>
      <c r="Y36" s="752">
        <f>SUM($N327:Y327)</f>
        <v>0</v>
      </c>
      <c r="Z36" s="752">
        <f>SUM($N327:Z327)</f>
        <v>0</v>
      </c>
      <c r="AA36" s="752">
        <f>SUM($N327:AA327)</f>
        <v>0</v>
      </c>
      <c r="AB36" s="752">
        <f>SUM($N327:AB327)</f>
        <v>0</v>
      </c>
      <c r="AC36" s="753">
        <f>SUM($N327:AC327)</f>
        <v>0</v>
      </c>
      <c r="AD36" s="83"/>
      <c r="AE36" s="1"/>
    </row>
    <row r="37" spans="8:31" ht="15.75" x14ac:dyDescent="0.25">
      <c r="H37" s="31"/>
      <c r="I37" s="38"/>
      <c r="J37" s="31"/>
      <c r="K37" s="87" t="str">
        <f>CONCATENATE("IRR: ",ROUND($L$334*100,1),"%")</f>
        <v>IRR: 0%</v>
      </c>
      <c r="L37" s="88"/>
      <c r="N37" s="89"/>
      <c r="O37" s="90"/>
      <c r="P37" s="90"/>
      <c r="Q37" s="90"/>
      <c r="R37" s="90"/>
      <c r="S37" s="90"/>
      <c r="T37" s="90"/>
      <c r="U37" s="90"/>
      <c r="V37" s="90"/>
      <c r="W37" s="90"/>
      <c r="X37" s="90"/>
      <c r="Y37" s="90"/>
      <c r="Z37" s="90"/>
      <c r="AA37" s="90"/>
      <c r="AB37" s="90"/>
      <c r="AC37" s="91"/>
      <c r="AD37" s="83"/>
      <c r="AE37" s="1"/>
    </row>
    <row r="38" spans="8:31" ht="20.25" customHeight="1" x14ac:dyDescent="0.4">
      <c r="I38" s="38" t="s">
        <v>27</v>
      </c>
      <c r="J38" s="39" t="s">
        <v>28</v>
      </c>
      <c r="L38" s="754">
        <f>IFERROR(AVERAGEIF(O38:AC38,"&gt;100",O38:AC38),)</f>
        <v>0</v>
      </c>
      <c r="M38" s="750"/>
      <c r="N38" s="755">
        <f>SUM(N40:N48)-N41</f>
        <v>0</v>
      </c>
      <c r="O38" s="756">
        <f t="shared" ref="O38:AC38" si="20">SUM(O40:O48)-O41</f>
        <v>0</v>
      </c>
      <c r="P38" s="756">
        <f t="shared" si="20"/>
        <v>0</v>
      </c>
      <c r="Q38" s="756">
        <f t="shared" si="20"/>
        <v>0</v>
      </c>
      <c r="R38" s="756">
        <f t="shared" si="20"/>
        <v>0</v>
      </c>
      <c r="S38" s="756">
        <f t="shared" si="20"/>
        <v>0</v>
      </c>
      <c r="T38" s="756">
        <f t="shared" si="20"/>
        <v>0</v>
      </c>
      <c r="U38" s="756">
        <f t="shared" si="20"/>
        <v>0</v>
      </c>
      <c r="V38" s="756">
        <f t="shared" si="20"/>
        <v>0</v>
      </c>
      <c r="W38" s="756">
        <f t="shared" si="20"/>
        <v>0</v>
      </c>
      <c r="X38" s="756">
        <f t="shared" si="20"/>
        <v>0</v>
      </c>
      <c r="Y38" s="756">
        <f t="shared" si="20"/>
        <v>0</v>
      </c>
      <c r="Z38" s="756">
        <f t="shared" si="20"/>
        <v>0</v>
      </c>
      <c r="AA38" s="756">
        <f t="shared" si="20"/>
        <v>0</v>
      </c>
      <c r="AB38" s="756">
        <f t="shared" si="20"/>
        <v>0</v>
      </c>
      <c r="AC38" s="757">
        <f t="shared" si="20"/>
        <v>0</v>
      </c>
      <c r="AD38" s="83"/>
      <c r="AE38" s="1"/>
    </row>
    <row r="39" spans="8:31" ht="15.75" x14ac:dyDescent="0.25">
      <c r="H39" s="31"/>
      <c r="I39" s="38"/>
      <c r="J39" s="31" t="s">
        <v>29</v>
      </c>
      <c r="K39" s="38"/>
      <c r="L39" s="92" t="str">
        <f>IFERROR(SUM(N38:AC38)/SUM(N16:AC16),"")</f>
        <v/>
      </c>
      <c r="N39" s="93" t="str">
        <f t="shared" ref="N39:AC39" si="21">IFERROR(N38/N16*N78/365,"")</f>
        <v/>
      </c>
      <c r="O39" s="94" t="str">
        <f t="shared" si="21"/>
        <v/>
      </c>
      <c r="P39" s="94" t="str">
        <f t="shared" si="21"/>
        <v/>
      </c>
      <c r="Q39" s="94" t="str">
        <f t="shared" si="21"/>
        <v/>
      </c>
      <c r="R39" s="94" t="str">
        <f t="shared" si="21"/>
        <v/>
      </c>
      <c r="S39" s="94" t="str">
        <f t="shared" si="21"/>
        <v/>
      </c>
      <c r="T39" s="94" t="str">
        <f t="shared" si="21"/>
        <v/>
      </c>
      <c r="U39" s="94" t="str">
        <f t="shared" si="21"/>
        <v/>
      </c>
      <c r="V39" s="94" t="str">
        <f t="shared" si="21"/>
        <v/>
      </c>
      <c r="W39" s="94" t="str">
        <f t="shared" si="21"/>
        <v/>
      </c>
      <c r="X39" s="94" t="str">
        <f t="shared" si="21"/>
        <v/>
      </c>
      <c r="Y39" s="94" t="str">
        <f t="shared" si="21"/>
        <v/>
      </c>
      <c r="Z39" s="94" t="str">
        <f t="shared" si="21"/>
        <v/>
      </c>
      <c r="AA39" s="94" t="str">
        <f t="shared" si="21"/>
        <v/>
      </c>
      <c r="AB39" s="94" t="str">
        <f t="shared" si="21"/>
        <v/>
      </c>
      <c r="AC39" s="95" t="str">
        <f t="shared" si="21"/>
        <v/>
      </c>
      <c r="AD39" s="1"/>
      <c r="AE39" s="1"/>
    </row>
    <row r="40" spans="8:31" x14ac:dyDescent="0.3">
      <c r="I40" s="96"/>
      <c r="J40" s="97" t="s">
        <v>30</v>
      </c>
      <c r="L40" s="758">
        <f>IFERROR(AVERAGEIF(N40:AC40,"&gt;0",N40:AC40),)</f>
        <v>0</v>
      </c>
      <c r="M40" s="750"/>
      <c r="N40" s="751">
        <f t="shared" ref="N40:AC40" si="22">N200</f>
        <v>0</v>
      </c>
      <c r="O40" s="752">
        <f t="shared" si="22"/>
        <v>0</v>
      </c>
      <c r="P40" s="752">
        <f t="shared" si="22"/>
        <v>0</v>
      </c>
      <c r="Q40" s="752">
        <f t="shared" si="22"/>
        <v>0</v>
      </c>
      <c r="R40" s="752">
        <f t="shared" si="22"/>
        <v>0</v>
      </c>
      <c r="S40" s="752">
        <f t="shared" si="22"/>
        <v>0</v>
      </c>
      <c r="T40" s="752">
        <f t="shared" si="22"/>
        <v>0</v>
      </c>
      <c r="U40" s="752">
        <f t="shared" si="22"/>
        <v>0</v>
      </c>
      <c r="V40" s="752">
        <f t="shared" si="22"/>
        <v>0</v>
      </c>
      <c r="W40" s="752">
        <f t="shared" si="22"/>
        <v>0</v>
      </c>
      <c r="X40" s="752">
        <f t="shared" si="22"/>
        <v>0</v>
      </c>
      <c r="Y40" s="752">
        <f t="shared" si="22"/>
        <v>0</v>
      </c>
      <c r="Z40" s="752">
        <f t="shared" si="22"/>
        <v>0</v>
      </c>
      <c r="AA40" s="752">
        <f t="shared" si="22"/>
        <v>0</v>
      </c>
      <c r="AB40" s="752">
        <f t="shared" si="22"/>
        <v>0</v>
      </c>
      <c r="AC40" s="753">
        <f t="shared" si="22"/>
        <v>0</v>
      </c>
      <c r="AD40" s="83"/>
      <c r="AE40" s="1"/>
    </row>
    <row r="41" spans="8:31" x14ac:dyDescent="0.3">
      <c r="I41" s="96"/>
      <c r="J41" s="97" t="s">
        <v>299</v>
      </c>
      <c r="L41" s="758">
        <f>IFERROR(AVERAGEIF(N41:AC41,"&gt;0",N41:AC41),)</f>
        <v>0</v>
      </c>
      <c r="M41" s="750"/>
      <c r="N41" s="751">
        <f>SUM(N42:N45)</f>
        <v>0</v>
      </c>
      <c r="O41" s="752">
        <f t="shared" ref="O41:AC41" si="23">SUM(O42:O45)</f>
        <v>0</v>
      </c>
      <c r="P41" s="752">
        <f t="shared" si="23"/>
        <v>0</v>
      </c>
      <c r="Q41" s="752">
        <f t="shared" si="23"/>
        <v>0</v>
      </c>
      <c r="R41" s="752">
        <f t="shared" si="23"/>
        <v>0</v>
      </c>
      <c r="S41" s="752">
        <f t="shared" si="23"/>
        <v>0</v>
      </c>
      <c r="T41" s="752">
        <f t="shared" si="23"/>
        <v>0</v>
      </c>
      <c r="U41" s="752">
        <f t="shared" si="23"/>
        <v>0</v>
      </c>
      <c r="V41" s="752">
        <f t="shared" si="23"/>
        <v>0</v>
      </c>
      <c r="W41" s="752">
        <f t="shared" si="23"/>
        <v>0</v>
      </c>
      <c r="X41" s="752">
        <f t="shared" si="23"/>
        <v>0</v>
      </c>
      <c r="Y41" s="752">
        <f t="shared" si="23"/>
        <v>0</v>
      </c>
      <c r="Z41" s="752">
        <f t="shared" si="23"/>
        <v>0</v>
      </c>
      <c r="AA41" s="752">
        <f t="shared" si="23"/>
        <v>0</v>
      </c>
      <c r="AB41" s="752">
        <f t="shared" si="23"/>
        <v>0</v>
      </c>
      <c r="AC41" s="753">
        <f t="shared" si="23"/>
        <v>0</v>
      </c>
      <c r="AD41" s="83"/>
      <c r="AE41" s="1"/>
    </row>
    <row r="42" spans="8:31" x14ac:dyDescent="0.3">
      <c r="I42" s="96"/>
      <c r="J42" s="456" t="s">
        <v>295</v>
      </c>
      <c r="L42" s="759">
        <f>IFERROR(AVERAGEIF(N42:AC42,"&gt;0",N42:AC42),)</f>
        <v>0</v>
      </c>
      <c r="M42" s="760"/>
      <c r="N42" s="761">
        <f>N201</f>
        <v>0</v>
      </c>
      <c r="O42" s="762">
        <f t="shared" ref="O42:AC42" si="24">O201</f>
        <v>0</v>
      </c>
      <c r="P42" s="762">
        <f t="shared" si="24"/>
        <v>0</v>
      </c>
      <c r="Q42" s="762">
        <f t="shared" si="24"/>
        <v>0</v>
      </c>
      <c r="R42" s="762">
        <f t="shared" si="24"/>
        <v>0</v>
      </c>
      <c r="S42" s="762">
        <f t="shared" si="24"/>
        <v>0</v>
      </c>
      <c r="T42" s="762">
        <f t="shared" si="24"/>
        <v>0</v>
      </c>
      <c r="U42" s="762">
        <f t="shared" si="24"/>
        <v>0</v>
      </c>
      <c r="V42" s="762">
        <f t="shared" si="24"/>
        <v>0</v>
      </c>
      <c r="W42" s="762">
        <f t="shared" si="24"/>
        <v>0</v>
      </c>
      <c r="X42" s="762">
        <f t="shared" si="24"/>
        <v>0</v>
      </c>
      <c r="Y42" s="762">
        <f t="shared" si="24"/>
        <v>0</v>
      </c>
      <c r="Z42" s="762">
        <f t="shared" si="24"/>
        <v>0</v>
      </c>
      <c r="AA42" s="762">
        <f t="shared" si="24"/>
        <v>0</v>
      </c>
      <c r="AB42" s="762">
        <f t="shared" si="24"/>
        <v>0</v>
      </c>
      <c r="AC42" s="763">
        <f t="shared" si="24"/>
        <v>0</v>
      </c>
      <c r="AD42" s="83"/>
      <c r="AE42" s="1"/>
    </row>
    <row r="43" spans="8:31" x14ac:dyDescent="0.3">
      <c r="I43" s="96"/>
      <c r="J43" s="456" t="s">
        <v>296</v>
      </c>
      <c r="L43" s="759">
        <f t="shared" ref="L43:L45" si="25">IFERROR(AVERAGEIF(N43:AC43,"&gt;0",N43:AC43),)</f>
        <v>0</v>
      </c>
      <c r="M43" s="760"/>
      <c r="N43" s="761">
        <f t="shared" ref="N43:AC45" si="26">N202</f>
        <v>0</v>
      </c>
      <c r="O43" s="762">
        <f t="shared" si="26"/>
        <v>0</v>
      </c>
      <c r="P43" s="762">
        <f t="shared" si="26"/>
        <v>0</v>
      </c>
      <c r="Q43" s="762">
        <f t="shared" si="26"/>
        <v>0</v>
      </c>
      <c r="R43" s="762">
        <f t="shared" si="26"/>
        <v>0</v>
      </c>
      <c r="S43" s="762">
        <f t="shared" si="26"/>
        <v>0</v>
      </c>
      <c r="T43" s="762">
        <f t="shared" si="26"/>
        <v>0</v>
      </c>
      <c r="U43" s="762">
        <f t="shared" si="26"/>
        <v>0</v>
      </c>
      <c r="V43" s="762">
        <f t="shared" si="26"/>
        <v>0</v>
      </c>
      <c r="W43" s="762">
        <f t="shared" si="26"/>
        <v>0</v>
      </c>
      <c r="X43" s="762">
        <f t="shared" si="26"/>
        <v>0</v>
      </c>
      <c r="Y43" s="762">
        <f t="shared" si="26"/>
        <v>0</v>
      </c>
      <c r="Z43" s="762">
        <f t="shared" si="26"/>
        <v>0</v>
      </c>
      <c r="AA43" s="762">
        <f t="shared" si="26"/>
        <v>0</v>
      </c>
      <c r="AB43" s="762">
        <f t="shared" si="26"/>
        <v>0</v>
      </c>
      <c r="AC43" s="763">
        <f t="shared" si="26"/>
        <v>0</v>
      </c>
      <c r="AD43" s="83"/>
      <c r="AE43" s="1"/>
    </row>
    <row r="44" spans="8:31" x14ac:dyDescent="0.3">
      <c r="I44" s="96"/>
      <c r="J44" s="456" t="s">
        <v>458</v>
      </c>
      <c r="L44" s="759">
        <f t="shared" si="25"/>
        <v>0</v>
      </c>
      <c r="M44" s="760"/>
      <c r="N44" s="761">
        <f t="shared" si="26"/>
        <v>0</v>
      </c>
      <c r="O44" s="762">
        <f t="shared" si="26"/>
        <v>0</v>
      </c>
      <c r="P44" s="762">
        <f t="shared" si="26"/>
        <v>0</v>
      </c>
      <c r="Q44" s="762">
        <f t="shared" si="26"/>
        <v>0</v>
      </c>
      <c r="R44" s="762">
        <f t="shared" si="26"/>
        <v>0</v>
      </c>
      <c r="S44" s="762">
        <f t="shared" si="26"/>
        <v>0</v>
      </c>
      <c r="T44" s="762">
        <f t="shared" si="26"/>
        <v>0</v>
      </c>
      <c r="U44" s="762">
        <f t="shared" si="26"/>
        <v>0</v>
      </c>
      <c r="V44" s="762">
        <f t="shared" si="26"/>
        <v>0</v>
      </c>
      <c r="W44" s="762">
        <f t="shared" si="26"/>
        <v>0</v>
      </c>
      <c r="X44" s="762">
        <f t="shared" si="26"/>
        <v>0</v>
      </c>
      <c r="Y44" s="762">
        <f t="shared" si="26"/>
        <v>0</v>
      </c>
      <c r="Z44" s="762">
        <f t="shared" si="26"/>
        <v>0</v>
      </c>
      <c r="AA44" s="762">
        <f t="shared" si="26"/>
        <v>0</v>
      </c>
      <c r="AB44" s="762">
        <f t="shared" si="26"/>
        <v>0</v>
      </c>
      <c r="AC44" s="763">
        <f t="shared" si="26"/>
        <v>0</v>
      </c>
      <c r="AD44" s="83"/>
      <c r="AE44" s="1"/>
    </row>
    <row r="45" spans="8:31" x14ac:dyDescent="0.3">
      <c r="I45" s="96"/>
      <c r="J45" s="456" t="s">
        <v>298</v>
      </c>
      <c r="L45" s="759">
        <f t="shared" si="25"/>
        <v>0</v>
      </c>
      <c r="M45" s="760"/>
      <c r="N45" s="761">
        <f t="shared" si="26"/>
        <v>0</v>
      </c>
      <c r="O45" s="762">
        <f t="shared" si="26"/>
        <v>0</v>
      </c>
      <c r="P45" s="762">
        <f t="shared" si="26"/>
        <v>0</v>
      </c>
      <c r="Q45" s="762">
        <f t="shared" si="26"/>
        <v>0</v>
      </c>
      <c r="R45" s="762">
        <f t="shared" si="26"/>
        <v>0</v>
      </c>
      <c r="S45" s="762">
        <f t="shared" si="26"/>
        <v>0</v>
      </c>
      <c r="T45" s="762">
        <f t="shared" si="26"/>
        <v>0</v>
      </c>
      <c r="U45" s="762">
        <f t="shared" si="26"/>
        <v>0</v>
      </c>
      <c r="V45" s="762">
        <f t="shared" si="26"/>
        <v>0</v>
      </c>
      <c r="W45" s="762">
        <f t="shared" si="26"/>
        <v>0</v>
      </c>
      <c r="X45" s="762">
        <f t="shared" si="26"/>
        <v>0</v>
      </c>
      <c r="Y45" s="762">
        <f t="shared" si="26"/>
        <v>0</v>
      </c>
      <c r="Z45" s="762">
        <f t="shared" si="26"/>
        <v>0</v>
      </c>
      <c r="AA45" s="762">
        <f t="shared" si="26"/>
        <v>0</v>
      </c>
      <c r="AB45" s="762">
        <f t="shared" si="26"/>
        <v>0</v>
      </c>
      <c r="AC45" s="763">
        <f t="shared" si="26"/>
        <v>0</v>
      </c>
      <c r="AD45" s="83"/>
      <c r="AE45" s="1"/>
    </row>
    <row r="46" spans="8:31" x14ac:dyDescent="0.3">
      <c r="I46" s="96"/>
      <c r="J46" s="97" t="s">
        <v>31</v>
      </c>
      <c r="L46" s="758">
        <f>IFERROR(AVERAGEIF(N46:AC46,"&lt;0",N46:AC46),)</f>
        <v>0</v>
      </c>
      <c r="M46" s="750"/>
      <c r="N46" s="751">
        <f>-N211</f>
        <v>0</v>
      </c>
      <c r="O46" s="752">
        <f>-O211</f>
        <v>0</v>
      </c>
      <c r="P46" s="752">
        <f t="shared" ref="P46:AC46" si="27">-P211</f>
        <v>0</v>
      </c>
      <c r="Q46" s="752">
        <f t="shared" si="27"/>
        <v>0</v>
      </c>
      <c r="R46" s="752">
        <f t="shared" si="27"/>
        <v>0</v>
      </c>
      <c r="S46" s="752">
        <f t="shared" si="27"/>
        <v>0</v>
      </c>
      <c r="T46" s="752">
        <f t="shared" si="27"/>
        <v>0</v>
      </c>
      <c r="U46" s="752">
        <f t="shared" si="27"/>
        <v>0</v>
      </c>
      <c r="V46" s="752">
        <f t="shared" si="27"/>
        <v>0</v>
      </c>
      <c r="W46" s="752">
        <f t="shared" si="27"/>
        <v>0</v>
      </c>
      <c r="X46" s="752">
        <f t="shared" si="27"/>
        <v>0</v>
      </c>
      <c r="Y46" s="752">
        <f t="shared" si="27"/>
        <v>0</v>
      </c>
      <c r="Z46" s="752">
        <f t="shared" si="27"/>
        <v>0</v>
      </c>
      <c r="AA46" s="752">
        <f t="shared" si="27"/>
        <v>0</v>
      </c>
      <c r="AB46" s="752">
        <f t="shared" si="27"/>
        <v>0</v>
      </c>
      <c r="AC46" s="753">
        <f t="shared" si="27"/>
        <v>0</v>
      </c>
      <c r="AD46" s="83"/>
      <c r="AE46" s="1"/>
    </row>
    <row r="47" spans="8:31" x14ac:dyDescent="0.3">
      <c r="I47" s="96"/>
      <c r="J47" s="97" t="s">
        <v>32</v>
      </c>
      <c r="L47" s="758">
        <f>IFERROR(AVERAGEIF(N47:AC47,"&gt;0",N47:AC47),)</f>
        <v>0</v>
      </c>
      <c r="M47" s="750"/>
      <c r="N47" s="751">
        <f>N206</f>
        <v>0</v>
      </c>
      <c r="O47" s="752">
        <f t="shared" ref="O47:AC47" si="28">O206</f>
        <v>0</v>
      </c>
      <c r="P47" s="752">
        <f t="shared" si="28"/>
        <v>0</v>
      </c>
      <c r="Q47" s="752">
        <f t="shared" si="28"/>
        <v>0</v>
      </c>
      <c r="R47" s="752">
        <f t="shared" si="28"/>
        <v>0</v>
      </c>
      <c r="S47" s="752">
        <f t="shared" si="28"/>
        <v>0</v>
      </c>
      <c r="T47" s="752">
        <f t="shared" si="28"/>
        <v>0</v>
      </c>
      <c r="U47" s="752">
        <f t="shared" si="28"/>
        <v>0</v>
      </c>
      <c r="V47" s="752">
        <f t="shared" si="28"/>
        <v>0</v>
      </c>
      <c r="W47" s="752">
        <f t="shared" si="28"/>
        <v>0</v>
      </c>
      <c r="X47" s="752">
        <f t="shared" si="28"/>
        <v>0</v>
      </c>
      <c r="Y47" s="752">
        <f t="shared" si="28"/>
        <v>0</v>
      </c>
      <c r="Z47" s="752">
        <f t="shared" si="28"/>
        <v>0</v>
      </c>
      <c r="AA47" s="752">
        <f t="shared" si="28"/>
        <v>0</v>
      </c>
      <c r="AB47" s="752">
        <f t="shared" si="28"/>
        <v>0</v>
      </c>
      <c r="AC47" s="753">
        <f t="shared" si="28"/>
        <v>0</v>
      </c>
      <c r="AD47" s="83"/>
      <c r="AE47" s="1"/>
    </row>
    <row r="48" spans="8:31" x14ac:dyDescent="0.3">
      <c r="I48" s="96"/>
      <c r="J48" s="97" t="s">
        <v>33</v>
      </c>
      <c r="L48" s="764">
        <f>IFERROR(AVERAGEIF(N48:AC48,"&gt;&lt;0",N48:AC48),)</f>
        <v>0</v>
      </c>
      <c r="M48" s="750"/>
      <c r="N48" s="765">
        <f>N205-N212</f>
        <v>0</v>
      </c>
      <c r="O48" s="766">
        <f t="shared" ref="O48:AC48" si="29">O205-O212</f>
        <v>0</v>
      </c>
      <c r="P48" s="766">
        <f t="shared" si="29"/>
        <v>0</v>
      </c>
      <c r="Q48" s="766">
        <f t="shared" si="29"/>
        <v>0</v>
      </c>
      <c r="R48" s="766">
        <f t="shared" si="29"/>
        <v>0</v>
      </c>
      <c r="S48" s="766">
        <f t="shared" si="29"/>
        <v>0</v>
      </c>
      <c r="T48" s="766">
        <f t="shared" si="29"/>
        <v>0</v>
      </c>
      <c r="U48" s="766">
        <f t="shared" si="29"/>
        <v>0</v>
      </c>
      <c r="V48" s="766">
        <f t="shared" si="29"/>
        <v>0</v>
      </c>
      <c r="W48" s="766">
        <f t="shared" si="29"/>
        <v>0</v>
      </c>
      <c r="X48" s="766">
        <f t="shared" si="29"/>
        <v>0</v>
      </c>
      <c r="Y48" s="766">
        <f t="shared" si="29"/>
        <v>0</v>
      </c>
      <c r="Z48" s="766">
        <f t="shared" si="29"/>
        <v>0</v>
      </c>
      <c r="AA48" s="766">
        <f t="shared" si="29"/>
        <v>0</v>
      </c>
      <c r="AB48" s="766">
        <f t="shared" si="29"/>
        <v>0</v>
      </c>
      <c r="AC48" s="767">
        <f t="shared" si="29"/>
        <v>0</v>
      </c>
      <c r="AD48" s="83"/>
      <c r="AE48" s="1"/>
    </row>
    <row r="49" spans="8:31" ht="15.75" x14ac:dyDescent="0.25">
      <c r="I49" s="38"/>
      <c r="J49" s="31" t="s">
        <v>34</v>
      </c>
      <c r="K49" s="98" t="str">
        <f>K297</f>
        <v>OK,Fully Amortized</v>
      </c>
      <c r="L49" s="768">
        <f>IFERROR(AVERAGEIF(N49:AC49,"&gt;0",N49:AC49),)</f>
        <v>0</v>
      </c>
      <c r="M49" s="750"/>
      <c r="N49" s="769">
        <f>N207</f>
        <v>0</v>
      </c>
      <c r="O49" s="770">
        <f t="shared" ref="O49:AC49" si="30">O207</f>
        <v>0</v>
      </c>
      <c r="P49" s="770">
        <f t="shared" si="30"/>
        <v>0</v>
      </c>
      <c r="Q49" s="770">
        <f t="shared" si="30"/>
        <v>0</v>
      </c>
      <c r="R49" s="770">
        <f t="shared" si="30"/>
        <v>0</v>
      </c>
      <c r="S49" s="770">
        <f t="shared" si="30"/>
        <v>0</v>
      </c>
      <c r="T49" s="770">
        <f t="shared" si="30"/>
        <v>0</v>
      </c>
      <c r="U49" s="770">
        <f t="shared" si="30"/>
        <v>0</v>
      </c>
      <c r="V49" s="770">
        <f t="shared" si="30"/>
        <v>0</v>
      </c>
      <c r="W49" s="770">
        <f t="shared" si="30"/>
        <v>0</v>
      </c>
      <c r="X49" s="770">
        <f t="shared" si="30"/>
        <v>0</v>
      </c>
      <c r="Y49" s="770">
        <f t="shared" si="30"/>
        <v>0</v>
      </c>
      <c r="Z49" s="770">
        <f t="shared" si="30"/>
        <v>0</v>
      </c>
      <c r="AA49" s="770">
        <f t="shared" si="30"/>
        <v>0</v>
      </c>
      <c r="AB49" s="770">
        <f t="shared" si="30"/>
        <v>0</v>
      </c>
      <c r="AC49" s="771">
        <f t="shared" si="30"/>
        <v>0</v>
      </c>
      <c r="AD49" s="83"/>
      <c r="AE49" s="1"/>
    </row>
    <row r="50" spans="8:31" thickBot="1" x14ac:dyDescent="0.3">
      <c r="I50" s="99"/>
      <c r="J50" s="31"/>
      <c r="K50" s="31"/>
      <c r="L50" s="100"/>
      <c r="N50" s="876"/>
      <c r="O50" s="877"/>
      <c r="P50" s="877"/>
      <c r="Q50" s="877"/>
      <c r="R50" s="877"/>
      <c r="S50" s="877"/>
      <c r="T50" s="877"/>
      <c r="U50" s="877"/>
      <c r="V50" s="877"/>
      <c r="W50" s="877"/>
      <c r="X50" s="877"/>
      <c r="Y50" s="877"/>
      <c r="Z50" s="877"/>
      <c r="AA50" s="877"/>
      <c r="AB50" s="877"/>
      <c r="AC50" s="878"/>
      <c r="AD50" s="1"/>
      <c r="AE50" s="1"/>
    </row>
    <row r="51" spans="8:31" ht="18" outlineLevel="1" x14ac:dyDescent="0.2">
      <c r="I51" s="104" t="s">
        <v>35</v>
      </c>
      <c r="J51" s="105" t="s">
        <v>36</v>
      </c>
      <c r="K51" s="105"/>
      <c r="L51" s="105" t="s">
        <v>8</v>
      </c>
      <c r="M51" s="106"/>
      <c r="N51" s="107">
        <f>N$11</f>
        <v>2024</v>
      </c>
      <c r="O51" s="107">
        <f t="shared" ref="O51:AC51" si="31">O$11</f>
        <v>2025</v>
      </c>
      <c r="P51" s="107">
        <f t="shared" si="31"/>
        <v>2026</v>
      </c>
      <c r="Q51" s="107">
        <f t="shared" si="31"/>
        <v>2027</v>
      </c>
      <c r="R51" s="107">
        <f t="shared" si="31"/>
        <v>2028</v>
      </c>
      <c r="S51" s="107">
        <f t="shared" si="31"/>
        <v>2029</v>
      </c>
      <c r="T51" s="107">
        <f t="shared" si="31"/>
        <v>2030</v>
      </c>
      <c r="U51" s="107">
        <f t="shared" si="31"/>
        <v>2031</v>
      </c>
      <c r="V51" s="107">
        <f t="shared" si="31"/>
        <v>2032</v>
      </c>
      <c r="W51" s="107">
        <f t="shared" si="31"/>
        <v>2033</v>
      </c>
      <c r="X51" s="107">
        <f t="shared" si="31"/>
        <v>2034</v>
      </c>
      <c r="Y51" s="107">
        <f t="shared" si="31"/>
        <v>2035</v>
      </c>
      <c r="Z51" s="107">
        <f t="shared" si="31"/>
        <v>2036</v>
      </c>
      <c r="AA51" s="107">
        <f t="shared" si="31"/>
        <v>2037</v>
      </c>
      <c r="AB51" s="107">
        <f t="shared" si="31"/>
        <v>2038</v>
      </c>
      <c r="AC51" s="107">
        <f t="shared" si="31"/>
        <v>2039</v>
      </c>
      <c r="AD51" s="1"/>
      <c r="AE51" s="1"/>
    </row>
    <row r="52" spans="8:31" ht="25.5" customHeight="1" outlineLevel="1" x14ac:dyDescent="0.4">
      <c r="I52" s="99">
        <v>1</v>
      </c>
      <c r="J52" s="39" t="s">
        <v>37</v>
      </c>
      <c r="K52" s="31"/>
      <c r="L52" s="108" t="s">
        <v>11</v>
      </c>
      <c r="N52" s="109"/>
      <c r="O52" s="110"/>
      <c r="P52" s="110"/>
      <c r="Q52" s="110"/>
      <c r="R52" s="110"/>
      <c r="S52" s="110"/>
      <c r="T52" s="110"/>
      <c r="U52" s="110"/>
      <c r="V52" s="110"/>
      <c r="W52" s="110"/>
      <c r="X52" s="110"/>
      <c r="Y52" s="110"/>
      <c r="Z52" s="110"/>
      <c r="AA52" s="110"/>
      <c r="AB52" s="110"/>
      <c r="AC52" s="111"/>
      <c r="AD52" s="1"/>
      <c r="AE52" s="1"/>
    </row>
    <row r="53" spans="8:31" ht="18.75" customHeight="1" outlineLevel="1" x14ac:dyDescent="0.25">
      <c r="H53" s="31"/>
      <c r="I53" s="99"/>
      <c r="J53" s="31" t="s">
        <v>38</v>
      </c>
      <c r="K53" s="38"/>
      <c r="L53" s="879">
        <f>SUM(N53:AC53)</f>
        <v>0</v>
      </c>
      <c r="N53" s="880">
        <f t="shared" ref="N53:AC53" si="32">N228</f>
        <v>0</v>
      </c>
      <c r="O53" s="881">
        <f t="shared" si="32"/>
        <v>0</v>
      </c>
      <c r="P53" s="881">
        <f t="shared" si="32"/>
        <v>0</v>
      </c>
      <c r="Q53" s="881">
        <f t="shared" si="32"/>
        <v>0</v>
      </c>
      <c r="R53" s="881">
        <f t="shared" si="32"/>
        <v>0</v>
      </c>
      <c r="S53" s="881">
        <f t="shared" si="32"/>
        <v>0</v>
      </c>
      <c r="T53" s="881">
        <f t="shared" si="32"/>
        <v>0</v>
      </c>
      <c r="U53" s="881">
        <f t="shared" si="32"/>
        <v>0</v>
      </c>
      <c r="V53" s="881">
        <f t="shared" si="32"/>
        <v>0</v>
      </c>
      <c r="W53" s="881">
        <f t="shared" si="32"/>
        <v>0</v>
      </c>
      <c r="X53" s="881">
        <f t="shared" si="32"/>
        <v>0</v>
      </c>
      <c r="Y53" s="881">
        <f t="shared" si="32"/>
        <v>0</v>
      </c>
      <c r="Z53" s="881">
        <f t="shared" si="32"/>
        <v>0</v>
      </c>
      <c r="AA53" s="881">
        <f t="shared" si="32"/>
        <v>0</v>
      </c>
      <c r="AB53" s="881">
        <f t="shared" si="32"/>
        <v>0</v>
      </c>
      <c r="AC53" s="882">
        <f t="shared" si="32"/>
        <v>0</v>
      </c>
      <c r="AD53" s="1"/>
      <c r="AE53" s="1"/>
    </row>
    <row r="54" spans="8:31" ht="18.75" customHeight="1" outlineLevel="1" x14ac:dyDescent="0.25">
      <c r="H54" s="31"/>
      <c r="I54" s="99"/>
      <c r="J54" s="31" t="s">
        <v>39</v>
      </c>
      <c r="K54" s="38"/>
      <c r="L54" s="749">
        <f>SUM(N54:AC54)</f>
        <v>0</v>
      </c>
      <c r="N54" s="751">
        <f t="shared" ref="N54:AC54" si="33">-N232</f>
        <v>0</v>
      </c>
      <c r="O54" s="752">
        <f t="shared" si="33"/>
        <v>0</v>
      </c>
      <c r="P54" s="752">
        <f t="shared" si="33"/>
        <v>0</v>
      </c>
      <c r="Q54" s="752">
        <f t="shared" si="33"/>
        <v>0</v>
      </c>
      <c r="R54" s="752">
        <f t="shared" si="33"/>
        <v>0</v>
      </c>
      <c r="S54" s="752">
        <f t="shared" si="33"/>
        <v>0</v>
      </c>
      <c r="T54" s="752">
        <f t="shared" si="33"/>
        <v>0</v>
      </c>
      <c r="U54" s="752">
        <f t="shared" si="33"/>
        <v>0</v>
      </c>
      <c r="V54" s="752">
        <f t="shared" si="33"/>
        <v>0</v>
      </c>
      <c r="W54" s="752">
        <f t="shared" si="33"/>
        <v>0</v>
      </c>
      <c r="X54" s="752">
        <f t="shared" si="33"/>
        <v>0</v>
      </c>
      <c r="Y54" s="752">
        <f t="shared" si="33"/>
        <v>0</v>
      </c>
      <c r="Z54" s="752">
        <f t="shared" si="33"/>
        <v>0</v>
      </c>
      <c r="AA54" s="752">
        <f t="shared" si="33"/>
        <v>0</v>
      </c>
      <c r="AB54" s="752">
        <f t="shared" si="33"/>
        <v>0</v>
      </c>
      <c r="AC54" s="753">
        <f t="shared" si="33"/>
        <v>0</v>
      </c>
      <c r="AD54" s="1"/>
      <c r="AE54" s="1"/>
    </row>
    <row r="55" spans="8:31" ht="18.75" customHeight="1" outlineLevel="1" x14ac:dyDescent="0.25">
      <c r="H55" s="31"/>
      <c r="I55" s="99"/>
      <c r="J55" s="31" t="s">
        <v>40</v>
      </c>
      <c r="K55" s="38"/>
      <c r="L55" s="883">
        <f>SUM(N55:AC55)</f>
        <v>0</v>
      </c>
      <c r="N55" s="884">
        <f t="shared" ref="N55:AC55" si="34">SUM(N53:N54)</f>
        <v>0</v>
      </c>
      <c r="O55" s="885">
        <f t="shared" si="34"/>
        <v>0</v>
      </c>
      <c r="P55" s="885">
        <f t="shared" si="34"/>
        <v>0</v>
      </c>
      <c r="Q55" s="885">
        <f t="shared" si="34"/>
        <v>0</v>
      </c>
      <c r="R55" s="885">
        <f t="shared" si="34"/>
        <v>0</v>
      </c>
      <c r="S55" s="885">
        <f t="shared" si="34"/>
        <v>0</v>
      </c>
      <c r="T55" s="885">
        <f t="shared" si="34"/>
        <v>0</v>
      </c>
      <c r="U55" s="885">
        <f t="shared" si="34"/>
        <v>0</v>
      </c>
      <c r="V55" s="885">
        <f t="shared" si="34"/>
        <v>0</v>
      </c>
      <c r="W55" s="885">
        <f t="shared" si="34"/>
        <v>0</v>
      </c>
      <c r="X55" s="885">
        <f t="shared" si="34"/>
        <v>0</v>
      </c>
      <c r="Y55" s="885">
        <f t="shared" si="34"/>
        <v>0</v>
      </c>
      <c r="Z55" s="885">
        <f t="shared" si="34"/>
        <v>0</v>
      </c>
      <c r="AA55" s="885">
        <f t="shared" si="34"/>
        <v>0</v>
      </c>
      <c r="AB55" s="885">
        <f t="shared" si="34"/>
        <v>0</v>
      </c>
      <c r="AC55" s="886">
        <f t="shared" si="34"/>
        <v>0</v>
      </c>
      <c r="AD55" s="1"/>
      <c r="AE55" s="1"/>
    </row>
    <row r="56" spans="8:31" ht="18.75" customHeight="1" outlineLevel="1" x14ac:dyDescent="0.25">
      <c r="H56" s="31"/>
      <c r="I56" s="99"/>
      <c r="J56" s="31" t="s">
        <v>41</v>
      </c>
      <c r="K56" s="38"/>
      <c r="L56" s="749">
        <f>AC56</f>
        <v>0</v>
      </c>
      <c r="N56" s="751">
        <f>SUM($N55:N55)</f>
        <v>0</v>
      </c>
      <c r="O56" s="752">
        <f>SUM($N55:O55)</f>
        <v>0</v>
      </c>
      <c r="P56" s="752">
        <f>SUM($N55:P55)</f>
        <v>0</v>
      </c>
      <c r="Q56" s="752">
        <f>SUM($N55:Q55)</f>
        <v>0</v>
      </c>
      <c r="R56" s="752">
        <f>SUM($N55:R55)</f>
        <v>0</v>
      </c>
      <c r="S56" s="752">
        <f>SUM($N55:S55)</f>
        <v>0</v>
      </c>
      <c r="T56" s="752">
        <f>SUM($N55:T55)</f>
        <v>0</v>
      </c>
      <c r="U56" s="752">
        <f>SUM($N55:U55)</f>
        <v>0</v>
      </c>
      <c r="V56" s="752">
        <f>SUM($N55:V55)</f>
        <v>0</v>
      </c>
      <c r="W56" s="752">
        <f>SUM($N55:W55)</f>
        <v>0</v>
      </c>
      <c r="X56" s="752">
        <f>SUM($N55:X55)</f>
        <v>0</v>
      </c>
      <c r="Y56" s="752">
        <f>SUM($N55:Y55)</f>
        <v>0</v>
      </c>
      <c r="Z56" s="752">
        <f>SUM($N55:Z55)</f>
        <v>0</v>
      </c>
      <c r="AA56" s="752">
        <f>SUM($N55:AA55)</f>
        <v>0</v>
      </c>
      <c r="AB56" s="752">
        <f>SUM($N55:AB55)</f>
        <v>0</v>
      </c>
      <c r="AC56" s="753">
        <f>SUM($N55:AC55)</f>
        <v>0</v>
      </c>
      <c r="AD56" s="1"/>
      <c r="AE56" s="1"/>
    </row>
    <row r="57" spans="8:31" ht="18.75" customHeight="1" outlineLevel="1" x14ac:dyDescent="0.25">
      <c r="H57" s="31"/>
      <c r="I57" s="99"/>
      <c r="J57" s="31" t="s">
        <v>42</v>
      </c>
      <c r="K57" s="38"/>
      <c r="L57" s="749">
        <f>AC57</f>
        <v>0</v>
      </c>
      <c r="N57" s="751">
        <f>N199</f>
        <v>0</v>
      </c>
      <c r="O57" s="752">
        <f t="shared" ref="O57:AC57" si="35">O199</f>
        <v>0</v>
      </c>
      <c r="P57" s="752">
        <f t="shared" si="35"/>
        <v>0</v>
      </c>
      <c r="Q57" s="752">
        <f t="shared" si="35"/>
        <v>0</v>
      </c>
      <c r="R57" s="752">
        <f t="shared" si="35"/>
        <v>0</v>
      </c>
      <c r="S57" s="752">
        <f t="shared" si="35"/>
        <v>0</v>
      </c>
      <c r="T57" s="752">
        <f t="shared" si="35"/>
        <v>0</v>
      </c>
      <c r="U57" s="752">
        <f t="shared" si="35"/>
        <v>0</v>
      </c>
      <c r="V57" s="752">
        <f t="shared" si="35"/>
        <v>0</v>
      </c>
      <c r="W57" s="752">
        <f t="shared" si="35"/>
        <v>0</v>
      </c>
      <c r="X57" s="752">
        <f t="shared" si="35"/>
        <v>0</v>
      </c>
      <c r="Y57" s="752">
        <f t="shared" si="35"/>
        <v>0</v>
      </c>
      <c r="Z57" s="752">
        <f t="shared" si="35"/>
        <v>0</v>
      </c>
      <c r="AA57" s="752">
        <f t="shared" si="35"/>
        <v>0</v>
      </c>
      <c r="AB57" s="752">
        <f t="shared" si="35"/>
        <v>0</v>
      </c>
      <c r="AC57" s="753">
        <f t="shared" si="35"/>
        <v>0</v>
      </c>
      <c r="AD57" s="1"/>
      <c r="AE57" s="1"/>
    </row>
    <row r="58" spans="8:31" ht="28.5" customHeight="1" outlineLevel="1" x14ac:dyDescent="0.4">
      <c r="H58" s="31"/>
      <c r="I58" s="99">
        <v>2</v>
      </c>
      <c r="J58" s="39" t="s">
        <v>43</v>
      </c>
      <c r="K58" s="38"/>
      <c r="L58" s="887"/>
      <c r="N58" s="888"/>
      <c r="O58" s="889"/>
      <c r="P58" s="889"/>
      <c r="Q58" s="889"/>
      <c r="R58" s="889"/>
      <c r="S58" s="889"/>
      <c r="T58" s="889"/>
      <c r="U58" s="889"/>
      <c r="V58" s="889"/>
      <c r="W58" s="889"/>
      <c r="X58" s="889"/>
      <c r="Y58" s="889"/>
      <c r="Z58" s="889"/>
      <c r="AA58" s="889"/>
      <c r="AB58" s="889"/>
      <c r="AC58" s="890"/>
      <c r="AD58" s="1"/>
      <c r="AE58" s="1"/>
    </row>
    <row r="59" spans="8:31" ht="18.75" customHeight="1" outlineLevel="1" x14ac:dyDescent="0.25">
      <c r="H59" s="31"/>
      <c r="I59" s="99"/>
      <c r="J59" s="31" t="s">
        <v>44</v>
      </c>
      <c r="K59" s="38" t="s">
        <v>45</v>
      </c>
      <c r="L59" s="879">
        <f>IFERROR(SUM(N59:AC59)/COUNTIF(N59:AC59,"&gt;10000"),0)</f>
        <v>0</v>
      </c>
      <c r="N59" s="880">
        <f t="shared" ref="N59:AC59" si="36">N288</f>
        <v>0</v>
      </c>
      <c r="O59" s="881">
        <f t="shared" si="36"/>
        <v>0</v>
      </c>
      <c r="P59" s="881">
        <f t="shared" si="36"/>
        <v>0</v>
      </c>
      <c r="Q59" s="881">
        <f t="shared" si="36"/>
        <v>0</v>
      </c>
      <c r="R59" s="881">
        <f t="shared" si="36"/>
        <v>0</v>
      </c>
      <c r="S59" s="881">
        <f t="shared" si="36"/>
        <v>0</v>
      </c>
      <c r="T59" s="881">
        <f t="shared" si="36"/>
        <v>0</v>
      </c>
      <c r="U59" s="881">
        <f t="shared" si="36"/>
        <v>0</v>
      </c>
      <c r="V59" s="881">
        <f t="shared" si="36"/>
        <v>0</v>
      </c>
      <c r="W59" s="881">
        <f t="shared" si="36"/>
        <v>0</v>
      </c>
      <c r="X59" s="881">
        <f t="shared" si="36"/>
        <v>0</v>
      </c>
      <c r="Y59" s="881">
        <f t="shared" si="36"/>
        <v>0</v>
      </c>
      <c r="Z59" s="881">
        <f t="shared" si="36"/>
        <v>0</v>
      </c>
      <c r="AA59" s="881">
        <f t="shared" si="36"/>
        <v>0</v>
      </c>
      <c r="AB59" s="881">
        <f t="shared" si="36"/>
        <v>0</v>
      </c>
      <c r="AC59" s="882">
        <f t="shared" si="36"/>
        <v>0</v>
      </c>
      <c r="AD59" s="1"/>
      <c r="AE59" s="1"/>
    </row>
    <row r="60" spans="8:31" ht="18.75" customHeight="1" outlineLevel="1" x14ac:dyDescent="0.25">
      <c r="H60" s="31"/>
      <c r="I60" s="99"/>
      <c r="J60" s="31" t="s">
        <v>46</v>
      </c>
      <c r="K60" s="38" t="s">
        <v>45</v>
      </c>
      <c r="L60" s="749">
        <f>IFERROR(SUM(N60:AC60)/COUNTIF(N60:AC60,"&gt;1000"),0)</f>
        <v>0</v>
      </c>
      <c r="N60" s="751">
        <f t="shared" ref="N60:AC60" si="37">N295</f>
        <v>0</v>
      </c>
      <c r="O60" s="752">
        <f t="shared" si="37"/>
        <v>0</v>
      </c>
      <c r="P60" s="752">
        <f t="shared" si="37"/>
        <v>0</v>
      </c>
      <c r="Q60" s="752">
        <f t="shared" si="37"/>
        <v>0</v>
      </c>
      <c r="R60" s="752">
        <f t="shared" si="37"/>
        <v>0</v>
      </c>
      <c r="S60" s="752">
        <f t="shared" si="37"/>
        <v>0</v>
      </c>
      <c r="T60" s="752">
        <f t="shared" si="37"/>
        <v>0</v>
      </c>
      <c r="U60" s="752">
        <f t="shared" si="37"/>
        <v>0</v>
      </c>
      <c r="V60" s="752">
        <f t="shared" si="37"/>
        <v>0</v>
      </c>
      <c r="W60" s="752">
        <f t="shared" si="37"/>
        <v>0</v>
      </c>
      <c r="X60" s="752">
        <f t="shared" si="37"/>
        <v>0</v>
      </c>
      <c r="Y60" s="752">
        <f t="shared" si="37"/>
        <v>0</v>
      </c>
      <c r="Z60" s="752">
        <f t="shared" si="37"/>
        <v>0</v>
      </c>
      <c r="AA60" s="752">
        <f t="shared" si="37"/>
        <v>0</v>
      </c>
      <c r="AB60" s="752">
        <f t="shared" si="37"/>
        <v>0</v>
      </c>
      <c r="AC60" s="753">
        <f t="shared" si="37"/>
        <v>0</v>
      </c>
      <c r="AD60" s="1"/>
      <c r="AE60" s="1"/>
    </row>
    <row r="61" spans="8:31" ht="18.75" customHeight="1" outlineLevel="1" thickBot="1" x14ac:dyDescent="0.3">
      <c r="H61" s="31"/>
      <c r="I61" s="99"/>
      <c r="J61" s="120" t="s">
        <v>47</v>
      </c>
      <c r="K61" s="38" t="s">
        <v>45</v>
      </c>
      <c r="L61" s="891">
        <f>IFERROR(SUM(N61:AC61)/COUNTIF(N61:AC61,"&gt;10000"),0)</f>
        <v>0</v>
      </c>
      <c r="N61" s="892">
        <f t="shared" ref="N61:AC61" si="38">N314</f>
        <v>0</v>
      </c>
      <c r="O61" s="893">
        <f t="shared" si="38"/>
        <v>0</v>
      </c>
      <c r="P61" s="893">
        <f t="shared" si="38"/>
        <v>0</v>
      </c>
      <c r="Q61" s="893">
        <f t="shared" si="38"/>
        <v>0</v>
      </c>
      <c r="R61" s="893">
        <f t="shared" si="38"/>
        <v>0</v>
      </c>
      <c r="S61" s="893">
        <f t="shared" si="38"/>
        <v>0</v>
      </c>
      <c r="T61" s="893">
        <f t="shared" si="38"/>
        <v>0</v>
      </c>
      <c r="U61" s="893">
        <f t="shared" si="38"/>
        <v>0</v>
      </c>
      <c r="V61" s="893">
        <f t="shared" si="38"/>
        <v>0</v>
      </c>
      <c r="W61" s="893">
        <f t="shared" si="38"/>
        <v>0</v>
      </c>
      <c r="X61" s="893">
        <f t="shared" si="38"/>
        <v>0</v>
      </c>
      <c r="Y61" s="893">
        <f t="shared" si="38"/>
        <v>0</v>
      </c>
      <c r="Z61" s="893">
        <f t="shared" si="38"/>
        <v>0</v>
      </c>
      <c r="AA61" s="893">
        <f t="shared" si="38"/>
        <v>0</v>
      </c>
      <c r="AB61" s="893">
        <f t="shared" si="38"/>
        <v>0</v>
      </c>
      <c r="AC61" s="894">
        <f t="shared" si="38"/>
        <v>0</v>
      </c>
      <c r="AD61" s="1"/>
      <c r="AE61" s="1"/>
    </row>
    <row r="62" spans="8:31" ht="28.5" customHeight="1" outlineLevel="1" thickTop="1" x14ac:dyDescent="0.4">
      <c r="H62" s="31"/>
      <c r="I62" s="99">
        <v>3</v>
      </c>
      <c r="J62" s="39" t="s">
        <v>48</v>
      </c>
      <c r="K62" s="38"/>
      <c r="L62" s="895"/>
      <c r="N62" s="896"/>
      <c r="O62" s="897"/>
      <c r="P62" s="897"/>
      <c r="Q62" s="897"/>
      <c r="R62" s="897"/>
      <c r="S62" s="897"/>
      <c r="T62" s="897"/>
      <c r="U62" s="897"/>
      <c r="V62" s="897"/>
      <c r="W62" s="897"/>
      <c r="X62" s="897"/>
      <c r="Y62" s="897"/>
      <c r="Z62" s="897"/>
      <c r="AA62" s="897"/>
      <c r="AB62" s="897"/>
      <c r="AC62" s="898"/>
      <c r="AD62" s="1"/>
      <c r="AE62" s="1"/>
    </row>
    <row r="63" spans="8:31" ht="18.75" customHeight="1" outlineLevel="1" x14ac:dyDescent="0.25">
      <c r="I63" s="99"/>
      <c r="J63" s="31" t="s">
        <v>49</v>
      </c>
      <c r="K63" s="125" t="s">
        <v>50</v>
      </c>
      <c r="L63" s="749">
        <f>SUM(N63:AC63)</f>
        <v>0</v>
      </c>
      <c r="N63" s="751" t="str">
        <f t="shared" ref="N63:AC64" si="39">IF(N101&lt;=0,"Nil",N101)</f>
        <v>Nil</v>
      </c>
      <c r="O63" s="752" t="str">
        <f t="shared" si="39"/>
        <v>Nil</v>
      </c>
      <c r="P63" s="752" t="str">
        <f t="shared" si="39"/>
        <v>Nil</v>
      </c>
      <c r="Q63" s="752" t="str">
        <f t="shared" si="39"/>
        <v>Nil</v>
      </c>
      <c r="R63" s="752" t="str">
        <f t="shared" si="39"/>
        <v>Nil</v>
      </c>
      <c r="S63" s="752" t="str">
        <f t="shared" si="39"/>
        <v>Nil</v>
      </c>
      <c r="T63" s="752" t="str">
        <f t="shared" si="39"/>
        <v>Nil</v>
      </c>
      <c r="U63" s="752" t="str">
        <f t="shared" si="39"/>
        <v>Nil</v>
      </c>
      <c r="V63" s="752" t="str">
        <f t="shared" si="39"/>
        <v>Nil</v>
      </c>
      <c r="W63" s="752" t="str">
        <f t="shared" si="39"/>
        <v>Nil</v>
      </c>
      <c r="X63" s="752" t="str">
        <f t="shared" si="39"/>
        <v>Nil</v>
      </c>
      <c r="Y63" s="752" t="str">
        <f t="shared" si="39"/>
        <v>Nil</v>
      </c>
      <c r="Z63" s="752" t="str">
        <f t="shared" si="39"/>
        <v>Nil</v>
      </c>
      <c r="AA63" s="752" t="str">
        <f t="shared" si="39"/>
        <v>Nil</v>
      </c>
      <c r="AB63" s="752" t="str">
        <f t="shared" si="39"/>
        <v>Nil</v>
      </c>
      <c r="AC63" s="753" t="str">
        <f t="shared" si="39"/>
        <v>Nil</v>
      </c>
      <c r="AD63" s="1"/>
      <c r="AE63" s="1"/>
    </row>
    <row r="64" spans="8:31" ht="18.75" customHeight="1" outlineLevel="1" x14ac:dyDescent="0.25">
      <c r="H64" s="31"/>
      <c r="I64" s="99"/>
      <c r="J64" s="31" t="s">
        <v>51</v>
      </c>
      <c r="K64" s="125" t="s">
        <v>52</v>
      </c>
      <c r="L64" s="749">
        <f>SUM(N64:AC64)</f>
        <v>0</v>
      </c>
      <c r="N64" s="751" t="str">
        <f t="shared" si="39"/>
        <v>Nil</v>
      </c>
      <c r="O64" s="752" t="str">
        <f t="shared" si="39"/>
        <v>Nil</v>
      </c>
      <c r="P64" s="752" t="str">
        <f t="shared" si="39"/>
        <v>Nil</v>
      </c>
      <c r="Q64" s="752" t="str">
        <f t="shared" si="39"/>
        <v>Nil</v>
      </c>
      <c r="R64" s="752" t="str">
        <f t="shared" si="39"/>
        <v>Nil</v>
      </c>
      <c r="S64" s="752" t="str">
        <f t="shared" si="39"/>
        <v>Nil</v>
      </c>
      <c r="T64" s="752" t="str">
        <f t="shared" si="39"/>
        <v>Nil</v>
      </c>
      <c r="U64" s="752" t="str">
        <f t="shared" si="39"/>
        <v>Nil</v>
      </c>
      <c r="V64" s="752" t="str">
        <f t="shared" si="39"/>
        <v>Nil</v>
      </c>
      <c r="W64" s="752" t="str">
        <f t="shared" si="39"/>
        <v>Nil</v>
      </c>
      <c r="X64" s="752" t="str">
        <f t="shared" si="39"/>
        <v>Nil</v>
      </c>
      <c r="Y64" s="752" t="str">
        <f t="shared" si="39"/>
        <v>Nil</v>
      </c>
      <c r="Z64" s="752" t="str">
        <f t="shared" si="39"/>
        <v>Nil</v>
      </c>
      <c r="AA64" s="752" t="str">
        <f t="shared" si="39"/>
        <v>Nil</v>
      </c>
      <c r="AB64" s="752" t="str">
        <f t="shared" si="39"/>
        <v>Nil</v>
      </c>
      <c r="AC64" s="753" t="str">
        <f t="shared" si="39"/>
        <v>Nil</v>
      </c>
      <c r="AD64" s="1"/>
      <c r="AE64" s="1"/>
    </row>
    <row r="65" spans="8:46" ht="18.75" customHeight="1" outlineLevel="1" thickBot="1" x14ac:dyDescent="0.3">
      <c r="H65" s="31"/>
      <c r="I65" s="99"/>
      <c r="J65" s="31" t="s">
        <v>53</v>
      </c>
      <c r="K65" s="126"/>
      <c r="L65" s="891">
        <f>SUM(N65:AC65)</f>
        <v>0</v>
      </c>
      <c r="N65" s="892">
        <f>SUM(N63:N64)</f>
        <v>0</v>
      </c>
      <c r="O65" s="893">
        <f t="shared" ref="O65:AC65" si="40">SUM(O63:O64)</f>
        <v>0</v>
      </c>
      <c r="P65" s="893">
        <f t="shared" si="40"/>
        <v>0</v>
      </c>
      <c r="Q65" s="893">
        <f t="shared" si="40"/>
        <v>0</v>
      </c>
      <c r="R65" s="893">
        <f t="shared" si="40"/>
        <v>0</v>
      </c>
      <c r="S65" s="893">
        <f t="shared" si="40"/>
        <v>0</v>
      </c>
      <c r="T65" s="893">
        <f t="shared" si="40"/>
        <v>0</v>
      </c>
      <c r="U65" s="893">
        <f t="shared" si="40"/>
        <v>0</v>
      </c>
      <c r="V65" s="893">
        <f t="shared" si="40"/>
        <v>0</v>
      </c>
      <c r="W65" s="893">
        <f t="shared" si="40"/>
        <v>0</v>
      </c>
      <c r="X65" s="893">
        <f t="shared" si="40"/>
        <v>0</v>
      </c>
      <c r="Y65" s="893">
        <f t="shared" si="40"/>
        <v>0</v>
      </c>
      <c r="Z65" s="893">
        <f t="shared" si="40"/>
        <v>0</v>
      </c>
      <c r="AA65" s="893">
        <f t="shared" si="40"/>
        <v>0</v>
      </c>
      <c r="AB65" s="893">
        <f t="shared" si="40"/>
        <v>0</v>
      </c>
      <c r="AC65" s="894">
        <f t="shared" si="40"/>
        <v>0</v>
      </c>
      <c r="AD65" s="1"/>
      <c r="AE65" s="1"/>
    </row>
    <row r="66" spans="8:46" ht="18" outlineLevel="1" thickTop="1" thickBot="1" x14ac:dyDescent="0.35">
      <c r="H66" s="31"/>
      <c r="I66" s="99"/>
      <c r="J66" s="127"/>
      <c r="K66" s="127"/>
      <c r="L66" s="128"/>
      <c r="N66" s="129"/>
      <c r="O66" s="130"/>
      <c r="P66" s="130"/>
      <c r="Q66" s="130"/>
      <c r="R66" s="130"/>
      <c r="S66" s="130"/>
      <c r="T66" s="130"/>
      <c r="U66" s="130"/>
      <c r="V66" s="130"/>
      <c r="W66" s="130"/>
      <c r="X66" s="130"/>
      <c r="Y66" s="130"/>
      <c r="Z66" s="130"/>
      <c r="AA66" s="130"/>
      <c r="AB66" s="130"/>
      <c r="AC66" s="131"/>
      <c r="AD66" s="1"/>
      <c r="AE66" s="1"/>
    </row>
    <row r="67" spans="8:46" ht="18.75" x14ac:dyDescent="0.2">
      <c r="I67" s="132">
        <v>2</v>
      </c>
      <c r="J67" s="33" t="s">
        <v>54</v>
      </c>
      <c r="K67" s="33"/>
      <c r="L67" s="33"/>
      <c r="N67" s="133">
        <f>N$11</f>
        <v>2024</v>
      </c>
      <c r="O67" s="133">
        <f t="shared" ref="O67:AC67" si="41">O$11</f>
        <v>2025</v>
      </c>
      <c r="P67" s="133">
        <f t="shared" si="41"/>
        <v>2026</v>
      </c>
      <c r="Q67" s="133">
        <f t="shared" si="41"/>
        <v>2027</v>
      </c>
      <c r="R67" s="133">
        <f t="shared" si="41"/>
        <v>2028</v>
      </c>
      <c r="S67" s="133">
        <f t="shared" si="41"/>
        <v>2029</v>
      </c>
      <c r="T67" s="133">
        <f t="shared" si="41"/>
        <v>2030</v>
      </c>
      <c r="U67" s="133">
        <f t="shared" si="41"/>
        <v>2031</v>
      </c>
      <c r="V67" s="133">
        <f t="shared" si="41"/>
        <v>2032</v>
      </c>
      <c r="W67" s="133">
        <f t="shared" si="41"/>
        <v>2033</v>
      </c>
      <c r="X67" s="133">
        <f t="shared" si="41"/>
        <v>2034</v>
      </c>
      <c r="Y67" s="133">
        <f t="shared" si="41"/>
        <v>2035</v>
      </c>
      <c r="Z67" s="133">
        <f t="shared" si="41"/>
        <v>2036</v>
      </c>
      <c r="AA67" s="133">
        <f t="shared" si="41"/>
        <v>2037</v>
      </c>
      <c r="AB67" s="133">
        <f t="shared" si="41"/>
        <v>2038</v>
      </c>
      <c r="AC67" s="133">
        <f t="shared" si="41"/>
        <v>2039</v>
      </c>
      <c r="AD67" s="1"/>
      <c r="AE67" s="519" t="s">
        <v>353</v>
      </c>
      <c r="AF67" s="520"/>
      <c r="AG67" s="520"/>
      <c r="AH67" s="520"/>
      <c r="AI67" s="1233" t="s">
        <v>365</v>
      </c>
      <c r="AJ67" s="1234"/>
      <c r="AK67" s="1234"/>
      <c r="AL67" s="1235"/>
      <c r="AM67" s="484"/>
      <c r="AN67" s="521" t="s">
        <v>360</v>
      </c>
      <c r="AO67" s="521"/>
      <c r="AP67" s="522"/>
      <c r="AQ67" s="523"/>
      <c r="AR67" s="521" t="s">
        <v>361</v>
      </c>
      <c r="AS67" s="521"/>
      <c r="AT67" s="522"/>
    </row>
    <row r="68" spans="8:46" ht="15.4" customHeight="1" x14ac:dyDescent="0.3">
      <c r="I68" s="99"/>
      <c r="J68" s="66"/>
      <c r="K68" s="134" t="s">
        <v>55</v>
      </c>
      <c r="L68" s="135"/>
      <c r="N68" s="66"/>
      <c r="O68" s="66"/>
      <c r="P68" s="66"/>
      <c r="Q68" s="66"/>
      <c r="R68" s="66"/>
      <c r="S68" s="66"/>
      <c r="T68" s="66"/>
      <c r="U68" s="66"/>
      <c r="V68" s="66"/>
      <c r="W68" s="66"/>
      <c r="X68" s="66"/>
      <c r="Y68" s="66"/>
      <c r="Z68" s="66"/>
      <c r="AA68" s="66"/>
      <c r="AB68" s="66"/>
      <c r="AC68" s="66"/>
      <c r="AD68" s="66"/>
      <c r="AE68" s="1236" t="s">
        <v>354</v>
      </c>
      <c r="AF68" s="1237"/>
      <c r="AG68" s="1237"/>
      <c r="AH68" s="1238"/>
      <c r="AI68" s="1242" t="s">
        <v>355</v>
      </c>
      <c r="AJ68" s="1243"/>
      <c r="AK68" s="1242" t="s">
        <v>366</v>
      </c>
      <c r="AL68" s="1246"/>
      <c r="AM68" s="485"/>
      <c r="AN68" s="1214" t="s">
        <v>362</v>
      </c>
      <c r="AO68" s="1214" t="s">
        <v>363</v>
      </c>
      <c r="AP68" s="1214" t="s">
        <v>364</v>
      </c>
      <c r="AQ68" s="524"/>
      <c r="AR68" s="1205" t="s">
        <v>329</v>
      </c>
      <c r="AS68" s="1205" t="s">
        <v>367</v>
      </c>
      <c r="AT68" s="1207" t="s">
        <v>368</v>
      </c>
    </row>
    <row r="69" spans="8:46" ht="19.5" customHeight="1" x14ac:dyDescent="0.25">
      <c r="I69" s="38" t="s">
        <v>9</v>
      </c>
      <c r="J69" s="136" t="s">
        <v>384</v>
      </c>
      <c r="K69" s="137" t="s">
        <v>56</v>
      </c>
      <c r="L69" s="772">
        <f>SUM(N69:AC69)</f>
        <v>0</v>
      </c>
      <c r="M69" s="750"/>
      <c r="N69" s="773">
        <f>SUM(N70,N73,N74)</f>
        <v>0</v>
      </c>
      <c r="O69" s="774">
        <f t="shared" ref="O69:AC69" si="42">SUM(O70,O73,O74)</f>
        <v>0</v>
      </c>
      <c r="P69" s="774">
        <f t="shared" si="42"/>
        <v>0</v>
      </c>
      <c r="Q69" s="774">
        <f t="shared" si="42"/>
        <v>0</v>
      </c>
      <c r="R69" s="774">
        <f t="shared" si="42"/>
        <v>0</v>
      </c>
      <c r="S69" s="774">
        <f t="shared" si="42"/>
        <v>0</v>
      </c>
      <c r="T69" s="774">
        <f t="shared" si="42"/>
        <v>0</v>
      </c>
      <c r="U69" s="774">
        <f t="shared" si="42"/>
        <v>0</v>
      </c>
      <c r="V69" s="774">
        <f t="shared" si="42"/>
        <v>0</v>
      </c>
      <c r="W69" s="774">
        <f t="shared" si="42"/>
        <v>0</v>
      </c>
      <c r="X69" s="774">
        <f t="shared" si="42"/>
        <v>0</v>
      </c>
      <c r="Y69" s="774">
        <f t="shared" si="42"/>
        <v>0</v>
      </c>
      <c r="Z69" s="774">
        <f t="shared" si="42"/>
        <v>0</v>
      </c>
      <c r="AA69" s="774">
        <f t="shared" si="42"/>
        <v>0</v>
      </c>
      <c r="AB69" s="774">
        <f t="shared" si="42"/>
        <v>0</v>
      </c>
      <c r="AC69" s="775">
        <f t="shared" si="42"/>
        <v>0</v>
      </c>
      <c r="AD69" s="1"/>
      <c r="AE69" s="1239"/>
      <c r="AF69" s="1240"/>
      <c r="AG69" s="1240"/>
      <c r="AH69" s="1241"/>
      <c r="AI69" s="1244"/>
      <c r="AJ69" s="1245"/>
      <c r="AK69" s="1244"/>
      <c r="AL69" s="1247"/>
      <c r="AM69" s="485"/>
      <c r="AN69" s="1215"/>
      <c r="AO69" s="1215"/>
      <c r="AP69" s="1215"/>
      <c r="AQ69" s="524"/>
      <c r="AR69" s="1206"/>
      <c r="AS69" s="1206"/>
      <c r="AT69" s="1208"/>
    </row>
    <row r="70" spans="8:46" ht="19.5" customHeight="1" thickBot="1" x14ac:dyDescent="0.3">
      <c r="I70" s="38" t="s">
        <v>22</v>
      </c>
      <c r="J70" s="138" t="s">
        <v>57</v>
      </c>
      <c r="K70" s="137" t="s">
        <v>56</v>
      </c>
      <c r="L70" s="776">
        <f>SUM(N70:AC70)</f>
        <v>0</v>
      </c>
      <c r="M70" s="750"/>
      <c r="N70" s="777">
        <f>SUM(N71:N72)</f>
        <v>0</v>
      </c>
      <c r="O70" s="778">
        <f t="shared" ref="O70:AC70" si="43">SUM(O71:O72)</f>
        <v>0</v>
      </c>
      <c r="P70" s="778">
        <f t="shared" si="43"/>
        <v>0</v>
      </c>
      <c r="Q70" s="778">
        <f t="shared" si="43"/>
        <v>0</v>
      </c>
      <c r="R70" s="778">
        <f t="shared" si="43"/>
        <v>0</v>
      </c>
      <c r="S70" s="778">
        <f t="shared" si="43"/>
        <v>0</v>
      </c>
      <c r="T70" s="778">
        <f t="shared" si="43"/>
        <v>0</v>
      </c>
      <c r="U70" s="778">
        <f t="shared" si="43"/>
        <v>0</v>
      </c>
      <c r="V70" s="778">
        <f t="shared" si="43"/>
        <v>0</v>
      </c>
      <c r="W70" s="778">
        <f t="shared" si="43"/>
        <v>0</v>
      </c>
      <c r="X70" s="778">
        <f t="shared" si="43"/>
        <v>0</v>
      </c>
      <c r="Y70" s="778">
        <f t="shared" si="43"/>
        <v>0</v>
      </c>
      <c r="Z70" s="778">
        <f t="shared" si="43"/>
        <v>0</v>
      </c>
      <c r="AA70" s="778">
        <f t="shared" si="43"/>
        <v>0</v>
      </c>
      <c r="AB70" s="778">
        <f t="shared" si="43"/>
        <v>0</v>
      </c>
      <c r="AC70" s="779">
        <f t="shared" si="43"/>
        <v>0</v>
      </c>
      <c r="AD70" s="1"/>
      <c r="AE70" s="1216"/>
      <c r="AF70" s="1217"/>
      <c r="AG70" s="1218"/>
      <c r="AH70" s="1209" t="s">
        <v>356</v>
      </c>
      <c r="AI70" s="486" t="s">
        <v>330</v>
      </c>
      <c r="AJ70" s="487" t="s">
        <v>331</v>
      </c>
      <c r="AK70" s="486" t="s">
        <v>330</v>
      </c>
      <c r="AL70" s="487" t="s">
        <v>331</v>
      </c>
      <c r="AM70" s="463"/>
      <c r="AN70" s="1215"/>
      <c r="AO70" s="1215"/>
      <c r="AP70" s="1215"/>
      <c r="AQ70" s="524"/>
      <c r="AR70" s="1206"/>
      <c r="AS70" s="1206"/>
      <c r="AT70" s="1208"/>
    </row>
    <row r="71" spans="8:46" ht="19.5" customHeight="1" thickBot="1" x14ac:dyDescent="0.3">
      <c r="I71" s="38" t="s">
        <v>58</v>
      </c>
      <c r="J71" s="139" t="s">
        <v>59</v>
      </c>
      <c r="K71" s="137"/>
      <c r="L71" s="776">
        <f t="shared" ref="L71:L75" si="44">SUM(N71:AC71)</f>
        <v>0</v>
      </c>
      <c r="M71" s="750"/>
      <c r="N71" s="1011"/>
      <c r="O71" s="1012"/>
      <c r="P71" s="1012"/>
      <c r="Q71" s="1012"/>
      <c r="R71" s="1012"/>
      <c r="S71" s="1012"/>
      <c r="T71" s="1012"/>
      <c r="U71" s="1012"/>
      <c r="V71" s="1012"/>
      <c r="W71" s="1012"/>
      <c r="X71" s="1013"/>
      <c r="Y71" s="1013"/>
      <c r="Z71" s="1013"/>
      <c r="AA71" s="1013"/>
      <c r="AB71" s="1013"/>
      <c r="AC71" s="1014"/>
      <c r="AD71" s="1"/>
      <c r="AE71" s="1219" t="s">
        <v>357</v>
      </c>
      <c r="AF71" s="1220"/>
      <c r="AG71" s="1220"/>
      <c r="AH71" s="1210"/>
      <c r="AI71" s="489" t="s">
        <v>332</v>
      </c>
      <c r="AJ71" s="490"/>
      <c r="AK71" s="525" t="s">
        <v>369</v>
      </c>
      <c r="AL71" s="490"/>
      <c r="AM71" s="463"/>
      <c r="AN71" s="463"/>
      <c r="AO71" s="463"/>
      <c r="AP71" s="491"/>
      <c r="AQ71" s="516"/>
      <c r="AT71" s="351"/>
    </row>
    <row r="72" spans="8:46" ht="19.5" customHeight="1" x14ac:dyDescent="0.25">
      <c r="I72" s="38" t="s">
        <v>60</v>
      </c>
      <c r="J72" s="139" t="s">
        <v>61</v>
      </c>
      <c r="K72" s="137"/>
      <c r="L72" s="776">
        <f t="shared" si="44"/>
        <v>0</v>
      </c>
      <c r="M72" s="750"/>
      <c r="N72" s="1015"/>
      <c r="O72" s="1016"/>
      <c r="P72" s="1016"/>
      <c r="Q72" s="1016"/>
      <c r="R72" s="1016"/>
      <c r="S72" s="1016"/>
      <c r="T72" s="1016"/>
      <c r="U72" s="1016"/>
      <c r="V72" s="1016"/>
      <c r="W72" s="1016"/>
      <c r="X72" s="1016"/>
      <c r="Y72" s="1016"/>
      <c r="Z72" s="1016"/>
      <c r="AA72" s="1016"/>
      <c r="AB72" s="1016"/>
      <c r="AC72" s="1017"/>
      <c r="AD72" s="1"/>
      <c r="AE72" s="1248" t="s">
        <v>358</v>
      </c>
      <c r="AF72" s="1249"/>
      <c r="AG72" s="1249"/>
      <c r="AH72" s="492">
        <v>44927</v>
      </c>
      <c r="AI72" s="494">
        <v>0.1</v>
      </c>
      <c r="AJ72" s="493">
        <f>AI72*$AJ$71</f>
        <v>0</v>
      </c>
      <c r="AK72" s="494"/>
      <c r="AL72" s="495">
        <f>AK72*$AL$71</f>
        <v>0</v>
      </c>
      <c r="AM72" s="463"/>
      <c r="AN72" s="496">
        <f>MAX(YEAR(AH72),AN71)</f>
        <v>2023</v>
      </c>
      <c r="AO72" s="497">
        <f t="shared" ref="AO72:AO87" si="45">AJ72+AL72</f>
        <v>0</v>
      </c>
      <c r="AP72" s="498">
        <f>SUM(AO$71:AO72)</f>
        <v>0</v>
      </c>
      <c r="AQ72" s="516"/>
      <c r="AR72" s="496">
        <f>AN72</f>
        <v>2023</v>
      </c>
      <c r="AS72" s="497">
        <f>SUMIF($AN$72:$AN$88,AR72,$AO$72:$AO$88)+AS71</f>
        <v>0</v>
      </c>
      <c r="AT72" s="498">
        <f>IFERROR(IF(MATCH(AR72,$AN$72:$AN$87,0)&gt;0,MIN(_xlfn.MINIFS($AP$72:$AP$88,$AN$72:$AN$88,AR72)-IF(AS72&lt;0,AS72,0),0),0),0)</f>
        <v>0</v>
      </c>
    </row>
    <row r="73" spans="8:46" ht="19.5" customHeight="1" x14ac:dyDescent="0.25">
      <c r="I73" s="536" t="s">
        <v>349</v>
      </c>
      <c r="J73" s="138" t="s">
        <v>376</v>
      </c>
      <c r="K73" s="137" t="s">
        <v>377</v>
      </c>
      <c r="L73" s="776">
        <f t="shared" si="44"/>
        <v>0</v>
      </c>
      <c r="M73" s="750"/>
      <c r="N73" s="1018">
        <f>-IF(N142&lt;0,N142,0)</f>
        <v>0</v>
      </c>
      <c r="O73" s="1019">
        <f t="shared" ref="O73:AC73" si="46">-IF(O142&lt;0,O142,0)</f>
        <v>0</v>
      </c>
      <c r="P73" s="1019">
        <f t="shared" si="46"/>
        <v>0</v>
      </c>
      <c r="Q73" s="1019">
        <f t="shared" si="46"/>
        <v>0</v>
      </c>
      <c r="R73" s="1019">
        <f t="shared" si="46"/>
        <v>0</v>
      </c>
      <c r="S73" s="1019">
        <f t="shared" si="46"/>
        <v>0</v>
      </c>
      <c r="T73" s="1019">
        <f t="shared" si="46"/>
        <v>0</v>
      </c>
      <c r="U73" s="1019">
        <f t="shared" si="46"/>
        <v>0</v>
      </c>
      <c r="V73" s="1019">
        <f t="shared" si="46"/>
        <v>0</v>
      </c>
      <c r="W73" s="1019">
        <f t="shared" si="46"/>
        <v>0</v>
      </c>
      <c r="X73" s="1019">
        <f t="shared" si="46"/>
        <v>0</v>
      </c>
      <c r="Y73" s="1019">
        <f t="shared" si="46"/>
        <v>0</v>
      </c>
      <c r="Z73" s="1019">
        <f t="shared" si="46"/>
        <v>0</v>
      </c>
      <c r="AA73" s="1019">
        <f t="shared" si="46"/>
        <v>0</v>
      </c>
      <c r="AB73" s="1019">
        <f t="shared" si="46"/>
        <v>0</v>
      </c>
      <c r="AC73" s="1020">
        <f t="shared" si="46"/>
        <v>0</v>
      </c>
      <c r="AD73" s="1"/>
      <c r="AE73" s="1211" t="s">
        <v>359</v>
      </c>
      <c r="AF73" s="1212"/>
      <c r="AG73" s="1213"/>
      <c r="AH73" s="492">
        <v>45292</v>
      </c>
      <c r="AI73" s="499">
        <f>40%-AI72</f>
        <v>0.30000000000000004</v>
      </c>
      <c r="AJ73" s="493">
        <f t="shared" ref="AJ73:AJ79" si="47">AI73*$AJ$71</f>
        <v>0</v>
      </c>
      <c r="AK73" s="494"/>
      <c r="AL73" s="495">
        <f t="shared" ref="AL73:AL79" si="48">AK73*$AL$71</f>
        <v>0</v>
      </c>
      <c r="AM73" s="463"/>
      <c r="AN73" s="496">
        <f>MAX(YEAR(AH73),AN72)</f>
        <v>2024</v>
      </c>
      <c r="AO73" s="497">
        <f t="shared" si="45"/>
        <v>0</v>
      </c>
      <c r="AP73" s="498">
        <f>SUM(AO$71:AO73)</f>
        <v>0</v>
      </c>
      <c r="AR73" s="496">
        <f>AR72+1</f>
        <v>2024</v>
      </c>
      <c r="AS73" s="497">
        <f t="shared" ref="AS73:AS87" si="49">SUMIF($AN$72:$AN$88,AR73,$AO$72:$AO$88)+AS72</f>
        <v>0</v>
      </c>
      <c r="AT73" s="498">
        <f t="shared" ref="AT73:AT87" si="50">IFERROR(IF(MATCH(AR73,$AN$72:$AN$87,0)&gt;0,MIN(_xlfn.MINIFS($AP$72:$AP$88,$AN$72:$AN$88,AR73)-IF(AS73&lt;0,AS73,0),0),0),0)</f>
        <v>0</v>
      </c>
    </row>
    <row r="74" spans="8:46" ht="19.5" customHeight="1" x14ac:dyDescent="0.25">
      <c r="I74" s="536" t="s">
        <v>350</v>
      </c>
      <c r="J74" s="138" t="s">
        <v>378</v>
      </c>
      <c r="K74" s="137" t="s">
        <v>56</v>
      </c>
      <c r="L74" s="783">
        <f>SUM(N74:AC74)</f>
        <v>0</v>
      </c>
      <c r="M74" s="750"/>
      <c r="N74" s="1021">
        <f>-K131</f>
        <v>0</v>
      </c>
      <c r="O74" s="1022"/>
      <c r="P74" s="1022"/>
      <c r="Q74" s="1022"/>
      <c r="R74" s="1022"/>
      <c r="S74" s="1022"/>
      <c r="T74" s="1022"/>
      <c r="U74" s="1022"/>
      <c r="V74" s="1022"/>
      <c r="W74" s="1022"/>
      <c r="X74" s="1023"/>
      <c r="Y74" s="1023"/>
      <c r="Z74" s="1023"/>
      <c r="AA74" s="1023"/>
      <c r="AB74" s="1023"/>
      <c r="AC74" s="1024"/>
      <c r="AD74" s="1"/>
      <c r="AE74" s="1211" t="s">
        <v>333</v>
      </c>
      <c r="AF74" s="1212"/>
      <c r="AG74" s="1213"/>
      <c r="AH74" s="500">
        <v>45383</v>
      </c>
      <c r="AI74" s="499">
        <v>0.2</v>
      </c>
      <c r="AJ74" s="493">
        <f t="shared" si="47"/>
        <v>0</v>
      </c>
      <c r="AK74" s="494"/>
      <c r="AL74" s="495">
        <f t="shared" si="48"/>
        <v>0</v>
      </c>
      <c r="AM74" s="463"/>
      <c r="AN74" s="496">
        <f t="shared" ref="AN74:AN79" si="51">MAX(YEAR(AH74),AN73)</f>
        <v>2024</v>
      </c>
      <c r="AO74" s="497">
        <f t="shared" si="45"/>
        <v>0</v>
      </c>
      <c r="AP74" s="498">
        <f>SUM(AO$71:AO74)</f>
        <v>0</v>
      </c>
      <c r="AQ74" s="516"/>
      <c r="AR74" s="496">
        <f t="shared" ref="AR74:AR87" si="52">AR73+1</f>
        <v>2025</v>
      </c>
      <c r="AS74" s="497">
        <f t="shared" si="49"/>
        <v>0</v>
      </c>
      <c r="AT74" s="498">
        <f t="shared" si="50"/>
        <v>0</v>
      </c>
    </row>
    <row r="75" spans="8:46" ht="19.5" customHeight="1" x14ac:dyDescent="0.25">
      <c r="I75" s="536" t="s">
        <v>62</v>
      </c>
      <c r="J75" s="138" t="s">
        <v>63</v>
      </c>
      <c r="K75" s="137" t="s">
        <v>56</v>
      </c>
      <c r="L75" s="784">
        <f t="shared" si="44"/>
        <v>0</v>
      </c>
      <c r="M75" s="750"/>
      <c r="N75" s="1025"/>
      <c r="O75" s="1026"/>
      <c r="P75" s="1026"/>
      <c r="Q75" s="1026"/>
      <c r="R75" s="1026"/>
      <c r="S75" s="1026"/>
      <c r="T75" s="1026"/>
      <c r="U75" s="1026"/>
      <c r="V75" s="1026"/>
      <c r="W75" s="1026"/>
      <c r="X75" s="1026"/>
      <c r="Y75" s="1026"/>
      <c r="Z75" s="1026"/>
      <c r="AA75" s="1026"/>
      <c r="AB75" s="1026"/>
      <c r="AC75" s="1027"/>
      <c r="AD75" s="1"/>
      <c r="AE75" s="1211" t="s">
        <v>334</v>
      </c>
      <c r="AF75" s="1212"/>
      <c r="AG75" s="1213"/>
      <c r="AH75" s="500">
        <v>45383</v>
      </c>
      <c r="AI75" s="499">
        <v>0.2</v>
      </c>
      <c r="AJ75" s="493">
        <f t="shared" si="47"/>
        <v>0</v>
      </c>
      <c r="AK75" s="494"/>
      <c r="AL75" s="495">
        <f t="shared" si="48"/>
        <v>0</v>
      </c>
      <c r="AM75" s="463"/>
      <c r="AN75" s="496">
        <f t="shared" si="51"/>
        <v>2024</v>
      </c>
      <c r="AO75" s="497">
        <f t="shared" si="45"/>
        <v>0</v>
      </c>
      <c r="AP75" s="498">
        <f>SUM(AO$71:AO75)</f>
        <v>0</v>
      </c>
      <c r="AQ75" s="516"/>
      <c r="AR75" s="496">
        <f t="shared" si="52"/>
        <v>2026</v>
      </c>
      <c r="AS75" s="497">
        <f t="shared" si="49"/>
        <v>0</v>
      </c>
      <c r="AT75" s="498">
        <f t="shared" si="50"/>
        <v>0</v>
      </c>
    </row>
    <row r="76" spans="8:46" x14ac:dyDescent="0.25">
      <c r="I76" s="140"/>
      <c r="J76" s="110"/>
      <c r="K76" s="141"/>
      <c r="L76" s="141"/>
      <c r="N76" s="142"/>
      <c r="O76" s="142"/>
      <c r="P76" s="142"/>
      <c r="Q76" s="142"/>
      <c r="R76" s="142"/>
      <c r="S76" s="142"/>
      <c r="T76" s="142"/>
      <c r="U76" s="142"/>
      <c r="V76" s="142"/>
      <c r="W76" s="142"/>
      <c r="X76" s="142"/>
      <c r="Y76" s="142"/>
      <c r="Z76" s="142"/>
      <c r="AA76" s="142"/>
      <c r="AB76" s="142"/>
      <c r="AC76" s="142"/>
      <c r="AD76" s="1"/>
      <c r="AE76" s="1211" t="s">
        <v>335</v>
      </c>
      <c r="AF76" s="1212"/>
      <c r="AG76" s="1213"/>
      <c r="AH76" s="500">
        <v>45536</v>
      </c>
      <c r="AI76" s="499">
        <v>0.2</v>
      </c>
      <c r="AJ76" s="493">
        <f t="shared" si="47"/>
        <v>0</v>
      </c>
      <c r="AK76" s="494"/>
      <c r="AL76" s="495">
        <f t="shared" si="48"/>
        <v>0</v>
      </c>
      <c r="AM76" s="463"/>
      <c r="AN76" s="496">
        <f t="shared" si="51"/>
        <v>2024</v>
      </c>
      <c r="AO76" s="497">
        <f t="shared" si="45"/>
        <v>0</v>
      </c>
      <c r="AP76" s="498">
        <f>SUM(AO$71:AO76)</f>
        <v>0</v>
      </c>
      <c r="AQ76" s="516"/>
      <c r="AR76" s="496">
        <f t="shared" si="52"/>
        <v>2027</v>
      </c>
      <c r="AS76" s="497">
        <f t="shared" si="49"/>
        <v>0</v>
      </c>
      <c r="AT76" s="498">
        <f t="shared" si="50"/>
        <v>0</v>
      </c>
    </row>
    <row r="77" spans="8:46" ht="18" x14ac:dyDescent="0.4">
      <c r="I77" s="38"/>
      <c r="J77" s="143" t="s">
        <v>64</v>
      </c>
      <c r="K77" s="144"/>
      <c r="L77" s="135" t="s">
        <v>65</v>
      </c>
      <c r="N77" s="110"/>
      <c r="O77" s="110"/>
      <c r="P77" s="110"/>
      <c r="Q77" s="110"/>
      <c r="R77" s="110"/>
      <c r="S77" s="110"/>
      <c r="T77" s="110"/>
      <c r="U77" s="110"/>
      <c r="V77" s="110"/>
      <c r="W77" s="110"/>
      <c r="X77" s="110"/>
      <c r="Y77" s="110"/>
      <c r="Z77" s="110"/>
      <c r="AA77" s="110"/>
      <c r="AB77" s="110"/>
      <c r="AC77" s="110"/>
      <c r="AD77" s="1"/>
      <c r="AE77" s="1211" t="s">
        <v>336</v>
      </c>
      <c r="AF77" s="1212"/>
      <c r="AG77" s="1213"/>
      <c r="AH77" s="500">
        <v>45536</v>
      </c>
      <c r="AI77" s="499">
        <v>0</v>
      </c>
      <c r="AJ77" s="493">
        <f t="shared" si="47"/>
        <v>0</v>
      </c>
      <c r="AK77" s="494"/>
      <c r="AL77" s="495">
        <f t="shared" si="48"/>
        <v>0</v>
      </c>
      <c r="AM77" s="463"/>
      <c r="AN77" s="496">
        <f t="shared" si="51"/>
        <v>2024</v>
      </c>
      <c r="AO77" s="497">
        <f t="shared" si="45"/>
        <v>0</v>
      </c>
      <c r="AP77" s="498">
        <f>SUM(AO$71:AO77)</f>
        <v>0</v>
      </c>
      <c r="AQ77" s="516"/>
      <c r="AR77" s="496">
        <f t="shared" si="52"/>
        <v>2028</v>
      </c>
      <c r="AS77" s="497">
        <f t="shared" si="49"/>
        <v>0</v>
      </c>
      <c r="AT77" s="498">
        <f t="shared" si="50"/>
        <v>0</v>
      </c>
    </row>
    <row r="78" spans="8:46" x14ac:dyDescent="0.25">
      <c r="I78" s="38" t="s">
        <v>66</v>
      </c>
      <c r="J78" s="97" t="s">
        <v>444</v>
      </c>
      <c r="K78" s="137"/>
      <c r="N78" s="145">
        <v>1</v>
      </c>
      <c r="O78" s="531">
        <f>ROUND((13-$L$12)*365/12,0)</f>
        <v>213</v>
      </c>
      <c r="P78" s="146">
        <v>365</v>
      </c>
      <c r="Q78" s="146">
        <f t="shared" ref="Q78:AC85" si="53">P78</f>
        <v>365</v>
      </c>
      <c r="R78" s="146">
        <f t="shared" si="53"/>
        <v>365</v>
      </c>
      <c r="S78" s="146">
        <f t="shared" si="53"/>
        <v>365</v>
      </c>
      <c r="T78" s="146">
        <f t="shared" si="53"/>
        <v>365</v>
      </c>
      <c r="U78" s="146">
        <f t="shared" si="53"/>
        <v>365</v>
      </c>
      <c r="V78" s="146">
        <f t="shared" si="53"/>
        <v>365</v>
      </c>
      <c r="W78" s="146">
        <f t="shared" si="53"/>
        <v>365</v>
      </c>
      <c r="X78" s="146">
        <f t="shared" si="53"/>
        <v>365</v>
      </c>
      <c r="Y78" s="146">
        <f t="shared" si="53"/>
        <v>365</v>
      </c>
      <c r="Z78" s="146">
        <f t="shared" si="53"/>
        <v>365</v>
      </c>
      <c r="AA78" s="146">
        <f t="shared" si="53"/>
        <v>365</v>
      </c>
      <c r="AB78" s="146">
        <f t="shared" si="53"/>
        <v>365</v>
      </c>
      <c r="AC78" s="147">
        <f t="shared" si="53"/>
        <v>365</v>
      </c>
      <c r="AD78" s="1"/>
      <c r="AE78" s="1211" t="s">
        <v>337</v>
      </c>
      <c r="AF78" s="1212"/>
      <c r="AG78" s="1213"/>
      <c r="AH78" s="500"/>
      <c r="AI78" s="501"/>
      <c r="AJ78" s="493">
        <f t="shared" si="47"/>
        <v>0</v>
      </c>
      <c r="AK78" s="494"/>
      <c r="AL78" s="495">
        <f t="shared" si="48"/>
        <v>0</v>
      </c>
      <c r="AM78" s="463"/>
      <c r="AN78" s="496">
        <f t="shared" si="51"/>
        <v>2024</v>
      </c>
      <c r="AO78" s="497">
        <f t="shared" si="45"/>
        <v>0</v>
      </c>
      <c r="AP78" s="498">
        <f>SUM(AO$71:AO78)</f>
        <v>0</v>
      </c>
      <c r="AQ78" s="516"/>
      <c r="AR78" s="496">
        <f t="shared" si="52"/>
        <v>2029</v>
      </c>
      <c r="AS78" s="497">
        <f t="shared" si="49"/>
        <v>0</v>
      </c>
      <c r="AT78" s="498">
        <f t="shared" si="50"/>
        <v>0</v>
      </c>
    </row>
    <row r="79" spans="8:46" ht="17.25" thickBot="1" x14ac:dyDescent="0.3">
      <c r="I79" s="38" t="s">
        <v>67</v>
      </c>
      <c r="J79" s="97" t="s">
        <v>68</v>
      </c>
      <c r="K79" s="137" t="s">
        <v>56</v>
      </c>
      <c r="L79" s="149">
        <f>IFERROR(AVERAGEIF(N79:AC79,"&gt;0.001",N79:AC79),)</f>
        <v>0</v>
      </c>
      <c r="N79" s="150"/>
      <c r="O79" s="151">
        <f>N79</f>
        <v>0</v>
      </c>
      <c r="P79" s="151">
        <f>O79</f>
        <v>0</v>
      </c>
      <c r="Q79" s="151">
        <f t="shared" si="53"/>
        <v>0</v>
      </c>
      <c r="R79" s="151">
        <f t="shared" si="53"/>
        <v>0</v>
      </c>
      <c r="S79" s="151">
        <f t="shared" si="53"/>
        <v>0</v>
      </c>
      <c r="T79" s="151">
        <f t="shared" si="53"/>
        <v>0</v>
      </c>
      <c r="U79" s="151">
        <f t="shared" si="53"/>
        <v>0</v>
      </c>
      <c r="V79" s="151">
        <f t="shared" si="53"/>
        <v>0</v>
      </c>
      <c r="W79" s="151">
        <f t="shared" si="53"/>
        <v>0</v>
      </c>
      <c r="X79" s="151">
        <f t="shared" si="53"/>
        <v>0</v>
      </c>
      <c r="Y79" s="151">
        <f t="shared" si="53"/>
        <v>0</v>
      </c>
      <c r="Z79" s="151">
        <f t="shared" si="53"/>
        <v>0</v>
      </c>
      <c r="AA79" s="151">
        <f t="shared" si="53"/>
        <v>0</v>
      </c>
      <c r="AB79" s="151">
        <f t="shared" si="53"/>
        <v>0</v>
      </c>
      <c r="AC79" s="152">
        <f t="shared" si="53"/>
        <v>0</v>
      </c>
      <c r="AD79" s="1"/>
      <c r="AE79" s="1221" t="s">
        <v>338</v>
      </c>
      <c r="AF79" s="1222"/>
      <c r="AG79" s="1223"/>
      <c r="AH79" s="502"/>
      <c r="AI79" s="503"/>
      <c r="AJ79" s="493">
        <f t="shared" si="47"/>
        <v>0</v>
      </c>
      <c r="AK79" s="494"/>
      <c r="AL79" s="495">
        <f t="shared" si="48"/>
        <v>0</v>
      </c>
      <c r="AM79" s="463"/>
      <c r="AN79" s="496">
        <f t="shared" si="51"/>
        <v>2024</v>
      </c>
      <c r="AO79" s="497">
        <f t="shared" si="45"/>
        <v>0</v>
      </c>
      <c r="AP79" s="498">
        <f>SUM(AO$71:AO79)</f>
        <v>0</v>
      </c>
      <c r="AQ79" s="516"/>
      <c r="AR79" s="496">
        <f t="shared" si="52"/>
        <v>2030</v>
      </c>
      <c r="AS79" s="497">
        <f t="shared" si="49"/>
        <v>0</v>
      </c>
      <c r="AT79" s="498">
        <f t="shared" si="50"/>
        <v>0</v>
      </c>
    </row>
    <row r="80" spans="8:46" ht="17.25" thickBot="1" x14ac:dyDescent="0.3">
      <c r="I80" s="38" t="s">
        <v>69</v>
      </c>
      <c r="J80" s="97" t="s">
        <v>289</v>
      </c>
      <c r="K80" s="137"/>
      <c r="L80" s="137"/>
      <c r="N80" s="453"/>
      <c r="O80" s="454"/>
      <c r="P80" s="454"/>
      <c r="Q80" s="454"/>
      <c r="R80" s="454"/>
      <c r="S80" s="454"/>
      <c r="T80" s="454"/>
      <c r="U80" s="454"/>
      <c r="V80" s="454"/>
      <c r="W80" s="454"/>
      <c r="X80" s="454"/>
      <c r="Y80" s="454"/>
      <c r="Z80" s="454"/>
      <c r="AA80" s="454"/>
      <c r="AB80" s="454"/>
      <c r="AC80" s="455"/>
      <c r="AD80" s="1"/>
      <c r="AE80" s="1224" t="s">
        <v>339</v>
      </c>
      <c r="AF80" s="1225"/>
      <c r="AG80" s="1225"/>
      <c r="AH80" s="1226"/>
      <c r="AI80" s="504">
        <f>SUM(AI72:AI79)</f>
        <v>1</v>
      </c>
      <c r="AJ80" s="505">
        <f>SUM(AJ72:AJ79)</f>
        <v>0</v>
      </c>
      <c r="AK80" s="504">
        <f>SUM(AK72:AK79)</f>
        <v>0</v>
      </c>
      <c r="AL80" s="506">
        <f>SUM(AL72:AL79)</f>
        <v>0</v>
      </c>
      <c r="AM80" s="463"/>
      <c r="AN80" s="463"/>
      <c r="AO80" s="526">
        <f>(AJ80+AL80)-AP79</f>
        <v>0</v>
      </c>
      <c r="AP80" s="527" t="str">
        <f>IF(ABS(AO80)&lt;1,"OK","Check!")</f>
        <v>OK</v>
      </c>
      <c r="AQ80" s="516"/>
      <c r="AR80" s="496">
        <f t="shared" si="52"/>
        <v>2031</v>
      </c>
      <c r="AS80" s="497">
        <f t="shared" si="49"/>
        <v>0</v>
      </c>
      <c r="AT80" s="498">
        <f t="shared" si="50"/>
        <v>0</v>
      </c>
    </row>
    <row r="81" spans="9:46" ht="24.4" customHeight="1" thickBot="1" x14ac:dyDescent="0.35">
      <c r="I81" s="38" t="s">
        <v>290</v>
      </c>
      <c r="J81" s="456" t="s">
        <v>291</v>
      </c>
      <c r="K81" s="137" t="s">
        <v>56</v>
      </c>
      <c r="L81" s="153">
        <f>IFERROR(AVERAGEIF(N81:AC81,"&gt;0.001",N81:AC81),)</f>
        <v>0</v>
      </c>
      <c r="N81" s="150"/>
      <c r="O81" s="151">
        <f>N81</f>
        <v>0</v>
      </c>
      <c r="P81" s="151">
        <f t="shared" ref="P81:AC84" si="54">O81</f>
        <v>0</v>
      </c>
      <c r="Q81" s="151">
        <f t="shared" si="54"/>
        <v>0</v>
      </c>
      <c r="R81" s="151">
        <f t="shared" si="54"/>
        <v>0</v>
      </c>
      <c r="S81" s="151">
        <f t="shared" si="54"/>
        <v>0</v>
      </c>
      <c r="T81" s="151">
        <f t="shared" si="54"/>
        <v>0</v>
      </c>
      <c r="U81" s="151">
        <f t="shared" si="54"/>
        <v>0</v>
      </c>
      <c r="V81" s="151">
        <f t="shared" si="54"/>
        <v>0</v>
      </c>
      <c r="W81" s="151">
        <f t="shared" si="54"/>
        <v>0</v>
      </c>
      <c r="X81" s="151">
        <f t="shared" si="54"/>
        <v>0</v>
      </c>
      <c r="Y81" s="151">
        <f t="shared" si="54"/>
        <v>0</v>
      </c>
      <c r="Z81" s="151">
        <f t="shared" si="54"/>
        <v>0</v>
      </c>
      <c r="AA81" s="151">
        <f t="shared" si="54"/>
        <v>0</v>
      </c>
      <c r="AB81" s="151">
        <f t="shared" si="54"/>
        <v>0</v>
      </c>
      <c r="AC81" s="152">
        <f t="shared" si="54"/>
        <v>0</v>
      </c>
      <c r="AD81" s="1"/>
      <c r="AE81" s="1227" t="s">
        <v>340</v>
      </c>
      <c r="AF81" s="1228"/>
      <c r="AG81" s="1229"/>
      <c r="AH81" s="488"/>
      <c r="AI81" s="489" t="s">
        <v>332</v>
      </c>
      <c r="AJ81" s="490"/>
      <c r="AK81" s="525" t="s">
        <v>369</v>
      </c>
      <c r="AL81" s="490"/>
      <c r="AM81" s="463"/>
      <c r="AN81" s="463"/>
      <c r="AO81" s="463"/>
      <c r="AP81" s="491"/>
      <c r="AQ81" s="516"/>
      <c r="AR81" s="496">
        <f t="shared" si="52"/>
        <v>2032</v>
      </c>
      <c r="AS81" s="497">
        <f t="shared" si="49"/>
        <v>0</v>
      </c>
      <c r="AT81" s="498">
        <f t="shared" si="50"/>
        <v>0</v>
      </c>
    </row>
    <row r="82" spans="9:46" x14ac:dyDescent="0.3">
      <c r="I82" s="38" t="s">
        <v>292</v>
      </c>
      <c r="J82" s="456" t="str">
        <f>"WIP (Prod leadtime, level load), O/head absorptn @"&amp;(K82*100)&amp;"%"</f>
        <v>WIP (Prod leadtime, level load), O/head absorptn @50%</v>
      </c>
      <c r="K82" s="457">
        <v>0.5</v>
      </c>
      <c r="L82" s="153">
        <f t="shared" ref="L82:L84" si="55">IFERROR(AVERAGEIF(N82:AC82,"&gt;0.001",N82:AC82),)</f>
        <v>0</v>
      </c>
      <c r="N82" s="150"/>
      <c r="O82" s="151">
        <f>N82</f>
        <v>0</v>
      </c>
      <c r="P82" s="151">
        <f t="shared" si="54"/>
        <v>0</v>
      </c>
      <c r="Q82" s="151">
        <f t="shared" si="54"/>
        <v>0</v>
      </c>
      <c r="R82" s="151">
        <f t="shared" si="54"/>
        <v>0</v>
      </c>
      <c r="S82" s="151">
        <f t="shared" si="54"/>
        <v>0</v>
      </c>
      <c r="T82" s="151">
        <f t="shared" si="54"/>
        <v>0</v>
      </c>
      <c r="U82" s="151">
        <f t="shared" si="54"/>
        <v>0</v>
      </c>
      <c r="V82" s="151">
        <f t="shared" si="54"/>
        <v>0</v>
      </c>
      <c r="W82" s="151">
        <f t="shared" si="54"/>
        <v>0</v>
      </c>
      <c r="X82" s="151">
        <f t="shared" si="54"/>
        <v>0</v>
      </c>
      <c r="Y82" s="151">
        <f t="shared" si="54"/>
        <v>0</v>
      </c>
      <c r="Z82" s="151">
        <f t="shared" si="54"/>
        <v>0</v>
      </c>
      <c r="AA82" s="151">
        <f t="shared" si="54"/>
        <v>0</v>
      </c>
      <c r="AB82" s="151">
        <f t="shared" si="54"/>
        <v>0</v>
      </c>
      <c r="AC82" s="152">
        <f t="shared" si="54"/>
        <v>0</v>
      </c>
      <c r="AD82" s="1"/>
      <c r="AE82" s="1230" t="str">
        <f>AE73</f>
        <v>Tooling Vendor PO / Materials PO</v>
      </c>
      <c r="AF82" s="1231"/>
      <c r="AG82" s="1232"/>
      <c r="AH82" s="507">
        <v>45658</v>
      </c>
      <c r="AI82" s="494">
        <v>0.3</v>
      </c>
      <c r="AJ82" s="493">
        <f t="shared" ref="AJ82:AJ87" si="56">AI82*$AJ$81</f>
        <v>0</v>
      </c>
      <c r="AK82" s="494"/>
      <c r="AL82" s="495">
        <f t="shared" ref="AL82:AL87" si="57">AK82*$AL$81</f>
        <v>0</v>
      </c>
      <c r="AM82" s="463"/>
      <c r="AN82" s="496">
        <f>MAX(YEAR(AH82),AN81)</f>
        <v>2025</v>
      </c>
      <c r="AO82" s="497">
        <f t="shared" si="45"/>
        <v>0</v>
      </c>
      <c r="AP82" s="498">
        <f>SUM($AO$72:$AO$79)+SUM(AO$81:AO82)</f>
        <v>0</v>
      </c>
      <c r="AQ82" s="516"/>
      <c r="AR82" s="496">
        <f t="shared" si="52"/>
        <v>2033</v>
      </c>
      <c r="AS82" s="497">
        <f t="shared" si="49"/>
        <v>0</v>
      </c>
      <c r="AT82" s="498">
        <f t="shared" si="50"/>
        <v>0</v>
      </c>
    </row>
    <row r="83" spans="9:46" x14ac:dyDescent="0.3">
      <c r="I83" s="38" t="s">
        <v>293</v>
      </c>
      <c r="J83" s="462" t="s">
        <v>459</v>
      </c>
      <c r="K83" s="137" t="s">
        <v>56</v>
      </c>
      <c r="L83" s="153">
        <f t="shared" si="55"/>
        <v>0</v>
      </c>
      <c r="N83" s="150"/>
      <c r="O83" s="151">
        <f>N83</f>
        <v>0</v>
      </c>
      <c r="P83" s="151">
        <f t="shared" si="54"/>
        <v>0</v>
      </c>
      <c r="Q83" s="151">
        <f t="shared" si="54"/>
        <v>0</v>
      </c>
      <c r="R83" s="151">
        <f t="shared" si="54"/>
        <v>0</v>
      </c>
      <c r="S83" s="151">
        <f t="shared" si="54"/>
        <v>0</v>
      </c>
      <c r="T83" s="151">
        <f t="shared" si="54"/>
        <v>0</v>
      </c>
      <c r="U83" s="151">
        <f t="shared" si="54"/>
        <v>0</v>
      </c>
      <c r="V83" s="151">
        <f t="shared" si="54"/>
        <v>0</v>
      </c>
      <c r="W83" s="151">
        <f t="shared" si="54"/>
        <v>0</v>
      </c>
      <c r="X83" s="151">
        <f t="shared" si="54"/>
        <v>0</v>
      </c>
      <c r="Y83" s="151">
        <f t="shared" si="54"/>
        <v>0</v>
      </c>
      <c r="Z83" s="151">
        <f t="shared" si="54"/>
        <v>0</v>
      </c>
      <c r="AA83" s="151">
        <f t="shared" si="54"/>
        <v>0</v>
      </c>
      <c r="AB83" s="151">
        <f t="shared" si="54"/>
        <v>0</v>
      </c>
      <c r="AC83" s="152">
        <f t="shared" si="54"/>
        <v>0</v>
      </c>
      <c r="AD83" s="1"/>
      <c r="AE83" s="1211" t="str">
        <f>AE74</f>
        <v>Completion &amp; Testing</v>
      </c>
      <c r="AF83" s="1212"/>
      <c r="AG83" s="1213"/>
      <c r="AH83" s="500">
        <v>46023</v>
      </c>
      <c r="AI83" s="501">
        <f>60%-AI82</f>
        <v>0.3</v>
      </c>
      <c r="AJ83" s="493">
        <f t="shared" si="56"/>
        <v>0</v>
      </c>
      <c r="AK83" s="508"/>
      <c r="AL83" s="495">
        <f t="shared" si="57"/>
        <v>0</v>
      </c>
      <c r="AM83" s="463"/>
      <c r="AN83" s="496">
        <f t="shared" ref="AN83:AN87" si="58">MAX(YEAR(AH83),AN82)</f>
        <v>2026</v>
      </c>
      <c r="AO83" s="497">
        <f t="shared" si="45"/>
        <v>0</v>
      </c>
      <c r="AP83" s="498">
        <f>SUM($AO$72:$AO$79)+SUM(AO$81:AO83)</f>
        <v>0</v>
      </c>
      <c r="AQ83" s="516"/>
      <c r="AR83" s="496">
        <f t="shared" si="52"/>
        <v>2034</v>
      </c>
      <c r="AS83" s="497">
        <f t="shared" si="49"/>
        <v>0</v>
      </c>
      <c r="AT83" s="498">
        <f t="shared" si="50"/>
        <v>0</v>
      </c>
    </row>
    <row r="84" spans="9:46" x14ac:dyDescent="0.3">
      <c r="I84" s="38" t="s">
        <v>294</v>
      </c>
      <c r="J84" s="462" t="s">
        <v>297</v>
      </c>
      <c r="K84" s="137" t="s">
        <v>56</v>
      </c>
      <c r="L84" s="153">
        <f t="shared" si="55"/>
        <v>0</v>
      </c>
      <c r="N84" s="150"/>
      <c r="O84" s="151">
        <f>N84</f>
        <v>0</v>
      </c>
      <c r="P84" s="151">
        <f t="shared" si="54"/>
        <v>0</v>
      </c>
      <c r="Q84" s="151">
        <f t="shared" si="54"/>
        <v>0</v>
      </c>
      <c r="R84" s="151">
        <f t="shared" si="54"/>
        <v>0</v>
      </c>
      <c r="S84" s="151">
        <f t="shared" si="54"/>
        <v>0</v>
      </c>
      <c r="T84" s="151">
        <f t="shared" si="54"/>
        <v>0</v>
      </c>
      <c r="U84" s="151">
        <f t="shared" si="54"/>
        <v>0</v>
      </c>
      <c r="V84" s="151">
        <f t="shared" si="54"/>
        <v>0</v>
      </c>
      <c r="W84" s="151">
        <f t="shared" si="54"/>
        <v>0</v>
      </c>
      <c r="X84" s="151">
        <f t="shared" si="54"/>
        <v>0</v>
      </c>
      <c r="Y84" s="151">
        <f t="shared" si="54"/>
        <v>0</v>
      </c>
      <c r="Z84" s="151">
        <f t="shared" si="54"/>
        <v>0</v>
      </c>
      <c r="AA84" s="151">
        <f t="shared" si="54"/>
        <v>0</v>
      </c>
      <c r="AB84" s="151">
        <f t="shared" si="54"/>
        <v>0</v>
      </c>
      <c r="AC84" s="152">
        <f t="shared" si="54"/>
        <v>0</v>
      </c>
      <c r="AD84" s="1"/>
      <c r="AE84" s="1211" t="str">
        <f>AE75</f>
        <v>First of Tool</v>
      </c>
      <c r="AF84" s="1212"/>
      <c r="AG84" s="1213"/>
      <c r="AH84" s="500">
        <v>46388</v>
      </c>
      <c r="AI84" s="501">
        <v>0.2</v>
      </c>
      <c r="AJ84" s="493">
        <f t="shared" si="56"/>
        <v>0</v>
      </c>
      <c r="AK84" s="508"/>
      <c r="AL84" s="495">
        <f t="shared" si="57"/>
        <v>0</v>
      </c>
      <c r="AM84" s="463"/>
      <c r="AN84" s="496">
        <f t="shared" si="58"/>
        <v>2027</v>
      </c>
      <c r="AO84" s="497">
        <f t="shared" si="45"/>
        <v>0</v>
      </c>
      <c r="AP84" s="498">
        <f>SUM($AO$72:$AO$79)+SUM(AO$81:AO84)</f>
        <v>0</v>
      </c>
      <c r="AQ84" s="516"/>
      <c r="AR84" s="496">
        <f t="shared" si="52"/>
        <v>2035</v>
      </c>
      <c r="AS84" s="497">
        <f t="shared" si="49"/>
        <v>0</v>
      </c>
      <c r="AT84" s="498">
        <f t="shared" si="50"/>
        <v>0</v>
      </c>
    </row>
    <row r="85" spans="9:46" x14ac:dyDescent="0.25">
      <c r="I85" s="38" t="s">
        <v>70</v>
      </c>
      <c r="J85" s="97" t="s">
        <v>71</v>
      </c>
      <c r="K85" s="137" t="s">
        <v>56</v>
      </c>
      <c r="N85" s="154"/>
      <c r="O85" s="155">
        <f>N85</f>
        <v>0</v>
      </c>
      <c r="P85" s="155">
        <f>O85</f>
        <v>0</v>
      </c>
      <c r="Q85" s="155">
        <f t="shared" si="53"/>
        <v>0</v>
      </c>
      <c r="R85" s="155">
        <f t="shared" si="53"/>
        <v>0</v>
      </c>
      <c r="S85" s="155">
        <f t="shared" si="53"/>
        <v>0</v>
      </c>
      <c r="T85" s="155">
        <f t="shared" si="53"/>
        <v>0</v>
      </c>
      <c r="U85" s="155">
        <f t="shared" si="53"/>
        <v>0</v>
      </c>
      <c r="V85" s="155">
        <f t="shared" si="53"/>
        <v>0</v>
      </c>
      <c r="W85" s="155">
        <f t="shared" si="53"/>
        <v>0</v>
      </c>
      <c r="X85" s="155">
        <f t="shared" si="53"/>
        <v>0</v>
      </c>
      <c r="Y85" s="155">
        <f t="shared" si="53"/>
        <v>0</v>
      </c>
      <c r="Z85" s="155">
        <f t="shared" si="53"/>
        <v>0</v>
      </c>
      <c r="AA85" s="155">
        <f t="shared" si="53"/>
        <v>0</v>
      </c>
      <c r="AB85" s="155">
        <f t="shared" si="53"/>
        <v>0</v>
      </c>
      <c r="AC85" s="156">
        <f t="shared" si="53"/>
        <v>0</v>
      </c>
      <c r="AD85" s="1"/>
      <c r="AE85" s="1211" t="str">
        <f>AE76</f>
        <v>PPAP Submission</v>
      </c>
      <c r="AF85" s="1212"/>
      <c r="AG85" s="1213"/>
      <c r="AH85" s="500">
        <v>46753</v>
      </c>
      <c r="AI85" s="501">
        <v>0.2</v>
      </c>
      <c r="AJ85" s="493">
        <f t="shared" si="56"/>
        <v>0</v>
      </c>
      <c r="AK85" s="508"/>
      <c r="AL85" s="495">
        <f t="shared" si="57"/>
        <v>0</v>
      </c>
      <c r="AM85" s="463"/>
      <c r="AN85" s="496">
        <f t="shared" si="58"/>
        <v>2028</v>
      </c>
      <c r="AO85" s="497">
        <f t="shared" si="45"/>
        <v>0</v>
      </c>
      <c r="AP85" s="498">
        <f>SUM($AO$72:$AO$79)+SUM(AO$81:AO85)</f>
        <v>0</v>
      </c>
      <c r="AQ85" s="516"/>
      <c r="AR85" s="496">
        <f t="shared" si="52"/>
        <v>2036</v>
      </c>
      <c r="AS85" s="497">
        <f t="shared" si="49"/>
        <v>0</v>
      </c>
      <c r="AT85" s="498">
        <f t="shared" si="50"/>
        <v>0</v>
      </c>
    </row>
    <row r="86" spans="9:46" x14ac:dyDescent="0.25">
      <c r="I86" s="38" t="s">
        <v>344</v>
      </c>
      <c r="J86" s="565" t="s">
        <v>385</v>
      </c>
      <c r="K86" s="514" t="s">
        <v>345</v>
      </c>
      <c r="L86" s="899" t="s">
        <v>347</v>
      </c>
      <c r="N86" s="780">
        <f>IF($L$86="Milestone Calculation",IFERROR(-MIN((_xlfn.XLOOKUP(N67,$AR$72:$AR$87,$AS$72:$AS$87,0)-SUMIF($N$142:N142,"&lt;0",$N$142:N142)),0),),N87)</f>
        <v>0</v>
      </c>
      <c r="O86" s="781">
        <f>IF($L$86="Milestone Calculation",IFERROR(-MIN((_xlfn.XLOOKUP(O67,$AR$72:$AR$87,$AS$72:$AS$87,0)-SUMIF($N$142:O142,"&lt;0",$N$142:O142)),0),),O87)</f>
        <v>0</v>
      </c>
      <c r="P86" s="781">
        <f>IF($L$86="Milestone Calculation",IFERROR(-MIN((_xlfn.XLOOKUP(P67,$AR$72:$AR$87,$AS$72:$AS$87,0)-SUMIF($N$142:P142,"&lt;0",$N$142:P142)),0),),P87)</f>
        <v>0</v>
      </c>
      <c r="Q86" s="781">
        <f>IF($L$86="Milestone Calculation",IFERROR(-MIN((_xlfn.XLOOKUP(Q67,$AR$72:$AR$87,$AS$72:$AS$87,0)-SUMIF($N$142:Q142,"&lt;0",$N$142:Q142)),0),),Q87)</f>
        <v>0</v>
      </c>
      <c r="R86" s="781">
        <f>IF($L$86="Milestone Calculation",IFERROR(-MIN((_xlfn.XLOOKUP(R67,$AR$72:$AR$87,$AS$72:$AS$87,0)-SUMIF($N$142:R142,"&lt;0",$N$142:R142)),0),),R87)</f>
        <v>0</v>
      </c>
      <c r="S86" s="781">
        <f>IF($L$86="Milestone Calculation",IFERROR(-MIN((_xlfn.XLOOKUP(S67,$AR$72:$AR$87,$AS$72:$AS$87,0)-SUMIF($N$142:S142,"&lt;0",$N$142:S142)),0),),S87)</f>
        <v>0</v>
      </c>
      <c r="T86" s="781">
        <f>IF($L$86="Milestone Calculation",IFERROR(-MIN((_xlfn.XLOOKUP(T67,$AR$72:$AR$87,$AS$72:$AS$87,0)-SUMIF($N$142:T142,"&lt;0",$N$142:T142)),0),),T87)</f>
        <v>0</v>
      </c>
      <c r="U86" s="781">
        <f>IF($L$86="Milestone Calculation",IFERROR(-MIN((_xlfn.XLOOKUP(U67,$AR$72:$AR$87,$AS$72:$AS$87,0)-SUMIF($N$142:U142,"&lt;0",$N$142:U142)),0),),U87)</f>
        <v>0</v>
      </c>
      <c r="V86" s="781">
        <f>IF($L$86="Milestone Calculation",IFERROR(-MIN((_xlfn.XLOOKUP(V67,$AR$72:$AR$87,$AS$72:$AS$87,0)-SUMIF($N$142:V142,"&lt;0",$N$142:V142)),0),),V87)</f>
        <v>0</v>
      </c>
      <c r="W86" s="781">
        <f>IF($L$86="Milestone Calculation",IFERROR(-MIN((_xlfn.XLOOKUP(W67,$AR$72:$AR$87,$AS$72:$AS$87,0)-SUMIF($N$142:W142,"&lt;0",$N$142:W142)),0),),W87)</f>
        <v>0</v>
      </c>
      <c r="X86" s="781">
        <f>IF($L$86="Milestone Calculation",IFERROR(-MIN((_xlfn.XLOOKUP(X67,$AR$72:$AR$87,$AS$72:$AS$87,0)-SUMIF($N$142:X142,"&lt;0",$N$142:X142)),0),),X87)</f>
        <v>0</v>
      </c>
      <c r="Y86" s="781">
        <f>IF($L$86="Milestone Calculation",IFERROR(-MIN((_xlfn.XLOOKUP(Y67,$AR$72:$AR$87,$AS$72:$AS$87,0)-SUMIF($N$142:Y142,"&lt;0",$N$142:Y142)),0),),Y87)</f>
        <v>0</v>
      </c>
      <c r="Z86" s="781">
        <f>IF($L$86="Milestone Calculation",IFERROR(-MIN((_xlfn.XLOOKUP(Z67,$AR$72:$AR$87,$AS$72:$AS$87,0)-SUMIF($N$142:Z142,"&lt;0",$N$142:Z142)),0),),Z87)</f>
        <v>0</v>
      </c>
      <c r="AA86" s="781">
        <f>IF($L$86="Milestone Calculation",IFERROR(-MIN((_xlfn.XLOOKUP(AA67,$AR$72:$AR$87,$AS$72:$AS$87,0)-SUMIF($N$142:AA142,"&lt;0",$N$142:AA142)),0),),AA87)</f>
        <v>0</v>
      </c>
      <c r="AB86" s="781">
        <f>IF($L$86="Milestone Calculation",IFERROR(-MIN((_xlfn.XLOOKUP(AB67,$AR$72:$AR$87,$AS$72:$AS$87,0)-SUMIF($N$142:AB142,"&lt;0",$N$142:AB142)),0),),AB87)</f>
        <v>0</v>
      </c>
      <c r="AC86" s="782">
        <f>IF($L$86="Milestone Calculation",IFERROR(-MIN((_xlfn.XLOOKUP(AC67,$AR$72:$AR$87,$AS$72:$AS$87,0)-SUMIF($N$142:AC142,"&lt;0",$N$142:AC142)),0),),AC87)</f>
        <v>0</v>
      </c>
      <c r="AD86" s="1"/>
      <c r="AE86" s="1211" t="str">
        <f>AE77</f>
        <v>PPAP Approval</v>
      </c>
      <c r="AF86" s="1212"/>
      <c r="AG86" s="1213"/>
      <c r="AH86" s="500">
        <v>47088</v>
      </c>
      <c r="AI86" s="501"/>
      <c r="AJ86" s="493">
        <f t="shared" si="56"/>
        <v>0</v>
      </c>
      <c r="AK86" s="508"/>
      <c r="AL86" s="495">
        <f t="shared" si="57"/>
        <v>0</v>
      </c>
      <c r="AM86" s="463"/>
      <c r="AN86" s="496">
        <f t="shared" si="58"/>
        <v>2028</v>
      </c>
      <c r="AO86" s="497">
        <f t="shared" si="45"/>
        <v>0</v>
      </c>
      <c r="AP86" s="498">
        <f>SUM($AO$72:$AO$79)+SUM(AO$81:AO86)</f>
        <v>0</v>
      </c>
      <c r="AQ86" s="528"/>
      <c r="AR86" s="496">
        <f t="shared" si="52"/>
        <v>2037</v>
      </c>
      <c r="AS86" s="497">
        <f t="shared" si="49"/>
        <v>0</v>
      </c>
      <c r="AT86" s="498">
        <f t="shared" si="50"/>
        <v>0</v>
      </c>
    </row>
    <row r="87" spans="9:46" s="157" customFormat="1" ht="17.25" thickBot="1" x14ac:dyDescent="0.3">
      <c r="I87" s="38" t="s">
        <v>346</v>
      </c>
      <c r="J87" s="565" t="s">
        <v>370</v>
      </c>
      <c r="K87"/>
      <c r="L87" s="529"/>
      <c r="M87" s="900"/>
      <c r="N87" s="150"/>
      <c r="O87" s="151"/>
      <c r="P87" s="151"/>
      <c r="Q87" s="151"/>
      <c r="R87" s="151"/>
      <c r="S87" s="151"/>
      <c r="T87" s="151"/>
      <c r="U87" s="151"/>
      <c r="V87" s="151"/>
      <c r="W87" s="151"/>
      <c r="X87" s="151"/>
      <c r="Y87" s="151"/>
      <c r="Z87" s="151"/>
      <c r="AA87" s="151"/>
      <c r="AB87" s="151"/>
      <c r="AC87" s="152"/>
      <c r="AE87" s="1221" t="s">
        <v>341</v>
      </c>
      <c r="AF87" s="1222"/>
      <c r="AG87" s="1223"/>
      <c r="AH87" s="502"/>
      <c r="AI87" s="503"/>
      <c r="AJ87" s="493">
        <f t="shared" si="56"/>
        <v>0</v>
      </c>
      <c r="AK87" s="509"/>
      <c r="AL87" s="495">
        <f t="shared" si="57"/>
        <v>0</v>
      </c>
      <c r="AM87" s="463"/>
      <c r="AN87" s="496">
        <f t="shared" si="58"/>
        <v>2028</v>
      </c>
      <c r="AO87" s="497">
        <f t="shared" si="45"/>
        <v>0</v>
      </c>
      <c r="AP87" s="498">
        <f>SUM($AO$72:$AO$79)+SUM(AO$81:AO87)</f>
        <v>0</v>
      </c>
      <c r="AQ87" s="516"/>
      <c r="AR87" s="496">
        <f t="shared" si="52"/>
        <v>2038</v>
      </c>
      <c r="AS87" s="497">
        <f t="shared" si="49"/>
        <v>0</v>
      </c>
      <c r="AT87" s="498">
        <f t="shared" si="50"/>
        <v>0</v>
      </c>
    </row>
    <row r="88" spans="9:46" ht="17.25" thickBot="1" x14ac:dyDescent="0.3">
      <c r="I88" s="38" t="s">
        <v>74</v>
      </c>
      <c r="J88" s="97" t="s">
        <v>75</v>
      </c>
      <c r="K88" s="137" t="s">
        <v>56</v>
      </c>
      <c r="L88" s="153">
        <f>IFERROR(AVERAGEIF(N88:AC88,"&gt;0.001",N88:AC88),)</f>
        <v>0</v>
      </c>
      <c r="N88" s="150"/>
      <c r="O88" s="151">
        <f>N88</f>
        <v>0</v>
      </c>
      <c r="P88" s="151">
        <f>O88</f>
        <v>0</v>
      </c>
      <c r="Q88" s="151">
        <f t="shared" ref="Q88:AC89" si="59">P88</f>
        <v>0</v>
      </c>
      <c r="R88" s="151">
        <f t="shared" si="59"/>
        <v>0</v>
      </c>
      <c r="S88" s="151">
        <f t="shared" si="59"/>
        <v>0</v>
      </c>
      <c r="T88" s="151">
        <f t="shared" si="59"/>
        <v>0</v>
      </c>
      <c r="U88" s="151">
        <f t="shared" si="59"/>
        <v>0</v>
      </c>
      <c r="V88" s="151">
        <f t="shared" si="59"/>
        <v>0</v>
      </c>
      <c r="W88" s="151">
        <f t="shared" si="59"/>
        <v>0</v>
      </c>
      <c r="X88" s="151">
        <f t="shared" si="59"/>
        <v>0</v>
      </c>
      <c r="Y88" s="151">
        <f t="shared" si="59"/>
        <v>0</v>
      </c>
      <c r="Z88" s="151">
        <f t="shared" si="59"/>
        <v>0</v>
      </c>
      <c r="AA88" s="151">
        <f t="shared" si="59"/>
        <v>0</v>
      </c>
      <c r="AB88" s="151">
        <f t="shared" si="59"/>
        <v>0</v>
      </c>
      <c r="AC88" s="152">
        <f t="shared" si="59"/>
        <v>0</v>
      </c>
      <c r="AD88" s="1"/>
      <c r="AE88" s="1224" t="s">
        <v>342</v>
      </c>
      <c r="AF88" s="1225"/>
      <c r="AG88" s="1225"/>
      <c r="AH88" s="1226"/>
      <c r="AI88" s="504">
        <f>SUM(AI82:AI87)</f>
        <v>1</v>
      </c>
      <c r="AJ88" s="505">
        <f>SUM(AJ82:AJ87)</f>
        <v>0</v>
      </c>
      <c r="AK88" s="504">
        <f>SUM(AK82:AK87)</f>
        <v>0</v>
      </c>
      <c r="AL88" s="506">
        <f>SUM(AL82:AL87)</f>
        <v>0</v>
      </c>
      <c r="AM88" s="463"/>
      <c r="AN88" s="510"/>
      <c r="AO88" s="526">
        <f>(AJ80+AL80)+(AJ88+AL88)-AP87</f>
        <v>0</v>
      </c>
      <c r="AP88" s="527" t="str">
        <f>IF(ABS(AO88)&lt;1,"OK","Check!")</f>
        <v>OK</v>
      </c>
      <c r="AQ88" s="516"/>
      <c r="AT88" s="351"/>
    </row>
    <row r="89" spans="9:46" ht="17.25" thickBot="1" x14ac:dyDescent="0.3">
      <c r="I89" s="38" t="s">
        <v>76</v>
      </c>
      <c r="J89" s="97" t="s">
        <v>77</v>
      </c>
      <c r="K89" s="137" t="s">
        <v>78</v>
      </c>
      <c r="L89" s="159">
        <f>IFERROR(AVERAGEIF(N89:AC89,"&gt;0.001",N89:AC89),)</f>
        <v>0</v>
      </c>
      <c r="N89" s="160"/>
      <c r="O89" s="161">
        <f>N89</f>
        <v>0</v>
      </c>
      <c r="P89" s="161">
        <f>O89</f>
        <v>0</v>
      </c>
      <c r="Q89" s="161">
        <f t="shared" si="59"/>
        <v>0</v>
      </c>
      <c r="R89" s="161">
        <f t="shared" si="59"/>
        <v>0</v>
      </c>
      <c r="S89" s="161">
        <f t="shared" si="59"/>
        <v>0</v>
      </c>
      <c r="T89" s="161">
        <f t="shared" si="59"/>
        <v>0</v>
      </c>
      <c r="U89" s="161">
        <f t="shared" si="59"/>
        <v>0</v>
      </c>
      <c r="V89" s="161">
        <f t="shared" si="59"/>
        <v>0</v>
      </c>
      <c r="W89" s="161">
        <f t="shared" si="59"/>
        <v>0</v>
      </c>
      <c r="X89" s="161">
        <f t="shared" si="59"/>
        <v>0</v>
      </c>
      <c r="Y89" s="161">
        <f t="shared" si="59"/>
        <v>0</v>
      </c>
      <c r="Z89" s="161">
        <f t="shared" si="59"/>
        <v>0</v>
      </c>
      <c r="AA89" s="161">
        <f t="shared" si="59"/>
        <v>0</v>
      </c>
      <c r="AB89" s="161">
        <f t="shared" si="59"/>
        <v>0</v>
      </c>
      <c r="AC89" s="162">
        <f t="shared" si="59"/>
        <v>0</v>
      </c>
      <c r="AD89" s="1"/>
      <c r="AE89" s="511"/>
      <c r="AF89" s="512"/>
      <c r="AG89" s="512" t="s">
        <v>343</v>
      </c>
      <c r="AH89" s="512"/>
      <c r="AI89" s="512"/>
      <c r="AJ89" s="512"/>
      <c r="AK89" s="512"/>
      <c r="AL89" s="512"/>
      <c r="AM89" s="512"/>
      <c r="AN89" s="512"/>
      <c r="AO89" s="512"/>
      <c r="AP89" s="513"/>
      <c r="AQ89" s="517"/>
      <c r="AR89" s="358"/>
      <c r="AS89" s="358"/>
      <c r="AT89" s="518"/>
    </row>
    <row r="90" spans="9:46" ht="15.75" x14ac:dyDescent="0.25">
      <c r="I90" s="38"/>
      <c r="J90" s="97"/>
      <c r="K90" s="97"/>
      <c r="L90" s="97"/>
      <c r="M90" s="97"/>
      <c r="N90" s="97"/>
      <c r="O90" s="97"/>
      <c r="P90" s="97"/>
      <c r="Q90" s="97"/>
      <c r="R90" s="97"/>
      <c r="S90" s="97"/>
      <c r="T90" s="97"/>
      <c r="U90" s="97"/>
      <c r="V90" s="97"/>
      <c r="W90" s="97"/>
      <c r="X90" s="97"/>
      <c r="Y90" s="97"/>
      <c r="Z90" s="97"/>
      <c r="AA90" s="97"/>
      <c r="AB90" s="97"/>
      <c r="AC90" s="97"/>
      <c r="AD90" s="97"/>
      <c r="AE90" s="1"/>
    </row>
    <row r="91" spans="9:46" ht="18" x14ac:dyDescent="0.25">
      <c r="I91" s="132" t="s">
        <v>79</v>
      </c>
      <c r="J91" s="33" t="s">
        <v>80</v>
      </c>
      <c r="K91" s="195"/>
      <c r="L91" s="196"/>
      <c r="N91" s="197">
        <f>N$11</f>
        <v>2024</v>
      </c>
      <c r="O91" s="133">
        <f t="shared" ref="O91:AC91" si="60">O$11</f>
        <v>2025</v>
      </c>
      <c r="P91" s="133">
        <f t="shared" si="60"/>
        <v>2026</v>
      </c>
      <c r="Q91" s="133">
        <f t="shared" si="60"/>
        <v>2027</v>
      </c>
      <c r="R91" s="133">
        <f t="shared" si="60"/>
        <v>2028</v>
      </c>
      <c r="S91" s="133">
        <f t="shared" si="60"/>
        <v>2029</v>
      </c>
      <c r="T91" s="133">
        <f t="shared" si="60"/>
        <v>2030</v>
      </c>
      <c r="U91" s="133">
        <f t="shared" si="60"/>
        <v>2031</v>
      </c>
      <c r="V91" s="133">
        <f t="shared" si="60"/>
        <v>2032</v>
      </c>
      <c r="W91" s="133">
        <f t="shared" si="60"/>
        <v>2033</v>
      </c>
      <c r="X91" s="133">
        <f t="shared" si="60"/>
        <v>2034</v>
      </c>
      <c r="Y91" s="133">
        <f t="shared" si="60"/>
        <v>2035</v>
      </c>
      <c r="Z91" s="133">
        <f t="shared" si="60"/>
        <v>2036</v>
      </c>
      <c r="AA91" s="133">
        <f t="shared" si="60"/>
        <v>2037</v>
      </c>
      <c r="AB91" s="133">
        <f t="shared" si="60"/>
        <v>2038</v>
      </c>
      <c r="AC91" s="198">
        <f t="shared" si="60"/>
        <v>2039</v>
      </c>
      <c r="AD91" s="1"/>
      <c r="AE91" s="1"/>
      <c r="AH91" s="148"/>
    </row>
    <row r="92" spans="9:46" ht="15.75" x14ac:dyDescent="0.25">
      <c r="I92" s="38"/>
      <c r="J92" s="97"/>
      <c r="K92" s="97"/>
      <c r="L92" s="97"/>
      <c r="M92" s="97"/>
      <c r="N92" s="97"/>
      <c r="O92" s="97"/>
      <c r="P92" s="97"/>
      <c r="Q92" s="97"/>
      <c r="R92" s="97"/>
      <c r="S92" s="97"/>
      <c r="T92" s="97"/>
      <c r="U92" s="97"/>
      <c r="V92" s="97"/>
      <c r="W92" s="97"/>
      <c r="X92" s="97"/>
      <c r="Y92" s="97"/>
      <c r="Z92" s="97"/>
      <c r="AA92" s="97"/>
      <c r="AB92" s="97"/>
      <c r="AC92" s="97"/>
      <c r="AD92" s="97"/>
      <c r="AE92" s="1"/>
    </row>
    <row r="93" spans="9:46" ht="18" x14ac:dyDescent="0.4">
      <c r="I93" s="38"/>
      <c r="J93" s="39" t="s">
        <v>81</v>
      </c>
      <c r="K93" s="163"/>
      <c r="L93" s="163"/>
      <c r="M93" s="163"/>
      <c r="N93" s="163"/>
      <c r="O93" s="31"/>
      <c r="P93" s="31"/>
      <c r="Q93" s="31"/>
      <c r="R93" s="31"/>
      <c r="S93" s="31"/>
      <c r="T93" s="31"/>
      <c r="U93" s="31"/>
      <c r="V93" s="31"/>
      <c r="W93" s="31"/>
      <c r="X93" s="31"/>
      <c r="Y93" s="31"/>
      <c r="Z93" s="31"/>
      <c r="AA93" s="31"/>
      <c r="AB93" s="31"/>
      <c r="AC93" s="31"/>
      <c r="AD93" s="1"/>
      <c r="AE93" s="1"/>
    </row>
    <row r="94" spans="9:46" ht="15.75" x14ac:dyDescent="0.25">
      <c r="I94" s="38"/>
      <c r="J94" s="97" t="s">
        <v>82</v>
      </c>
      <c r="K94" s="164" t="s">
        <v>83</v>
      </c>
      <c r="L94" s="901">
        <f>IFERROR(AVERAGEIF(N94:AC94,"&gt;0.001",N94:AC94),)</f>
        <v>8</v>
      </c>
      <c r="N94" s="902">
        <v>8</v>
      </c>
      <c r="O94" s="903">
        <f t="shared" ref="O94:AC95" si="61">N94</f>
        <v>8</v>
      </c>
      <c r="P94" s="903">
        <f t="shared" si="61"/>
        <v>8</v>
      </c>
      <c r="Q94" s="903">
        <f t="shared" si="61"/>
        <v>8</v>
      </c>
      <c r="R94" s="903">
        <f t="shared" si="61"/>
        <v>8</v>
      </c>
      <c r="S94" s="903">
        <f t="shared" si="61"/>
        <v>8</v>
      </c>
      <c r="T94" s="903">
        <f t="shared" si="61"/>
        <v>8</v>
      </c>
      <c r="U94" s="903">
        <f t="shared" si="61"/>
        <v>8</v>
      </c>
      <c r="V94" s="903">
        <f t="shared" si="61"/>
        <v>8</v>
      </c>
      <c r="W94" s="903">
        <f t="shared" si="61"/>
        <v>8</v>
      </c>
      <c r="X94" s="903">
        <f t="shared" si="61"/>
        <v>8</v>
      </c>
      <c r="Y94" s="903">
        <f t="shared" si="61"/>
        <v>8</v>
      </c>
      <c r="Z94" s="903">
        <f t="shared" si="61"/>
        <v>8</v>
      </c>
      <c r="AA94" s="903">
        <f t="shared" si="61"/>
        <v>8</v>
      </c>
      <c r="AB94" s="903">
        <f t="shared" si="61"/>
        <v>8</v>
      </c>
      <c r="AC94" s="904">
        <f t="shared" si="61"/>
        <v>8</v>
      </c>
      <c r="AD94" s="1"/>
      <c r="AE94" s="1"/>
    </row>
    <row r="95" spans="9:46" ht="15.75" x14ac:dyDescent="0.25">
      <c r="I95" s="38"/>
      <c r="J95" s="97" t="s">
        <v>84</v>
      </c>
      <c r="K95" s="148" t="s">
        <v>56</v>
      </c>
      <c r="L95" s="165">
        <f>IFERROR(AVERAGEIF(N95:AC95,"&gt;0.001",N95:AC95),)</f>
        <v>0.20000000000000004</v>
      </c>
      <c r="N95" s="166">
        <v>0.2</v>
      </c>
      <c r="O95" s="167">
        <f>N95</f>
        <v>0.2</v>
      </c>
      <c r="P95" s="167">
        <f t="shared" si="61"/>
        <v>0.2</v>
      </c>
      <c r="Q95" s="167">
        <f t="shared" si="61"/>
        <v>0.2</v>
      </c>
      <c r="R95" s="167">
        <f t="shared" si="61"/>
        <v>0.2</v>
      </c>
      <c r="S95" s="167">
        <f t="shared" si="61"/>
        <v>0.2</v>
      </c>
      <c r="T95" s="167">
        <f t="shared" si="61"/>
        <v>0.2</v>
      </c>
      <c r="U95" s="167">
        <f t="shared" si="61"/>
        <v>0.2</v>
      </c>
      <c r="V95" s="167">
        <f t="shared" si="61"/>
        <v>0.2</v>
      </c>
      <c r="W95" s="167">
        <f t="shared" si="61"/>
        <v>0.2</v>
      </c>
      <c r="X95" s="167">
        <f t="shared" si="61"/>
        <v>0.2</v>
      </c>
      <c r="Y95" s="167">
        <f t="shared" si="61"/>
        <v>0.2</v>
      </c>
      <c r="Z95" s="167">
        <f t="shared" si="61"/>
        <v>0.2</v>
      </c>
      <c r="AA95" s="167">
        <f t="shared" si="61"/>
        <v>0.2</v>
      </c>
      <c r="AB95" s="167">
        <f t="shared" si="61"/>
        <v>0.2</v>
      </c>
      <c r="AC95" s="168">
        <f t="shared" si="61"/>
        <v>0.2</v>
      </c>
      <c r="AD95" s="1"/>
      <c r="AE95" s="148"/>
      <c r="AF95" s="148"/>
    </row>
    <row r="96" spans="9:46" ht="15.75" x14ac:dyDescent="0.25">
      <c r="I96" s="38"/>
      <c r="J96" s="97"/>
      <c r="K96" s="148"/>
      <c r="L96" s="148"/>
      <c r="M96" s="148"/>
      <c r="N96" s="148"/>
      <c r="Q96" s="148"/>
      <c r="R96" s="148"/>
      <c r="S96" s="148"/>
      <c r="T96" s="148"/>
      <c r="U96" s="148"/>
      <c r="V96" s="148"/>
      <c r="W96" s="148"/>
      <c r="X96" s="148"/>
      <c r="Y96" s="148"/>
      <c r="Z96" s="148"/>
      <c r="AA96" s="148"/>
      <c r="AB96" s="148"/>
      <c r="AC96" s="148"/>
      <c r="AD96" s="148"/>
      <c r="AE96" s="1"/>
    </row>
    <row r="97" spans="9:31" ht="18" outlineLevel="1" x14ac:dyDescent="0.4">
      <c r="I97" s="38"/>
      <c r="J97" s="39" t="s">
        <v>85</v>
      </c>
      <c r="K97" s="169"/>
      <c r="L97" s="31"/>
      <c r="N97" s="170" t="s">
        <v>86</v>
      </c>
      <c r="O97" s="171" t="str">
        <f>L39</f>
        <v/>
      </c>
      <c r="Q97" s="170" t="str">
        <f>"Proj NPV @"&amp;L98*100&amp;"%"</f>
        <v>Proj NPV @15%</v>
      </c>
      <c r="R97" s="172">
        <f>L36</f>
        <v>0</v>
      </c>
      <c r="T97" s="170" t="s">
        <v>87</v>
      </c>
      <c r="U97" s="173" t="str">
        <f>IFERROR(ROUND(L34/L65,1),"")</f>
        <v/>
      </c>
      <c r="V97" s="174"/>
      <c r="W97" s="174"/>
      <c r="X97" s="174"/>
      <c r="Y97" s="174"/>
      <c r="Z97" s="174"/>
      <c r="AA97" s="174"/>
      <c r="AB97" s="174"/>
      <c r="AC97" s="174"/>
      <c r="AD97" s="1"/>
      <c r="AE97" s="1"/>
    </row>
    <row r="98" spans="9:31" ht="15.75" outlineLevel="1" x14ac:dyDescent="0.25">
      <c r="I98" s="38"/>
      <c r="J98" s="97" t="s">
        <v>88</v>
      </c>
      <c r="K98" s="169"/>
      <c r="L98" s="175">
        <v>0.15</v>
      </c>
      <c r="W98" s="31"/>
      <c r="X98" s="31"/>
      <c r="Y98" s="31"/>
      <c r="Z98" s="31"/>
      <c r="AA98" s="31"/>
      <c r="AB98" s="31"/>
      <c r="AC98" s="31"/>
      <c r="AD98" s="1"/>
      <c r="AE98" s="1"/>
    </row>
    <row r="99" spans="9:31" ht="15.75" outlineLevel="1" x14ac:dyDescent="0.25">
      <c r="I99" s="38"/>
      <c r="J99" s="97" t="s">
        <v>89</v>
      </c>
      <c r="K99" s="169"/>
      <c r="L99" s="176" t="s">
        <v>90</v>
      </c>
      <c r="N99" s="31"/>
      <c r="O99" s="31"/>
      <c r="P99" s="31"/>
      <c r="Q99" s="31"/>
      <c r="R99" s="31"/>
      <c r="S99" s="31"/>
      <c r="T99" s="31"/>
      <c r="U99" s="31"/>
      <c r="V99" s="31"/>
      <c r="W99" s="31"/>
      <c r="X99" s="31"/>
      <c r="Y99" s="31"/>
      <c r="Z99" s="31"/>
      <c r="AA99" s="31"/>
      <c r="AB99" s="31"/>
      <c r="AC99" s="31"/>
      <c r="AD99" s="1"/>
      <c r="AE99" s="1"/>
    </row>
    <row r="100" spans="9:31" ht="15.75" outlineLevel="1" x14ac:dyDescent="0.25">
      <c r="I100" s="38"/>
      <c r="J100" s="97" t="s">
        <v>91</v>
      </c>
      <c r="K100" s="148" t="s">
        <v>56</v>
      </c>
      <c r="L100" s="177">
        <f>IFERROR(AVERAGEIF(N100:AC100,"&gt;0.001",N100:AC100),)</f>
        <v>7.0000000000000034E-2</v>
      </c>
      <c r="N100" s="178">
        <v>7.0000000000000007E-2</v>
      </c>
      <c r="O100" s="179">
        <f t="shared" ref="O100:AC100" si="62">N100</f>
        <v>7.0000000000000007E-2</v>
      </c>
      <c r="P100" s="179">
        <f t="shared" si="62"/>
        <v>7.0000000000000007E-2</v>
      </c>
      <c r="Q100" s="179">
        <f t="shared" si="62"/>
        <v>7.0000000000000007E-2</v>
      </c>
      <c r="R100" s="179">
        <f t="shared" si="62"/>
        <v>7.0000000000000007E-2</v>
      </c>
      <c r="S100" s="179">
        <f t="shared" si="62"/>
        <v>7.0000000000000007E-2</v>
      </c>
      <c r="T100" s="179">
        <f t="shared" si="62"/>
        <v>7.0000000000000007E-2</v>
      </c>
      <c r="U100" s="179">
        <f t="shared" si="62"/>
        <v>7.0000000000000007E-2</v>
      </c>
      <c r="V100" s="179">
        <f t="shared" si="62"/>
        <v>7.0000000000000007E-2</v>
      </c>
      <c r="W100" s="179">
        <f t="shared" si="62"/>
        <v>7.0000000000000007E-2</v>
      </c>
      <c r="X100" s="179">
        <f t="shared" si="62"/>
        <v>7.0000000000000007E-2</v>
      </c>
      <c r="Y100" s="179">
        <f t="shared" si="62"/>
        <v>7.0000000000000007E-2</v>
      </c>
      <c r="Z100" s="179">
        <f t="shared" si="62"/>
        <v>7.0000000000000007E-2</v>
      </c>
      <c r="AA100" s="179">
        <f t="shared" si="62"/>
        <v>7.0000000000000007E-2</v>
      </c>
      <c r="AB100" s="179">
        <f t="shared" si="62"/>
        <v>7.0000000000000007E-2</v>
      </c>
      <c r="AC100" s="180">
        <f t="shared" si="62"/>
        <v>7.0000000000000007E-2</v>
      </c>
      <c r="AD100" s="1"/>
      <c r="AE100" s="1"/>
    </row>
    <row r="101" spans="9:31" ht="15.75" outlineLevel="1" x14ac:dyDescent="0.25">
      <c r="I101" s="38"/>
      <c r="J101" s="97" t="s">
        <v>92</v>
      </c>
      <c r="K101" s="148" t="s">
        <v>93</v>
      </c>
      <c r="L101" s="98" t="str">
        <f>IF(ABS(SUM(N101:AC101))=0,"OK, fully repaid","Error, must fully repay")</f>
        <v>OK, fully repaid</v>
      </c>
      <c r="N101" s="181"/>
      <c r="O101" s="182"/>
      <c r="P101" s="182"/>
      <c r="Q101" s="182"/>
      <c r="R101" s="182"/>
      <c r="S101" s="182"/>
      <c r="T101" s="182"/>
      <c r="U101" s="182"/>
      <c r="V101" s="182"/>
      <c r="W101" s="182"/>
      <c r="X101" s="182"/>
      <c r="Y101" s="182"/>
      <c r="Z101" s="182"/>
      <c r="AA101" s="182"/>
      <c r="AB101" s="182"/>
      <c r="AC101" s="183"/>
      <c r="AD101" s="1"/>
      <c r="AE101" s="1"/>
    </row>
    <row r="102" spans="9:31" ht="15.75" outlineLevel="1" x14ac:dyDescent="0.25">
      <c r="I102" s="38"/>
      <c r="J102" s="97" t="s">
        <v>94</v>
      </c>
      <c r="K102" s="169"/>
      <c r="L102" s="184"/>
      <c r="N102" s="905">
        <f t="shared" ref="N102:AC102" si="63">N235</f>
        <v>0</v>
      </c>
      <c r="O102" s="906">
        <f t="shared" si="63"/>
        <v>0</v>
      </c>
      <c r="P102" s="906">
        <f t="shared" si="63"/>
        <v>0</v>
      </c>
      <c r="Q102" s="906">
        <f t="shared" si="63"/>
        <v>0</v>
      </c>
      <c r="R102" s="906">
        <f t="shared" si="63"/>
        <v>0</v>
      </c>
      <c r="S102" s="906">
        <f t="shared" si="63"/>
        <v>0</v>
      </c>
      <c r="T102" s="906">
        <f t="shared" si="63"/>
        <v>0</v>
      </c>
      <c r="U102" s="906">
        <f t="shared" si="63"/>
        <v>0</v>
      </c>
      <c r="V102" s="906">
        <f t="shared" si="63"/>
        <v>0</v>
      </c>
      <c r="W102" s="906">
        <f t="shared" si="63"/>
        <v>0</v>
      </c>
      <c r="X102" s="906">
        <f t="shared" si="63"/>
        <v>0</v>
      </c>
      <c r="Y102" s="906">
        <f t="shared" si="63"/>
        <v>0</v>
      </c>
      <c r="Z102" s="906">
        <f t="shared" si="63"/>
        <v>0</v>
      </c>
      <c r="AA102" s="906">
        <f t="shared" si="63"/>
        <v>0</v>
      </c>
      <c r="AB102" s="906">
        <f t="shared" si="63"/>
        <v>0</v>
      </c>
      <c r="AC102" s="907">
        <f t="shared" si="63"/>
        <v>0</v>
      </c>
      <c r="AD102" s="1"/>
      <c r="AE102" s="1"/>
    </row>
    <row r="103" spans="9:31" ht="15.75" outlineLevel="1" x14ac:dyDescent="0.25">
      <c r="I103" s="38"/>
      <c r="J103" s="97" t="s">
        <v>95</v>
      </c>
      <c r="K103" s="169"/>
      <c r="L103" s="184"/>
      <c r="N103" s="908">
        <f t="shared" ref="N103:AC103" si="64">N199</f>
        <v>0</v>
      </c>
      <c r="O103" s="909">
        <f t="shared" si="64"/>
        <v>0</v>
      </c>
      <c r="P103" s="909">
        <f t="shared" si="64"/>
        <v>0</v>
      </c>
      <c r="Q103" s="909">
        <f t="shared" si="64"/>
        <v>0</v>
      </c>
      <c r="R103" s="909">
        <f t="shared" si="64"/>
        <v>0</v>
      </c>
      <c r="S103" s="909">
        <f t="shared" si="64"/>
        <v>0</v>
      </c>
      <c r="T103" s="909">
        <f t="shared" si="64"/>
        <v>0</v>
      </c>
      <c r="U103" s="909">
        <f t="shared" si="64"/>
        <v>0</v>
      </c>
      <c r="V103" s="909">
        <f t="shared" si="64"/>
        <v>0</v>
      </c>
      <c r="W103" s="909">
        <f t="shared" si="64"/>
        <v>0</v>
      </c>
      <c r="X103" s="909">
        <f t="shared" si="64"/>
        <v>0</v>
      </c>
      <c r="Y103" s="909">
        <f t="shared" si="64"/>
        <v>0</v>
      </c>
      <c r="Z103" s="909">
        <f t="shared" si="64"/>
        <v>0</v>
      </c>
      <c r="AA103" s="909">
        <f t="shared" si="64"/>
        <v>0</v>
      </c>
      <c r="AB103" s="909">
        <f t="shared" si="64"/>
        <v>0</v>
      </c>
      <c r="AC103" s="910">
        <f t="shared" si="64"/>
        <v>0</v>
      </c>
      <c r="AD103" s="1"/>
      <c r="AE103" s="1"/>
    </row>
    <row r="104" spans="9:31" ht="15.75" outlineLevel="1" x14ac:dyDescent="0.25">
      <c r="I104" s="38"/>
      <c r="J104" s="97"/>
      <c r="K104" s="169"/>
      <c r="L104" s="184"/>
      <c r="N104" s="97"/>
      <c r="O104" s="97"/>
      <c r="P104" s="97"/>
      <c r="Q104" s="97"/>
      <c r="R104" s="97"/>
      <c r="S104" s="97"/>
      <c r="T104" s="97"/>
      <c r="U104" s="97"/>
      <c r="V104" s="97"/>
      <c r="W104" s="97"/>
      <c r="X104" s="97"/>
      <c r="Y104" s="97"/>
      <c r="Z104" s="97"/>
      <c r="AA104" s="97"/>
      <c r="AB104" s="97"/>
      <c r="AC104" s="97"/>
      <c r="AD104" s="1"/>
      <c r="AE104" s="1"/>
    </row>
    <row r="105" spans="9:31" ht="18" outlineLevel="1" x14ac:dyDescent="0.2">
      <c r="I105" s="104" t="s">
        <v>96</v>
      </c>
      <c r="J105" s="105" t="s">
        <v>97</v>
      </c>
      <c r="K105" s="105"/>
      <c r="L105" s="105"/>
      <c r="M105" s="106"/>
      <c r="N105" s="107"/>
      <c r="O105" s="107"/>
      <c r="P105" s="107"/>
      <c r="Q105" s="107"/>
      <c r="R105" s="107"/>
      <c r="S105" s="107"/>
      <c r="T105" s="107"/>
      <c r="U105" s="107"/>
      <c r="V105" s="107"/>
      <c r="W105" s="107"/>
      <c r="X105" s="107"/>
      <c r="Y105" s="107"/>
      <c r="Z105" s="107"/>
      <c r="AA105" s="107"/>
      <c r="AB105" s="107"/>
      <c r="AC105" s="107"/>
      <c r="AD105" s="1"/>
      <c r="AE105" s="1"/>
    </row>
    <row r="106" spans="9:31" ht="15.75" outlineLevel="1" x14ac:dyDescent="0.25">
      <c r="I106" s="38"/>
      <c r="J106" s="97"/>
      <c r="K106" s="169"/>
      <c r="L106"/>
      <c r="N106" s="97"/>
      <c r="O106" s="97"/>
      <c r="P106" s="97"/>
      <c r="Q106" s="97"/>
      <c r="R106" s="97"/>
      <c r="S106" s="97"/>
      <c r="T106" s="97"/>
      <c r="U106" s="97"/>
      <c r="V106" s="97"/>
      <c r="W106" s="97"/>
      <c r="X106" s="97"/>
      <c r="Y106" s="97"/>
      <c r="Z106" s="97"/>
      <c r="AA106" s="97"/>
      <c r="AB106" s="97"/>
      <c r="AC106" s="97"/>
      <c r="AD106" s="1"/>
      <c r="AE106" s="1"/>
    </row>
    <row r="107" spans="9:31" ht="21" customHeight="1" outlineLevel="1" x14ac:dyDescent="0.4">
      <c r="I107" s="38"/>
      <c r="J107" s="39" t="s">
        <v>98</v>
      </c>
      <c r="K107" s="169" t="s">
        <v>99</v>
      </c>
      <c r="L107"/>
      <c r="O107" s="47" t="s">
        <v>100</v>
      </c>
      <c r="P107" s="188" t="s">
        <v>90</v>
      </c>
      <c r="Q107" s="97"/>
      <c r="R107" s="97"/>
      <c r="S107" s="97"/>
      <c r="T107" s="97"/>
      <c r="U107" s="97"/>
      <c r="V107" s="97"/>
      <c r="W107" s="97"/>
      <c r="X107" s="97"/>
      <c r="Y107" s="97"/>
      <c r="Z107" s="97"/>
      <c r="AA107" s="97"/>
      <c r="AB107" s="97"/>
      <c r="AC107" s="97"/>
      <c r="AD107" s="1"/>
      <c r="AE107" s="1"/>
    </row>
    <row r="108" spans="9:31" ht="15.75" outlineLevel="1" x14ac:dyDescent="0.25">
      <c r="I108" s="38" t="s">
        <v>72</v>
      </c>
      <c r="J108" s="97" t="s">
        <v>101</v>
      </c>
      <c r="K108" s="189">
        <v>45</v>
      </c>
      <c r="L108"/>
      <c r="N108" s="911">
        <f t="shared" ref="N108:AC108" si="65">MAX(N200-N118*IF(N78&lt;$K$108,N78,$K$108)/N78,)</f>
        <v>0</v>
      </c>
      <c r="O108" s="912">
        <f t="shared" si="65"/>
        <v>0</v>
      </c>
      <c r="P108" s="912">
        <f t="shared" si="65"/>
        <v>0</v>
      </c>
      <c r="Q108" s="912">
        <f t="shared" si="65"/>
        <v>0</v>
      </c>
      <c r="R108" s="912">
        <f t="shared" si="65"/>
        <v>0</v>
      </c>
      <c r="S108" s="912">
        <f t="shared" si="65"/>
        <v>0</v>
      </c>
      <c r="T108" s="912">
        <f t="shared" si="65"/>
        <v>0</v>
      </c>
      <c r="U108" s="912">
        <f t="shared" si="65"/>
        <v>0</v>
      </c>
      <c r="V108" s="912">
        <f t="shared" si="65"/>
        <v>0</v>
      </c>
      <c r="W108" s="912">
        <f t="shared" si="65"/>
        <v>0</v>
      </c>
      <c r="X108" s="912">
        <f t="shared" si="65"/>
        <v>0</v>
      </c>
      <c r="Y108" s="912">
        <f t="shared" si="65"/>
        <v>0</v>
      </c>
      <c r="Z108" s="912">
        <f t="shared" si="65"/>
        <v>0</v>
      </c>
      <c r="AA108" s="912">
        <f t="shared" si="65"/>
        <v>0</v>
      </c>
      <c r="AB108" s="912">
        <f t="shared" si="65"/>
        <v>0</v>
      </c>
      <c r="AC108" s="913">
        <f t="shared" si="65"/>
        <v>0</v>
      </c>
      <c r="AD108" s="1"/>
      <c r="AE108" s="1"/>
    </row>
    <row r="109" spans="9:31" ht="15.75" outlineLevel="1" x14ac:dyDescent="0.25">
      <c r="I109" s="38" t="s">
        <v>74</v>
      </c>
      <c r="J109" s="97" t="s">
        <v>102</v>
      </c>
      <c r="K109" s="190">
        <v>30</v>
      </c>
      <c r="L109"/>
      <c r="N109" s="794">
        <f t="shared" ref="N109:AC109" si="66">MAX(SUM(N203,N201)-(-(SUM(N119:N123)+SUM(N126:N129)*50%)*IF(N78&lt;$K$109,N78,$K$109)/N78),0)</f>
        <v>0</v>
      </c>
      <c r="O109" s="914">
        <f t="shared" si="66"/>
        <v>0</v>
      </c>
      <c r="P109" s="914">
        <f t="shared" si="66"/>
        <v>0</v>
      </c>
      <c r="Q109" s="914">
        <f t="shared" si="66"/>
        <v>0</v>
      </c>
      <c r="R109" s="914">
        <f t="shared" si="66"/>
        <v>0</v>
      </c>
      <c r="S109" s="914">
        <f t="shared" si="66"/>
        <v>0</v>
      </c>
      <c r="T109" s="914">
        <f t="shared" si="66"/>
        <v>0</v>
      </c>
      <c r="U109" s="914">
        <f t="shared" si="66"/>
        <v>0</v>
      </c>
      <c r="V109" s="914">
        <f t="shared" si="66"/>
        <v>0</v>
      </c>
      <c r="W109" s="914">
        <f t="shared" si="66"/>
        <v>0</v>
      </c>
      <c r="X109" s="914">
        <f t="shared" si="66"/>
        <v>0</v>
      </c>
      <c r="Y109" s="914">
        <f t="shared" si="66"/>
        <v>0</v>
      </c>
      <c r="Z109" s="914">
        <f t="shared" si="66"/>
        <v>0</v>
      </c>
      <c r="AA109" s="914">
        <f t="shared" si="66"/>
        <v>0</v>
      </c>
      <c r="AB109" s="914">
        <f t="shared" si="66"/>
        <v>0</v>
      </c>
      <c r="AC109" s="915">
        <f t="shared" si="66"/>
        <v>0</v>
      </c>
      <c r="AD109" s="1"/>
      <c r="AE109" s="1"/>
    </row>
    <row r="110" spans="9:31" ht="15.75" outlineLevel="1" x14ac:dyDescent="0.25">
      <c r="I110" s="38" t="s">
        <v>76</v>
      </c>
      <c r="J110" s="97" t="s">
        <v>103</v>
      </c>
      <c r="K110" s="191">
        <v>60</v>
      </c>
      <c r="L110"/>
      <c r="N110" s="916">
        <f t="shared" ref="N110:AC110" si="67">IF(SUM(N108:N109)&gt;0,MAX(-N211-((SUM(N119:N123)+SUM(N127,N129))*IF(N78&lt;$K$110,N78,$K$110)/N78),-SUM(N108:N109)),0)</f>
        <v>0</v>
      </c>
      <c r="O110" s="917">
        <f t="shared" si="67"/>
        <v>0</v>
      </c>
      <c r="P110" s="917">
        <f t="shared" si="67"/>
        <v>0</v>
      </c>
      <c r="Q110" s="917">
        <f t="shared" si="67"/>
        <v>0</v>
      </c>
      <c r="R110" s="917">
        <f t="shared" si="67"/>
        <v>0</v>
      </c>
      <c r="S110" s="917">
        <f t="shared" si="67"/>
        <v>0</v>
      </c>
      <c r="T110" s="917">
        <f t="shared" si="67"/>
        <v>0</v>
      </c>
      <c r="U110" s="917">
        <f t="shared" si="67"/>
        <v>0</v>
      </c>
      <c r="V110" s="917">
        <f t="shared" si="67"/>
        <v>0</v>
      </c>
      <c r="W110" s="917">
        <f t="shared" si="67"/>
        <v>0</v>
      </c>
      <c r="X110" s="917">
        <f t="shared" si="67"/>
        <v>0</v>
      </c>
      <c r="Y110" s="917">
        <f t="shared" si="67"/>
        <v>0</v>
      </c>
      <c r="Z110" s="917">
        <f t="shared" si="67"/>
        <v>0</v>
      </c>
      <c r="AA110" s="917">
        <f t="shared" si="67"/>
        <v>0</v>
      </c>
      <c r="AB110" s="917">
        <f t="shared" si="67"/>
        <v>0</v>
      </c>
      <c r="AC110" s="918">
        <f t="shared" si="67"/>
        <v>0</v>
      </c>
      <c r="AD110" s="1"/>
      <c r="AE110" s="1"/>
    </row>
    <row r="111" spans="9:31" ht="15.75" outlineLevel="1" x14ac:dyDescent="0.25">
      <c r="I111" s="38" t="s">
        <v>62</v>
      </c>
      <c r="J111" s="192" t="s">
        <v>104</v>
      </c>
      <c r="K111" s="148"/>
      <c r="L111"/>
      <c r="N111" s="919">
        <f>MAX(SUM(N108:N110),0)</f>
        <v>0</v>
      </c>
      <c r="O111" s="920">
        <f t="shared" ref="O111:AC111" si="68">MAX(SUM(O108:O110),0)</f>
        <v>0</v>
      </c>
      <c r="P111" s="920">
        <f t="shared" si="68"/>
        <v>0</v>
      </c>
      <c r="Q111" s="920">
        <f t="shared" si="68"/>
        <v>0</v>
      </c>
      <c r="R111" s="920">
        <f t="shared" si="68"/>
        <v>0</v>
      </c>
      <c r="S111" s="920">
        <f t="shared" si="68"/>
        <v>0</v>
      </c>
      <c r="T111" s="920">
        <f t="shared" si="68"/>
        <v>0</v>
      </c>
      <c r="U111" s="920">
        <f t="shared" si="68"/>
        <v>0</v>
      </c>
      <c r="V111" s="920">
        <f t="shared" si="68"/>
        <v>0</v>
      </c>
      <c r="W111" s="920">
        <f t="shared" si="68"/>
        <v>0</v>
      </c>
      <c r="X111" s="920">
        <f t="shared" si="68"/>
        <v>0</v>
      </c>
      <c r="Y111" s="920">
        <f t="shared" si="68"/>
        <v>0</v>
      </c>
      <c r="Z111" s="920">
        <f t="shared" si="68"/>
        <v>0</v>
      </c>
      <c r="AA111" s="920">
        <f t="shared" si="68"/>
        <v>0</v>
      </c>
      <c r="AB111" s="920">
        <f t="shared" si="68"/>
        <v>0</v>
      </c>
      <c r="AC111" s="921">
        <f t="shared" si="68"/>
        <v>0</v>
      </c>
      <c r="AD111" s="1"/>
      <c r="AE111" s="1"/>
    </row>
    <row r="112" spans="9:31" outlineLevel="1" x14ac:dyDescent="0.3">
      <c r="I112" s="99"/>
      <c r="K112" s="193"/>
      <c r="N112" s="194"/>
      <c r="O112" s="194"/>
      <c r="P112" s="194"/>
      <c r="Q112" s="194"/>
      <c r="R112" s="194"/>
      <c r="S112" s="194"/>
      <c r="T112" s="194"/>
      <c r="U112" s="194"/>
      <c r="V112" s="194"/>
      <c r="W112" s="194"/>
      <c r="X112" s="194"/>
      <c r="Y112" s="194"/>
      <c r="Z112" s="194"/>
      <c r="AA112" s="194"/>
      <c r="AB112" s="194"/>
      <c r="AC112" s="194"/>
      <c r="AD112" s="1"/>
      <c r="AE112" s="1"/>
    </row>
    <row r="113" spans="8:58" ht="18" x14ac:dyDescent="0.2">
      <c r="I113" s="132">
        <v>3</v>
      </c>
      <c r="J113" s="33" t="s">
        <v>283</v>
      </c>
      <c r="K113" s="195" t="s">
        <v>8</v>
      </c>
      <c r="L113" s="196"/>
      <c r="N113" s="197">
        <f>N$11</f>
        <v>2024</v>
      </c>
      <c r="O113" s="133">
        <f t="shared" ref="O113:AC113" si="69">O$11</f>
        <v>2025</v>
      </c>
      <c r="P113" s="133">
        <f t="shared" si="69"/>
        <v>2026</v>
      </c>
      <c r="Q113" s="133">
        <f t="shared" si="69"/>
        <v>2027</v>
      </c>
      <c r="R113" s="133">
        <f t="shared" si="69"/>
        <v>2028</v>
      </c>
      <c r="S113" s="133">
        <f t="shared" si="69"/>
        <v>2029</v>
      </c>
      <c r="T113" s="133">
        <f t="shared" si="69"/>
        <v>2030</v>
      </c>
      <c r="U113" s="133">
        <f t="shared" si="69"/>
        <v>2031</v>
      </c>
      <c r="V113" s="133">
        <f t="shared" si="69"/>
        <v>2032</v>
      </c>
      <c r="W113" s="133">
        <f t="shared" si="69"/>
        <v>2033</v>
      </c>
      <c r="X113" s="133">
        <f t="shared" si="69"/>
        <v>2034</v>
      </c>
      <c r="Y113" s="133">
        <f t="shared" si="69"/>
        <v>2035</v>
      </c>
      <c r="Z113" s="133">
        <f t="shared" si="69"/>
        <v>2036</v>
      </c>
      <c r="AA113" s="133">
        <f t="shared" si="69"/>
        <v>2037</v>
      </c>
      <c r="AB113" s="133">
        <f t="shared" si="69"/>
        <v>2038</v>
      </c>
      <c r="AC113" s="198">
        <f t="shared" si="69"/>
        <v>2039</v>
      </c>
      <c r="AD113" s="1"/>
      <c r="AE113" s="1"/>
    </row>
    <row r="114" spans="8:58" ht="21.4" customHeight="1" x14ac:dyDescent="0.2">
      <c r="I114" s="199" t="e">
        <f>INDEX($J$118:$AC$171,MATCH(#REF!,$J$118:$J$171,0),MATCH($I$118,$J$118:$AC$118,0))</f>
        <v>#REF!</v>
      </c>
      <c r="J114" s="449" t="s">
        <v>105</v>
      </c>
      <c r="K114" s="1"/>
      <c r="AC114" s="201"/>
      <c r="AD114" s="1"/>
      <c r="AE114" s="1"/>
    </row>
    <row r="115" spans="8:58" s="4" customFormat="1" ht="15.75" x14ac:dyDescent="0.25">
      <c r="H115" s="1"/>
      <c r="I115" s="202"/>
      <c r="J115" s="447" t="s">
        <v>286</v>
      </c>
      <c r="K115" s="452">
        <f>SUM(N115:AC115)</f>
        <v>0</v>
      </c>
      <c r="L115" s="451" t="s">
        <v>287</v>
      </c>
      <c r="N115" s="1054"/>
      <c r="O115" s="1054"/>
      <c r="P115" s="1054"/>
      <c r="Q115" s="1054"/>
      <c r="R115" s="1054"/>
      <c r="S115" s="1054"/>
      <c r="T115" s="1054"/>
      <c r="U115" s="1054"/>
      <c r="V115" s="1054"/>
      <c r="W115" s="1054"/>
      <c r="X115" s="1054"/>
      <c r="Y115" s="1054"/>
      <c r="Z115" s="1054"/>
      <c r="AA115" s="1054"/>
      <c r="AB115" s="1054"/>
      <c r="AC115" s="1055"/>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row>
    <row r="116" spans="8:58" s="4" customFormat="1" ht="15.75" x14ac:dyDescent="0.25">
      <c r="H116" s="1"/>
      <c r="I116" s="202"/>
      <c r="J116" s="448" t="s">
        <v>386</v>
      </c>
      <c r="K116" s="922">
        <f>IFERROR(K118/K115,)</f>
        <v>0</v>
      </c>
      <c r="L116" s="923" t="s">
        <v>300</v>
      </c>
      <c r="M116" s="924"/>
      <c r="N116" s="1009"/>
      <c r="O116" s="1009"/>
      <c r="P116" s="1009"/>
      <c r="Q116" s="1009"/>
      <c r="R116" s="1009"/>
      <c r="S116" s="1009"/>
      <c r="T116" s="1009"/>
      <c r="U116" s="1009"/>
      <c r="V116" s="1009"/>
      <c r="W116" s="1009"/>
      <c r="X116" s="1009"/>
      <c r="Y116" s="1009"/>
      <c r="Z116" s="1009"/>
      <c r="AA116" s="1009"/>
      <c r="AB116" s="1009"/>
      <c r="AC116" s="1010"/>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row>
    <row r="117" spans="8:58" ht="7.9" customHeight="1" x14ac:dyDescent="0.2">
      <c r="I117" s="199"/>
      <c r="J117" s="200"/>
      <c r="K117" s="1"/>
      <c r="N117" s="750"/>
      <c r="O117" s="750"/>
      <c r="P117" s="750"/>
      <c r="Q117" s="750"/>
      <c r="R117" s="750"/>
      <c r="S117" s="750"/>
      <c r="T117" s="750"/>
      <c r="U117" s="750"/>
      <c r="V117" s="750"/>
      <c r="W117" s="750"/>
      <c r="X117" s="750"/>
      <c r="Y117" s="750"/>
      <c r="Z117" s="750"/>
      <c r="AA117" s="750"/>
      <c r="AB117" s="750"/>
      <c r="AC117" s="800"/>
      <c r="AD117" s="1"/>
      <c r="AE117" s="1"/>
    </row>
    <row r="118" spans="8:58" s="4" customFormat="1" ht="22.5" customHeight="1" x14ac:dyDescent="0.25">
      <c r="H118" s="1"/>
      <c r="I118" s="202">
        <f>MAX(N118:AC118)</f>
        <v>0</v>
      </c>
      <c r="J118" s="203" t="s">
        <v>12</v>
      </c>
      <c r="K118" s="810">
        <f>SUM(N118:AC118)</f>
        <v>0</v>
      </c>
      <c r="L118" s="204" t="s">
        <v>106</v>
      </c>
      <c r="N118" s="1052">
        <f>N116*N115</f>
        <v>0</v>
      </c>
      <c r="O118" s="1052">
        <f t="shared" ref="O118:V118" si="70">O116*O115</f>
        <v>0</v>
      </c>
      <c r="P118" s="1052">
        <f t="shared" si="70"/>
        <v>0</v>
      </c>
      <c r="Q118" s="1052">
        <f t="shared" si="70"/>
        <v>0</v>
      </c>
      <c r="R118" s="1052">
        <f t="shared" si="70"/>
        <v>0</v>
      </c>
      <c r="S118" s="1052">
        <f t="shared" si="70"/>
        <v>0</v>
      </c>
      <c r="T118" s="1052">
        <f t="shared" si="70"/>
        <v>0</v>
      </c>
      <c r="U118" s="1052">
        <f t="shared" si="70"/>
        <v>0</v>
      </c>
      <c r="V118" s="1052">
        <f t="shared" si="70"/>
        <v>0</v>
      </c>
      <c r="W118" s="1052">
        <f>W116*W115</f>
        <v>0</v>
      </c>
      <c r="X118" s="1052">
        <f t="shared" ref="X118:AB118" si="71">X116*X115</f>
        <v>0</v>
      </c>
      <c r="Y118" s="1052">
        <f t="shared" si="71"/>
        <v>0</v>
      </c>
      <c r="Z118" s="1052">
        <f t="shared" si="71"/>
        <v>0</v>
      </c>
      <c r="AA118" s="1052">
        <f t="shared" si="71"/>
        <v>0</v>
      </c>
      <c r="AB118" s="1052">
        <f t="shared" si="71"/>
        <v>0</v>
      </c>
      <c r="AC118" s="1053"/>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row>
    <row r="119" spans="8:58" s="4" customFormat="1" ht="15.75" x14ac:dyDescent="0.25">
      <c r="H119" s="1"/>
      <c r="I119" s="202">
        <f>INDEX($J$118:$AC$171,MATCH($J119,$J$118:$J$171,0),MATCH($I$118,$J$118:$AC$118,0))</f>
        <v>0</v>
      </c>
      <c r="J119" s="97" t="s">
        <v>107</v>
      </c>
      <c r="K119" s="811">
        <f>SUM(N119:AC119)</f>
        <v>0</v>
      </c>
      <c r="L119" s="221">
        <f t="shared" ref="L119:L124" si="72">IFERROR(K119/$K$118,)</f>
        <v>0</v>
      </c>
      <c r="N119" s="1004"/>
      <c r="O119" s="1005"/>
      <c r="P119" s="1005"/>
      <c r="Q119" s="1006"/>
      <c r="R119" s="1006"/>
      <c r="S119" s="1006"/>
      <c r="T119" s="1006"/>
      <c r="U119" s="1006"/>
      <c r="V119" s="1006"/>
      <c r="W119" s="1006"/>
      <c r="X119" s="1006"/>
      <c r="Y119" s="1006"/>
      <c r="Z119" s="1006"/>
      <c r="AA119" s="1006"/>
      <c r="AB119" s="1006"/>
      <c r="AC119" s="1007"/>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row>
    <row r="120" spans="8:58" s="4" customFormat="1" ht="15.75" x14ac:dyDescent="0.25">
      <c r="H120" s="1"/>
      <c r="I120" s="202"/>
      <c r="J120" s="97" t="s">
        <v>108</v>
      </c>
      <c r="K120" s="812">
        <f t="shared" ref="K120:K132" si="73">SUM(N120:AC120)</f>
        <v>0</v>
      </c>
      <c r="L120" s="221">
        <f t="shared" si="72"/>
        <v>0</v>
      </c>
      <c r="N120" s="1004"/>
      <c r="O120" s="1005"/>
      <c r="P120" s="1005"/>
      <c r="Q120" s="1006"/>
      <c r="R120" s="1006"/>
      <c r="S120" s="1006"/>
      <c r="T120" s="1006"/>
      <c r="U120" s="1006"/>
      <c r="V120" s="1006"/>
      <c r="W120" s="1006"/>
      <c r="X120" s="1006"/>
      <c r="Y120" s="1006"/>
      <c r="Z120" s="1006"/>
      <c r="AA120" s="1006"/>
      <c r="AB120" s="1006"/>
      <c r="AC120" s="1007"/>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row>
    <row r="121" spans="8:58" s="4" customFormat="1" ht="15.75" x14ac:dyDescent="0.25">
      <c r="H121" s="1"/>
      <c r="I121" s="202"/>
      <c r="J121" s="97" t="s">
        <v>109</v>
      </c>
      <c r="K121" s="812">
        <f t="shared" si="73"/>
        <v>0</v>
      </c>
      <c r="L121" s="221">
        <f t="shared" si="72"/>
        <v>0</v>
      </c>
      <c r="N121" s="1004"/>
      <c r="O121" s="1004"/>
      <c r="P121" s="1004"/>
      <c r="Q121" s="1004"/>
      <c r="R121" s="1004"/>
      <c r="S121" s="1004"/>
      <c r="T121" s="1004"/>
      <c r="U121" s="1004"/>
      <c r="V121" s="1004"/>
      <c r="W121" s="1004"/>
      <c r="X121" s="1004"/>
      <c r="Y121" s="1004"/>
      <c r="Z121" s="1004"/>
      <c r="AA121" s="1004"/>
      <c r="AB121" s="1004"/>
      <c r="AC121" s="1007"/>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row>
    <row r="122" spans="8:58" s="4" customFormat="1" ht="15.75" x14ac:dyDescent="0.25">
      <c r="H122" s="1"/>
      <c r="I122" s="202"/>
      <c r="J122" s="97" t="s">
        <v>110</v>
      </c>
      <c r="K122" s="812">
        <f t="shared" si="73"/>
        <v>0</v>
      </c>
      <c r="L122" s="221">
        <f t="shared" si="72"/>
        <v>0</v>
      </c>
      <c r="N122" s="1004"/>
      <c r="O122" s="1005"/>
      <c r="P122" s="1005"/>
      <c r="Q122" s="1006"/>
      <c r="R122" s="1006"/>
      <c r="S122" s="1006"/>
      <c r="T122" s="1006"/>
      <c r="U122" s="1006"/>
      <c r="V122" s="1006"/>
      <c r="W122" s="1006"/>
      <c r="X122" s="1006"/>
      <c r="Y122" s="1006"/>
      <c r="Z122" s="1006"/>
      <c r="AA122" s="1006"/>
      <c r="AB122" s="1006"/>
      <c r="AC122" s="1007"/>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row>
    <row r="123" spans="8:58" s="4" customFormat="1" ht="15.75" x14ac:dyDescent="0.25">
      <c r="H123" s="1"/>
      <c r="I123" s="202"/>
      <c r="J123" s="74" t="s">
        <v>111</v>
      </c>
      <c r="K123" s="813">
        <f t="shared" si="73"/>
        <v>0</v>
      </c>
      <c r="L123" s="209">
        <f t="shared" si="72"/>
        <v>0</v>
      </c>
      <c r="N123" s="1004"/>
      <c r="O123" s="1005"/>
      <c r="P123" s="1005"/>
      <c r="Q123" s="1006"/>
      <c r="R123" s="1006"/>
      <c r="S123" s="1006"/>
      <c r="T123" s="1006"/>
      <c r="U123" s="1006"/>
      <c r="V123" s="1006"/>
      <c r="W123" s="1006"/>
      <c r="X123" s="1006"/>
      <c r="Y123" s="1006"/>
      <c r="Z123" s="1006"/>
      <c r="AA123" s="1006"/>
      <c r="AB123" s="1006"/>
      <c r="AC123" s="1007"/>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row>
    <row r="124" spans="8:58" s="4" customFormat="1" ht="15.75" x14ac:dyDescent="0.25">
      <c r="H124" s="1"/>
      <c r="I124" s="202"/>
      <c r="J124" s="210" t="s">
        <v>112</v>
      </c>
      <c r="K124" s="823">
        <f>SUM(K118:K123)</f>
        <v>0</v>
      </c>
      <c r="L124" s="211">
        <f t="shared" si="72"/>
        <v>0</v>
      </c>
      <c r="N124" s="802">
        <f t="shared" ref="N124:AC124" si="74">SUM(N118:N123)</f>
        <v>0</v>
      </c>
      <c r="O124" s="802">
        <f t="shared" si="74"/>
        <v>0</v>
      </c>
      <c r="P124" s="802">
        <f t="shared" si="74"/>
        <v>0</v>
      </c>
      <c r="Q124" s="802">
        <f t="shared" si="74"/>
        <v>0</v>
      </c>
      <c r="R124" s="802">
        <f t="shared" si="74"/>
        <v>0</v>
      </c>
      <c r="S124" s="802">
        <f t="shared" si="74"/>
        <v>0</v>
      </c>
      <c r="T124" s="802">
        <f t="shared" si="74"/>
        <v>0</v>
      </c>
      <c r="U124" s="802">
        <f t="shared" si="74"/>
        <v>0</v>
      </c>
      <c r="V124" s="802">
        <f t="shared" si="74"/>
        <v>0</v>
      </c>
      <c r="W124" s="802">
        <f t="shared" si="74"/>
        <v>0</v>
      </c>
      <c r="X124" s="802">
        <f t="shared" si="74"/>
        <v>0</v>
      </c>
      <c r="Y124" s="802">
        <f t="shared" si="74"/>
        <v>0</v>
      </c>
      <c r="Z124" s="802">
        <f t="shared" si="74"/>
        <v>0</v>
      </c>
      <c r="AA124" s="802">
        <f t="shared" si="74"/>
        <v>0</v>
      </c>
      <c r="AB124" s="802">
        <f t="shared" si="74"/>
        <v>0</v>
      </c>
      <c r="AC124" s="802">
        <f t="shared" si="74"/>
        <v>0</v>
      </c>
      <c r="AD124" s="1"/>
      <c r="AE124" s="212"/>
      <c r="AF124" s="212"/>
      <c r="AG124" s="212"/>
      <c r="AH124" s="212"/>
      <c r="AI124" s="212"/>
      <c r="AJ124" s="212"/>
      <c r="AK124" s="212"/>
      <c r="AL124" s="212"/>
      <c r="AM124" s="212"/>
      <c r="AN124" s="212"/>
      <c r="AO124" s="212"/>
      <c r="AP124" s="212"/>
      <c r="AQ124" s="212"/>
      <c r="AR124" s="212"/>
      <c r="AS124" s="212"/>
      <c r="AT124" s="212"/>
      <c r="AU124" s="1"/>
      <c r="AV124" s="1"/>
      <c r="AW124" s="1"/>
      <c r="AX124" s="1"/>
      <c r="AY124" s="1"/>
      <c r="AZ124" s="1"/>
      <c r="BA124" s="1"/>
      <c r="BB124" s="1"/>
      <c r="BC124" s="1"/>
      <c r="BD124" s="1"/>
      <c r="BE124" s="1"/>
      <c r="BF124" s="1"/>
    </row>
    <row r="125" spans="8:58" s="217" customFormat="1" ht="13.5" customHeight="1" x14ac:dyDescent="0.2">
      <c r="H125" s="212"/>
      <c r="I125" s="213"/>
      <c r="J125" s="214" t="s">
        <v>113</v>
      </c>
      <c r="K125" s="215">
        <f>IFERROR(K124/K$118,)</f>
        <v>0</v>
      </c>
      <c r="L125" s="216"/>
      <c r="N125" s="272">
        <f t="shared" ref="N125:AC125" si="75">IFERROR(N124/N$118,)</f>
        <v>0</v>
      </c>
      <c r="O125" s="272">
        <f t="shared" si="75"/>
        <v>0</v>
      </c>
      <c r="P125" s="272">
        <f t="shared" si="75"/>
        <v>0</v>
      </c>
      <c r="Q125" s="272">
        <f t="shared" si="75"/>
        <v>0</v>
      </c>
      <c r="R125" s="272">
        <f t="shared" si="75"/>
        <v>0</v>
      </c>
      <c r="S125" s="272">
        <f t="shared" si="75"/>
        <v>0</v>
      </c>
      <c r="T125" s="272">
        <f t="shared" si="75"/>
        <v>0</v>
      </c>
      <c r="U125" s="272">
        <f t="shared" si="75"/>
        <v>0</v>
      </c>
      <c r="V125" s="272">
        <f t="shared" si="75"/>
        <v>0</v>
      </c>
      <c r="W125" s="272">
        <f t="shared" si="75"/>
        <v>0</v>
      </c>
      <c r="X125" s="272">
        <f t="shared" si="75"/>
        <v>0</v>
      </c>
      <c r="Y125" s="272">
        <f t="shared" si="75"/>
        <v>0</v>
      </c>
      <c r="Z125" s="272">
        <f t="shared" si="75"/>
        <v>0</v>
      </c>
      <c r="AA125" s="272">
        <f t="shared" si="75"/>
        <v>0</v>
      </c>
      <c r="AB125" s="272">
        <f t="shared" si="75"/>
        <v>0</v>
      </c>
      <c r="AC125" s="272">
        <f t="shared" si="75"/>
        <v>0</v>
      </c>
      <c r="AD125" s="212"/>
      <c r="AE125" s="1"/>
      <c r="AF125" s="1"/>
      <c r="AG125" s="1"/>
      <c r="AH125" s="1"/>
      <c r="AI125" s="1"/>
      <c r="AJ125" s="1"/>
      <c r="AK125" s="1"/>
      <c r="AL125" s="1"/>
      <c r="AM125" s="1"/>
      <c r="AN125" s="1"/>
      <c r="AO125" s="1"/>
      <c r="AP125" s="1"/>
      <c r="AQ125" s="1"/>
      <c r="AR125" s="1"/>
      <c r="AS125" s="1"/>
      <c r="AT125" s="1"/>
      <c r="AU125" s="212"/>
      <c r="AV125" s="212"/>
      <c r="AW125" s="212"/>
      <c r="AX125" s="212"/>
      <c r="AY125" s="212"/>
      <c r="AZ125" s="212"/>
      <c r="BA125" s="212"/>
      <c r="BB125" s="212"/>
      <c r="BC125" s="212"/>
      <c r="BD125" s="212"/>
      <c r="BE125" s="212"/>
      <c r="BF125" s="212"/>
    </row>
    <row r="126" spans="8:58" s="4" customFormat="1" ht="15.75" x14ac:dyDescent="0.25">
      <c r="H126" s="1"/>
      <c r="I126" s="202"/>
      <c r="J126" s="97" t="s">
        <v>114</v>
      </c>
      <c r="K126" s="812">
        <f t="shared" si="73"/>
        <v>0</v>
      </c>
      <c r="L126" s="221">
        <f>IFERROR(K126/$K$118,)</f>
        <v>0</v>
      </c>
      <c r="N126" s="1004"/>
      <c r="O126" s="1005"/>
      <c r="P126" s="1005"/>
      <c r="Q126" s="1006"/>
      <c r="R126" s="1006"/>
      <c r="S126" s="1006"/>
      <c r="T126" s="1006"/>
      <c r="U126" s="1006"/>
      <c r="V126" s="1006"/>
      <c r="W126" s="1006"/>
      <c r="X126" s="1006"/>
      <c r="Y126" s="1006"/>
      <c r="Z126" s="1006"/>
      <c r="AA126" s="1006"/>
      <c r="AB126" s="1006"/>
      <c r="AC126" s="1007"/>
      <c r="AD126" s="219"/>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8:58" s="4" customFormat="1" ht="15.75" x14ac:dyDescent="0.25">
      <c r="H127" s="1"/>
      <c r="I127" s="202"/>
      <c r="J127" s="97" t="s">
        <v>115</v>
      </c>
      <c r="K127" s="812">
        <f t="shared" si="73"/>
        <v>0</v>
      </c>
      <c r="L127" s="221">
        <f t="shared" ref="L127:L132" si="76">IFERROR(K127/$K$118,)</f>
        <v>0</v>
      </c>
      <c r="N127" s="1004"/>
      <c r="O127" s="1005"/>
      <c r="P127" s="1005"/>
      <c r="Q127" s="1006"/>
      <c r="R127" s="1006"/>
      <c r="S127" s="1006"/>
      <c r="T127" s="1006"/>
      <c r="U127" s="1006"/>
      <c r="V127" s="1006"/>
      <c r="W127" s="1006"/>
      <c r="X127" s="1006"/>
      <c r="Y127" s="1006"/>
      <c r="Z127" s="1006"/>
      <c r="AA127" s="1006"/>
      <c r="AB127" s="1006"/>
      <c r="AC127" s="1007"/>
      <c r="AD127" s="219"/>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row>
    <row r="128" spans="8:58" s="4" customFormat="1" ht="15.75" x14ac:dyDescent="0.25">
      <c r="H128" s="1"/>
      <c r="I128" s="202"/>
      <c r="J128" s="97" t="s">
        <v>116</v>
      </c>
      <c r="K128" s="812">
        <f t="shared" si="73"/>
        <v>0</v>
      </c>
      <c r="L128" s="221">
        <f t="shared" si="76"/>
        <v>0</v>
      </c>
      <c r="N128" s="1004"/>
      <c r="O128" s="1005"/>
      <c r="P128" s="1005"/>
      <c r="Q128" s="1006"/>
      <c r="R128" s="1006"/>
      <c r="S128" s="1006"/>
      <c r="T128" s="1006"/>
      <c r="U128" s="1006"/>
      <c r="V128" s="1006"/>
      <c r="W128" s="1006"/>
      <c r="X128" s="1006"/>
      <c r="Y128" s="1006"/>
      <c r="Z128" s="1006"/>
      <c r="AA128" s="1006"/>
      <c r="AB128" s="1006"/>
      <c r="AC128" s="1007"/>
      <c r="AD128" s="219"/>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row>
    <row r="129" spans="8:58" s="4" customFormat="1" ht="15.75" x14ac:dyDescent="0.25">
      <c r="H129" s="1"/>
      <c r="I129" s="202"/>
      <c r="J129" s="97" t="s">
        <v>117</v>
      </c>
      <c r="K129" s="812">
        <f t="shared" si="73"/>
        <v>0</v>
      </c>
      <c r="L129" s="221">
        <f t="shared" si="76"/>
        <v>0</v>
      </c>
      <c r="N129" s="1004"/>
      <c r="O129" s="1005"/>
      <c r="P129" s="1005"/>
      <c r="Q129" s="1006"/>
      <c r="R129" s="1006"/>
      <c r="S129" s="1006"/>
      <c r="T129" s="1006"/>
      <c r="U129" s="1006"/>
      <c r="V129" s="1006"/>
      <c r="W129" s="1006"/>
      <c r="X129" s="1006"/>
      <c r="Y129" s="1006"/>
      <c r="Z129" s="1006"/>
      <c r="AA129" s="1006"/>
      <c r="AB129" s="1006"/>
      <c r="AC129" s="1007"/>
      <c r="AD129" s="219"/>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8:58" s="4" customFormat="1" ht="15.75" x14ac:dyDescent="0.25">
      <c r="H130" s="1"/>
      <c r="I130" s="202">
        <f>INDEX($J$118:$AC$171,MATCH($J130,$J$118:$J$171,0),MATCH($I$118,$J$118:$AC$118,0))</f>
        <v>0</v>
      </c>
      <c r="J130" s="97" t="s">
        <v>118</v>
      </c>
      <c r="K130" s="812">
        <f t="shared" si="73"/>
        <v>0</v>
      </c>
      <c r="L130" s="221">
        <f t="shared" si="76"/>
        <v>0</v>
      </c>
      <c r="N130" s="1004"/>
      <c r="O130" s="1005"/>
      <c r="P130" s="1005"/>
      <c r="Q130" s="1006"/>
      <c r="R130" s="1006"/>
      <c r="S130" s="1006"/>
      <c r="T130" s="1006"/>
      <c r="U130" s="1006"/>
      <c r="V130" s="1006"/>
      <c r="W130" s="1006"/>
      <c r="X130" s="1006"/>
      <c r="Y130" s="1006"/>
      <c r="Z130" s="1006"/>
      <c r="AA130" s="1006"/>
      <c r="AB130" s="1006"/>
      <c r="AC130" s="1007"/>
      <c r="AD130" s="219"/>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8:58" s="4" customFormat="1" ht="15.75" x14ac:dyDescent="0.25">
      <c r="H131" s="1"/>
      <c r="I131" s="202"/>
      <c r="J131" s="97" t="s">
        <v>119</v>
      </c>
      <c r="K131" s="812">
        <f t="shared" si="73"/>
        <v>0</v>
      </c>
      <c r="L131" s="221">
        <f t="shared" si="76"/>
        <v>0</v>
      </c>
      <c r="N131" s="1004"/>
      <c r="O131" s="1005"/>
      <c r="P131" s="1005"/>
      <c r="Q131" s="1006"/>
      <c r="R131" s="1006"/>
      <c r="S131" s="1006"/>
      <c r="T131" s="1006"/>
      <c r="U131" s="1006"/>
      <c r="V131" s="1006"/>
      <c r="W131" s="1006"/>
      <c r="X131" s="1006"/>
      <c r="Y131" s="1006"/>
      <c r="Z131" s="1006"/>
      <c r="AA131" s="1006"/>
      <c r="AB131" s="1006"/>
      <c r="AC131" s="1007"/>
      <c r="AD131" s="219"/>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row>
    <row r="132" spans="8:58" s="4" customFormat="1" ht="15.75" x14ac:dyDescent="0.25">
      <c r="H132" s="1"/>
      <c r="I132" s="202"/>
      <c r="J132" s="74" t="s">
        <v>120</v>
      </c>
      <c r="K132" s="812">
        <f t="shared" si="73"/>
        <v>0</v>
      </c>
      <c r="L132" s="221">
        <f t="shared" si="76"/>
        <v>0</v>
      </c>
      <c r="N132" s="1004"/>
      <c r="O132" s="1005"/>
      <c r="P132" s="1005"/>
      <c r="Q132" s="1006"/>
      <c r="R132" s="1006"/>
      <c r="S132" s="1006"/>
      <c r="T132" s="1006"/>
      <c r="U132" s="1006"/>
      <c r="V132" s="1006"/>
      <c r="W132" s="1006"/>
      <c r="X132" s="1006"/>
      <c r="Y132" s="1006"/>
      <c r="Z132" s="1006"/>
      <c r="AA132" s="1006"/>
      <c r="AB132" s="1006"/>
      <c r="AC132" s="1007"/>
      <c r="AD132" s="219"/>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row>
    <row r="133" spans="8:58" s="4" customFormat="1" ht="15.75" x14ac:dyDescent="0.25">
      <c r="H133" s="1"/>
      <c r="I133" s="202">
        <f>INDEX($J$118:$AC$171,MATCH($J133,$J$118:$J$171,0),MATCH($I$118,$J$118:$AC$118,0))</f>
        <v>0</v>
      </c>
      <c r="J133" s="210" t="s">
        <v>121</v>
      </c>
      <c r="K133" s="814">
        <f>K124+SUM(K126:K132)</f>
        <v>0</v>
      </c>
      <c r="L133" s="220">
        <f>IFERROR(K133/$K$118,)</f>
        <v>0</v>
      </c>
      <c r="N133" s="804">
        <f>N124+SUM(N126:N132)</f>
        <v>0</v>
      </c>
      <c r="O133" s="804">
        <f t="shared" ref="O133:AC133" si="77">O124+SUM(O126:O132)</f>
        <v>0</v>
      </c>
      <c r="P133" s="804">
        <f t="shared" si="77"/>
        <v>0</v>
      </c>
      <c r="Q133" s="804">
        <f t="shared" si="77"/>
        <v>0</v>
      </c>
      <c r="R133" s="804">
        <f t="shared" si="77"/>
        <v>0</v>
      </c>
      <c r="S133" s="804">
        <f t="shared" si="77"/>
        <v>0</v>
      </c>
      <c r="T133" s="804">
        <f t="shared" si="77"/>
        <v>0</v>
      </c>
      <c r="U133" s="804">
        <f t="shared" si="77"/>
        <v>0</v>
      </c>
      <c r="V133" s="804">
        <f t="shared" si="77"/>
        <v>0</v>
      </c>
      <c r="W133" s="804">
        <f t="shared" si="77"/>
        <v>0</v>
      </c>
      <c r="X133" s="804">
        <f t="shared" si="77"/>
        <v>0</v>
      </c>
      <c r="Y133" s="804">
        <f t="shared" si="77"/>
        <v>0</v>
      </c>
      <c r="Z133" s="804">
        <f t="shared" si="77"/>
        <v>0</v>
      </c>
      <c r="AA133" s="804">
        <f t="shared" si="77"/>
        <v>0</v>
      </c>
      <c r="AB133" s="804">
        <f t="shared" si="77"/>
        <v>0</v>
      </c>
      <c r="AC133" s="804">
        <f t="shared" si="77"/>
        <v>0</v>
      </c>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row>
    <row r="134" spans="8:58" s="4" customFormat="1" ht="15.75" x14ac:dyDescent="0.25">
      <c r="H134" s="1"/>
      <c r="I134" s="202">
        <f>INDEX($J$118:$AC$171,MATCH($J134,$J$118:$J$171,0),MATCH($I$118,$J$118:$AC$118,0))</f>
        <v>0</v>
      </c>
      <c r="J134" s="97" t="s">
        <v>122</v>
      </c>
      <c r="K134" s="812">
        <f>SUM(N134:AC134)</f>
        <v>0</v>
      </c>
      <c r="L134" s="221">
        <f>IFERROR(K134/$K$118,)</f>
        <v>0</v>
      </c>
      <c r="N134" s="1004"/>
      <c r="O134" s="1005"/>
      <c r="P134" s="1005"/>
      <c r="Q134" s="1006"/>
      <c r="R134" s="1006"/>
      <c r="S134" s="1006"/>
      <c r="T134" s="1006"/>
      <c r="U134" s="1006"/>
      <c r="V134" s="1006"/>
      <c r="W134" s="1006"/>
      <c r="X134" s="1006"/>
      <c r="Y134" s="1006"/>
      <c r="Z134" s="1006"/>
      <c r="AA134" s="1006"/>
      <c r="AB134" s="1006"/>
      <c r="AC134" s="1007"/>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8:58" s="4" customFormat="1" ht="15.75" x14ac:dyDescent="0.25">
      <c r="H135" s="1"/>
      <c r="I135" s="202"/>
      <c r="J135" s="97" t="s">
        <v>284</v>
      </c>
      <c r="K135" s="815">
        <f>SUM(N135:AC135)</f>
        <v>0</v>
      </c>
      <c r="L135" s="221">
        <f>IFERROR(K135/$K$118,)</f>
        <v>0</v>
      </c>
      <c r="N135" s="1004"/>
      <c r="O135" s="1004"/>
      <c r="P135" s="1004"/>
      <c r="Q135" s="1004"/>
      <c r="R135" s="1004"/>
      <c r="S135" s="1004"/>
      <c r="T135" s="1004"/>
      <c r="U135" s="1004"/>
      <c r="V135" s="1004"/>
      <c r="W135" s="1004"/>
      <c r="X135" s="1004"/>
      <c r="Y135" s="1004"/>
      <c r="Z135" s="1004"/>
      <c r="AA135" s="1004"/>
      <c r="AB135" s="1004"/>
      <c r="AC135" s="1004"/>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8:58" s="4" customFormat="1" ht="15.75" x14ac:dyDescent="0.25">
      <c r="H136" s="1"/>
      <c r="I136" s="202"/>
      <c r="J136" s="97" t="s">
        <v>123</v>
      </c>
      <c r="K136" s="812">
        <f>SUM(N136:AC136)</f>
        <v>0</v>
      </c>
      <c r="L136" s="221">
        <f t="shared" ref="L136:L143" si="78">IFERROR(K136/$K$118,)</f>
        <v>0</v>
      </c>
      <c r="N136" s="1004"/>
      <c r="O136" s="1005"/>
      <c r="P136" s="1005"/>
      <c r="Q136" s="1006"/>
      <c r="R136" s="1006"/>
      <c r="S136" s="1006"/>
      <c r="T136" s="1006"/>
      <c r="U136" s="1006"/>
      <c r="V136" s="1006"/>
      <c r="W136" s="1006"/>
      <c r="X136" s="1006"/>
      <c r="Y136" s="1006"/>
      <c r="Z136" s="1006"/>
      <c r="AA136" s="1006"/>
      <c r="AB136" s="1006"/>
      <c r="AC136" s="1007"/>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row>
    <row r="137" spans="8:58" ht="15.75" x14ac:dyDescent="0.25">
      <c r="I137" s="202">
        <f>INDEX($J$118:$AC$171,MATCH($J137,$J$118:$J$171,0),MATCH($I$118,$J$118:$AC$118,0))</f>
        <v>0</v>
      </c>
      <c r="J137" s="31" t="s">
        <v>124</v>
      </c>
      <c r="K137" s="816">
        <f>SUM(N137:AC137)</f>
        <v>0</v>
      </c>
      <c r="L137" s="221">
        <f t="shared" si="78"/>
        <v>0</v>
      </c>
      <c r="N137" s="1004"/>
      <c r="O137" s="1005"/>
      <c r="P137" s="1005"/>
      <c r="Q137" s="1006"/>
      <c r="R137" s="1006"/>
      <c r="S137" s="1006"/>
      <c r="T137" s="1006"/>
      <c r="U137" s="1006"/>
      <c r="V137" s="1006"/>
      <c r="W137" s="1006"/>
      <c r="X137" s="1006"/>
      <c r="Y137" s="1006"/>
      <c r="Z137" s="1006"/>
      <c r="AA137" s="1006"/>
      <c r="AB137" s="1006"/>
      <c r="AC137" s="1007"/>
      <c r="AD137" s="1"/>
      <c r="AE137" s="1"/>
    </row>
    <row r="138" spans="8:58" ht="15.75" x14ac:dyDescent="0.25">
      <c r="I138" s="202">
        <f>INDEX($J$118:$AC$171,MATCH($J138,$J$118:$J$171,0),MATCH($I$118,$J$118:$AC$118,0))</f>
        <v>0</v>
      </c>
      <c r="J138" s="222" t="s">
        <v>125</v>
      </c>
      <c r="K138" s="817">
        <f>K133+SUM(K134:K137)</f>
        <v>0</v>
      </c>
      <c r="L138" s="223">
        <f t="shared" si="78"/>
        <v>0</v>
      </c>
      <c r="N138" s="805">
        <f t="shared" ref="N138:AC138" si="79">N133+SUM(N134:N137)</f>
        <v>0</v>
      </c>
      <c r="O138" s="805">
        <f t="shared" si="79"/>
        <v>0</v>
      </c>
      <c r="P138" s="805">
        <f t="shared" si="79"/>
        <v>0</v>
      </c>
      <c r="Q138" s="805">
        <f t="shared" si="79"/>
        <v>0</v>
      </c>
      <c r="R138" s="805">
        <f t="shared" si="79"/>
        <v>0</v>
      </c>
      <c r="S138" s="805">
        <f t="shared" si="79"/>
        <v>0</v>
      </c>
      <c r="T138" s="805">
        <f t="shared" si="79"/>
        <v>0</v>
      </c>
      <c r="U138" s="805">
        <f t="shared" si="79"/>
        <v>0</v>
      </c>
      <c r="V138" s="805">
        <f t="shared" si="79"/>
        <v>0</v>
      </c>
      <c r="W138" s="805">
        <f t="shared" si="79"/>
        <v>0</v>
      </c>
      <c r="X138" s="805">
        <f t="shared" si="79"/>
        <v>0</v>
      </c>
      <c r="Y138" s="805">
        <f t="shared" si="79"/>
        <v>0</v>
      </c>
      <c r="Z138" s="805">
        <f t="shared" si="79"/>
        <v>0</v>
      </c>
      <c r="AA138" s="805">
        <f t="shared" si="79"/>
        <v>0</v>
      </c>
      <c r="AB138" s="805">
        <f t="shared" si="79"/>
        <v>0</v>
      </c>
      <c r="AC138" s="805">
        <f t="shared" si="79"/>
        <v>0</v>
      </c>
      <c r="AD138" s="1"/>
      <c r="AE138" s="1"/>
    </row>
    <row r="139" spans="8:58" ht="15.75" x14ac:dyDescent="0.25">
      <c r="I139" s="202">
        <f>INDEX($J$118:$AC$171,MATCH($J139,$J$118:$J$171,0),MATCH($I$118,$J$118:$AC$118,0))</f>
        <v>0</v>
      </c>
      <c r="J139" s="565" t="s">
        <v>126</v>
      </c>
      <c r="K139" s="815">
        <f>SUM(N139:AC139)</f>
        <v>0</v>
      </c>
      <c r="L139" s="205">
        <f t="shared" si="78"/>
        <v>0</v>
      </c>
      <c r="N139" s="1004"/>
      <c r="O139" s="1005"/>
      <c r="P139" s="1005"/>
      <c r="Q139" s="1006"/>
      <c r="R139" s="1006"/>
      <c r="S139" s="1006"/>
      <c r="T139" s="1006"/>
      <c r="U139" s="1006"/>
      <c r="V139" s="1006"/>
      <c r="W139" s="1006"/>
      <c r="X139" s="1006"/>
      <c r="Y139" s="1006"/>
      <c r="Z139" s="1006"/>
      <c r="AA139" s="1006"/>
      <c r="AB139" s="1006"/>
      <c r="AC139" s="1007"/>
      <c r="AD139" s="1"/>
      <c r="AE139" s="1"/>
    </row>
    <row r="140" spans="8:58" ht="15.75" x14ac:dyDescent="0.25">
      <c r="I140" s="202">
        <f>INDEX($J$118:$AC$171,MATCH($J140,$J$118:$J$171,0),MATCH($I$118,$J$118:$AC$118,0))</f>
        <v>0</v>
      </c>
      <c r="J140" s="565" t="s">
        <v>416</v>
      </c>
      <c r="K140" s="816">
        <f>SUM(N140:AC140)</f>
        <v>0</v>
      </c>
      <c r="L140" s="221">
        <f t="shared" si="78"/>
        <v>0</v>
      </c>
      <c r="N140" s="1008"/>
      <c r="O140" s="1008"/>
      <c r="P140" s="1008"/>
      <c r="Q140" s="1008"/>
      <c r="R140" s="1008"/>
      <c r="S140" s="1008"/>
      <c r="T140" s="1008"/>
      <c r="U140" s="1008"/>
      <c r="V140" s="1008"/>
      <c r="W140" s="1008"/>
      <c r="X140" s="1008"/>
      <c r="Y140" s="1008"/>
      <c r="Z140" s="1008"/>
      <c r="AA140" s="1008"/>
      <c r="AB140" s="1008"/>
      <c r="AC140" s="1008"/>
      <c r="AD140" s="1"/>
      <c r="AE140" s="1"/>
    </row>
    <row r="141" spans="8:58" ht="15.75" x14ac:dyDescent="0.25">
      <c r="I141" s="202"/>
      <c r="J141" s="565" t="s">
        <v>460</v>
      </c>
      <c r="K141" s="816">
        <f>SUM(N141:AC141)</f>
        <v>0</v>
      </c>
      <c r="L141" s="221">
        <f t="shared" si="78"/>
        <v>0</v>
      </c>
      <c r="M141" s="4"/>
      <c r="N141" s="1008"/>
      <c r="O141" s="1008"/>
      <c r="P141" s="1008"/>
      <c r="Q141" s="1008"/>
      <c r="R141" s="1008"/>
      <c r="S141" s="1008"/>
      <c r="T141" s="1008"/>
      <c r="U141" s="1008"/>
      <c r="V141" s="1008"/>
      <c r="W141" s="1008"/>
      <c r="X141" s="1008"/>
      <c r="Y141" s="1008"/>
      <c r="Z141" s="1008"/>
      <c r="AA141" s="1008"/>
      <c r="AB141" s="1008"/>
      <c r="AC141" s="1008"/>
      <c r="AD141" s="1"/>
      <c r="AE141" s="1"/>
    </row>
    <row r="142" spans="8:58" ht="15.75" x14ac:dyDescent="0.25">
      <c r="I142" s="202">
        <f>INDEX($J$118:$AC$171,MATCH($J142,$J$118:$J$171,0),MATCH($I$118,$J$118:$AC$118,0))</f>
        <v>0</v>
      </c>
      <c r="J142" s="560" t="s">
        <v>127</v>
      </c>
      <c r="K142" s="925">
        <f>SUM(K139:K141)</f>
        <v>0</v>
      </c>
      <c r="L142" s="561">
        <f t="shared" si="78"/>
        <v>0</v>
      </c>
      <c r="M142" s="4"/>
      <c r="N142" s="926">
        <f>SUM(N139:N141)</f>
        <v>0</v>
      </c>
      <c r="O142" s="926">
        <f t="shared" ref="O142:AC142" si="80">SUM(O139:O141)</f>
        <v>0</v>
      </c>
      <c r="P142" s="926">
        <f t="shared" si="80"/>
        <v>0</v>
      </c>
      <c r="Q142" s="926">
        <f t="shared" si="80"/>
        <v>0</v>
      </c>
      <c r="R142" s="926">
        <f t="shared" si="80"/>
        <v>0</v>
      </c>
      <c r="S142" s="926">
        <f t="shared" si="80"/>
        <v>0</v>
      </c>
      <c r="T142" s="926">
        <f t="shared" si="80"/>
        <v>0</v>
      </c>
      <c r="U142" s="926">
        <f t="shared" si="80"/>
        <v>0</v>
      </c>
      <c r="V142" s="926">
        <f t="shared" si="80"/>
        <v>0</v>
      </c>
      <c r="W142" s="926">
        <f t="shared" si="80"/>
        <v>0</v>
      </c>
      <c r="X142" s="926">
        <f t="shared" si="80"/>
        <v>0</v>
      </c>
      <c r="Y142" s="926">
        <f t="shared" si="80"/>
        <v>0</v>
      </c>
      <c r="Z142" s="926">
        <f t="shared" si="80"/>
        <v>0</v>
      </c>
      <c r="AA142" s="926">
        <f t="shared" si="80"/>
        <v>0</v>
      </c>
      <c r="AB142" s="926">
        <f t="shared" si="80"/>
        <v>0</v>
      </c>
      <c r="AC142" s="926">
        <f t="shared" si="80"/>
        <v>0</v>
      </c>
      <c r="AD142" s="1"/>
      <c r="AE142" s="1"/>
    </row>
    <row r="143" spans="8:58" ht="21.75" customHeight="1" x14ac:dyDescent="0.25">
      <c r="I143" s="202">
        <f>INDEX($J$118:$AC$171,MATCH($J143,$J$118:$J$171,0),MATCH($I$118,$J$118:$AC$118,0))</f>
        <v>0</v>
      </c>
      <c r="J143" s="549" t="s">
        <v>128</v>
      </c>
      <c r="K143" s="820">
        <f>K138+SUM(K139:K141)</f>
        <v>0</v>
      </c>
      <c r="L143" s="228">
        <f t="shared" si="78"/>
        <v>0</v>
      </c>
      <c r="N143" s="802">
        <f>N138+SUM(N139:N141)</f>
        <v>0</v>
      </c>
      <c r="O143" s="802">
        <f t="shared" ref="O143:AC143" si="81">O138+SUM(O139:O141)</f>
        <v>0</v>
      </c>
      <c r="P143" s="802">
        <f t="shared" si="81"/>
        <v>0</v>
      </c>
      <c r="Q143" s="802">
        <f t="shared" si="81"/>
        <v>0</v>
      </c>
      <c r="R143" s="802">
        <f t="shared" si="81"/>
        <v>0</v>
      </c>
      <c r="S143" s="802">
        <f t="shared" si="81"/>
        <v>0</v>
      </c>
      <c r="T143" s="802">
        <f t="shared" si="81"/>
        <v>0</v>
      </c>
      <c r="U143" s="802">
        <f t="shared" si="81"/>
        <v>0</v>
      </c>
      <c r="V143" s="802">
        <f t="shared" si="81"/>
        <v>0</v>
      </c>
      <c r="W143" s="802">
        <f t="shared" si="81"/>
        <v>0</v>
      </c>
      <c r="X143" s="802">
        <f t="shared" si="81"/>
        <v>0</v>
      </c>
      <c r="Y143" s="802">
        <f t="shared" si="81"/>
        <v>0</v>
      </c>
      <c r="Z143" s="802">
        <f t="shared" si="81"/>
        <v>0</v>
      </c>
      <c r="AA143" s="802">
        <f t="shared" si="81"/>
        <v>0</v>
      </c>
      <c r="AB143" s="802">
        <f t="shared" si="81"/>
        <v>0</v>
      </c>
      <c r="AC143" s="802">
        <f t="shared" si="81"/>
        <v>0</v>
      </c>
      <c r="AD143" s="1"/>
      <c r="AE143" s="229"/>
      <c r="AF143" s="229"/>
      <c r="AG143" s="229"/>
      <c r="AH143" s="229"/>
      <c r="AI143" s="229"/>
      <c r="AJ143" s="229"/>
      <c r="AK143" s="229"/>
      <c r="AL143" s="229"/>
      <c r="AM143" s="229"/>
      <c r="AN143" s="229"/>
      <c r="AO143" s="229"/>
      <c r="AP143" s="229"/>
      <c r="AQ143" s="229"/>
      <c r="AR143" s="229"/>
      <c r="AS143" s="229"/>
      <c r="AT143" s="229"/>
    </row>
    <row r="144" spans="8:58" s="229" customFormat="1" ht="18" customHeight="1" thickBot="1" x14ac:dyDescent="0.25">
      <c r="I144" s="230"/>
      <c r="J144" s="551" t="s">
        <v>129</v>
      </c>
      <c r="K144" s="232">
        <f>IFERROR(K143/(K$118+K$139),)</f>
        <v>0</v>
      </c>
      <c r="L144" s="233"/>
      <c r="M144" s="234"/>
      <c r="N144" s="235">
        <f t="shared" ref="N144:AC144" si="82">IFERROR(N143/(N$118+N$139),)</f>
        <v>0</v>
      </c>
      <c r="O144" s="235">
        <f t="shared" si="82"/>
        <v>0</v>
      </c>
      <c r="P144" s="235">
        <f t="shared" si="82"/>
        <v>0</v>
      </c>
      <c r="Q144" s="235">
        <f t="shared" si="82"/>
        <v>0</v>
      </c>
      <c r="R144" s="235">
        <f t="shared" si="82"/>
        <v>0</v>
      </c>
      <c r="S144" s="235">
        <f t="shared" si="82"/>
        <v>0</v>
      </c>
      <c r="T144" s="235">
        <f t="shared" si="82"/>
        <v>0</v>
      </c>
      <c r="U144" s="235">
        <f t="shared" si="82"/>
        <v>0</v>
      </c>
      <c r="V144" s="235">
        <f t="shared" si="82"/>
        <v>0</v>
      </c>
      <c r="W144" s="235">
        <f t="shared" si="82"/>
        <v>0</v>
      </c>
      <c r="X144" s="235">
        <f t="shared" si="82"/>
        <v>0</v>
      </c>
      <c r="Y144" s="235">
        <f t="shared" si="82"/>
        <v>0</v>
      </c>
      <c r="Z144" s="235">
        <f t="shared" si="82"/>
        <v>0</v>
      </c>
      <c r="AA144" s="235">
        <f t="shared" si="82"/>
        <v>0</v>
      </c>
      <c r="AB144" s="235">
        <f t="shared" si="82"/>
        <v>0</v>
      </c>
      <c r="AC144" s="235">
        <f t="shared" si="82"/>
        <v>0</v>
      </c>
    </row>
    <row r="145" spans="8:58" s="229" customFormat="1" ht="18" customHeight="1" outlineLevel="1" thickTop="1" x14ac:dyDescent="0.2">
      <c r="I145" s="230"/>
      <c r="J145" s="230"/>
      <c r="K145" s="236"/>
      <c r="L145" s="237"/>
      <c r="M145" s="230"/>
      <c r="N145" s="230"/>
      <c r="O145" s="230"/>
      <c r="P145" s="230"/>
      <c r="Q145" s="230"/>
      <c r="R145" s="230"/>
      <c r="S145" s="230"/>
      <c r="T145" s="230"/>
      <c r="U145" s="230"/>
      <c r="V145" s="230"/>
      <c r="W145" s="230"/>
      <c r="X145" s="230"/>
      <c r="Y145" s="230"/>
      <c r="Z145" s="230"/>
      <c r="AA145" s="230"/>
      <c r="AB145" s="230"/>
      <c r="AC145" s="230"/>
      <c r="AD145" s="230"/>
      <c r="AE145" s="1"/>
      <c r="AF145" s="1"/>
      <c r="AG145" s="1"/>
      <c r="AH145" s="1"/>
      <c r="AI145" s="1"/>
      <c r="AJ145" s="1"/>
      <c r="AK145" s="1"/>
      <c r="AL145" s="1"/>
      <c r="AM145" s="1"/>
      <c r="AN145" s="1"/>
      <c r="AO145" s="1"/>
      <c r="AP145" s="1"/>
      <c r="AQ145" s="1"/>
      <c r="AR145" s="1"/>
      <c r="AS145" s="1"/>
      <c r="AT145" s="1"/>
    </row>
    <row r="146" spans="8:58" ht="18" outlineLevel="1" x14ac:dyDescent="0.2">
      <c r="I146" s="104" t="s">
        <v>130</v>
      </c>
      <c r="J146" s="105" t="s">
        <v>131</v>
      </c>
      <c r="K146" s="927"/>
      <c r="L146" s="928"/>
      <c r="M146" s="106"/>
      <c r="N146" s="107"/>
      <c r="O146" s="107"/>
      <c r="P146" s="107"/>
      <c r="Q146" s="107"/>
      <c r="R146" s="107"/>
      <c r="S146" s="107"/>
      <c r="T146" s="107"/>
      <c r="U146" s="107"/>
      <c r="V146" s="107"/>
      <c r="W146" s="107"/>
      <c r="X146" s="107"/>
      <c r="Y146" s="107"/>
      <c r="Z146" s="107"/>
      <c r="AA146" s="107"/>
      <c r="AB146" s="107"/>
      <c r="AC146" s="107"/>
      <c r="AD146" s="1"/>
      <c r="AE146" s="1"/>
    </row>
    <row r="147" spans="8:58" ht="14.25" outlineLevel="1" x14ac:dyDescent="0.2">
      <c r="I147" s="199"/>
      <c r="J147" s="240" t="s">
        <v>132</v>
      </c>
      <c r="K147" s="241"/>
      <c r="L147" s="242"/>
      <c r="AD147" s="1"/>
      <c r="AE147" s="1"/>
    </row>
    <row r="148" spans="8:58" s="4" customFormat="1" ht="15.75" outlineLevel="1" x14ac:dyDescent="0.25">
      <c r="H148" s="1"/>
      <c r="I148" s="202"/>
      <c r="J148" s="97" t="s">
        <v>352</v>
      </c>
      <c r="K148" s="206">
        <f>SUM(N148:AC148)</f>
        <v>0</v>
      </c>
      <c r="L148" s="207">
        <f t="shared" ref="L148:L153" si="83">IFERROR(K148/$K$118,)</f>
        <v>0</v>
      </c>
      <c r="N148" s="1028"/>
      <c r="O148" s="1029"/>
      <c r="P148" s="1029"/>
      <c r="Q148" s="1029"/>
      <c r="R148" s="1029"/>
      <c r="S148" s="1029"/>
      <c r="T148" s="1029"/>
      <c r="U148" s="1029"/>
      <c r="V148" s="1029"/>
      <c r="W148" s="1029"/>
      <c r="X148" s="1030"/>
      <c r="Y148" s="1030"/>
      <c r="Z148" s="1030"/>
      <c r="AA148" s="1030"/>
      <c r="AB148" s="1030"/>
      <c r="AC148" s="103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row>
    <row r="149" spans="8:58" s="4" customFormat="1" ht="15.75" outlineLevel="1" x14ac:dyDescent="0.25">
      <c r="H149" s="1"/>
      <c r="I149" s="202"/>
      <c r="J149" s="97" t="s">
        <v>133</v>
      </c>
      <c r="K149" s="206">
        <f>SUM(N149:AC149)</f>
        <v>0</v>
      </c>
      <c r="L149" s="207">
        <f t="shared" si="83"/>
        <v>0</v>
      </c>
      <c r="N149" s="1028"/>
      <c r="O149" s="1029"/>
      <c r="P149" s="1029"/>
      <c r="Q149" s="1029"/>
      <c r="R149" s="1029"/>
      <c r="S149" s="1029"/>
      <c r="T149" s="1029"/>
      <c r="U149" s="1029"/>
      <c r="V149" s="1029"/>
      <c r="W149" s="1029"/>
      <c r="X149" s="1030"/>
      <c r="Y149" s="1030"/>
      <c r="Z149" s="1030"/>
      <c r="AA149" s="1030"/>
      <c r="AB149" s="1030"/>
      <c r="AC149" s="103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row>
    <row r="150" spans="8:58" s="4" customFormat="1" ht="15.75" outlineLevel="1" x14ac:dyDescent="0.25">
      <c r="H150" s="1"/>
      <c r="I150" s="202"/>
      <c r="J150" s="97" t="s">
        <v>134</v>
      </c>
      <c r="K150" s="206">
        <f>SUM(N150:AC150)</f>
        <v>0</v>
      </c>
      <c r="L150" s="207">
        <f t="shared" si="83"/>
        <v>0</v>
      </c>
      <c r="N150" s="1028"/>
      <c r="O150" s="1029"/>
      <c r="P150" s="1029"/>
      <c r="Q150" s="1029"/>
      <c r="R150" s="1029"/>
      <c r="S150" s="1029"/>
      <c r="T150" s="1029"/>
      <c r="U150" s="1029"/>
      <c r="V150" s="1029"/>
      <c r="W150" s="1029"/>
      <c r="X150" s="1030"/>
      <c r="Y150" s="1030"/>
      <c r="Z150" s="1030"/>
      <c r="AA150" s="1030"/>
      <c r="AB150" s="1030"/>
      <c r="AC150" s="103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row>
    <row r="151" spans="8:58" s="4" customFormat="1" outlineLevel="1" x14ac:dyDescent="0.3">
      <c r="H151" s="1"/>
      <c r="I151" s="202"/>
      <c r="J151" s="243" t="s">
        <v>135</v>
      </c>
      <c r="K151" s="206">
        <f>SUM(N151:AC151)</f>
        <v>0</v>
      </c>
      <c r="L151" s="207">
        <f t="shared" si="83"/>
        <v>0</v>
      </c>
      <c r="N151" s="1028"/>
      <c r="O151" s="1028"/>
      <c r="P151" s="1028"/>
      <c r="Q151" s="1028"/>
      <c r="R151" s="1028"/>
      <c r="S151" s="1029"/>
      <c r="T151" s="1029"/>
      <c r="U151" s="1029"/>
      <c r="V151" s="1029"/>
      <c r="W151" s="1029"/>
      <c r="X151" s="1030"/>
      <c r="Y151" s="1030"/>
      <c r="Z151" s="1030"/>
      <c r="AA151" s="1030"/>
      <c r="AB151" s="1030"/>
      <c r="AC151" s="103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row>
    <row r="152" spans="8:58" s="4" customFormat="1" ht="19.149999999999999" customHeight="1" outlineLevel="1" x14ac:dyDescent="0.25">
      <c r="H152" s="1"/>
      <c r="I152" s="202"/>
      <c r="J152" s="244" t="s">
        <v>136</v>
      </c>
      <c r="K152" s="206">
        <f>SUM(N152:AC152)</f>
        <v>0</v>
      </c>
      <c r="L152" s="207">
        <f t="shared" si="83"/>
        <v>0</v>
      </c>
      <c r="N152" s="1028"/>
      <c r="O152" s="1029"/>
      <c r="P152" s="1029"/>
      <c r="Q152" s="1029"/>
      <c r="R152" s="1029"/>
      <c r="S152" s="1029"/>
      <c r="T152" s="1029"/>
      <c r="U152" s="1029"/>
      <c r="V152" s="1029"/>
      <c r="W152" s="1029"/>
      <c r="X152" s="1030"/>
      <c r="Y152" s="1030"/>
      <c r="Z152" s="1030"/>
      <c r="AA152" s="1030"/>
      <c r="AB152" s="1030"/>
      <c r="AC152" s="103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row>
    <row r="153" spans="8:58" s="4" customFormat="1" ht="15.75" outlineLevel="1" x14ac:dyDescent="0.25">
      <c r="H153" s="1"/>
      <c r="I153" s="202">
        <f>INDEX($J$118:$AC$171,MATCH($J153,$J$118:$J$171,0),MATCH($I$118,$J$118:$AC$118,0))</f>
        <v>0</v>
      </c>
      <c r="J153" s="210" t="s">
        <v>137</v>
      </c>
      <c r="K153" s="814">
        <f>K133+SUM(K148:K152)</f>
        <v>0</v>
      </c>
      <c r="L153" s="220">
        <f t="shared" si="83"/>
        <v>0</v>
      </c>
      <c r="N153" s="1032">
        <f>N133+SUM(N148:N152)</f>
        <v>0</v>
      </c>
      <c r="O153" s="1033">
        <f t="shared" ref="O153:AC153" si="84">O133+SUM(O148:O152)</f>
        <v>0</v>
      </c>
      <c r="P153" s="1033">
        <f t="shared" si="84"/>
        <v>0</v>
      </c>
      <c r="Q153" s="1033">
        <f t="shared" si="84"/>
        <v>0</v>
      </c>
      <c r="R153" s="1033">
        <f t="shared" si="84"/>
        <v>0</v>
      </c>
      <c r="S153" s="1033">
        <f t="shared" si="84"/>
        <v>0</v>
      </c>
      <c r="T153" s="1033">
        <f t="shared" si="84"/>
        <v>0</v>
      </c>
      <c r="U153" s="1033">
        <f t="shared" si="84"/>
        <v>0</v>
      </c>
      <c r="V153" s="1033">
        <f t="shared" si="84"/>
        <v>0</v>
      </c>
      <c r="W153" s="1033">
        <f t="shared" si="84"/>
        <v>0</v>
      </c>
      <c r="X153" s="1033">
        <f t="shared" si="84"/>
        <v>0</v>
      </c>
      <c r="Y153" s="1033">
        <f t="shared" si="84"/>
        <v>0</v>
      </c>
      <c r="Z153" s="1033">
        <f t="shared" si="84"/>
        <v>0</v>
      </c>
      <c r="AA153" s="1033">
        <f t="shared" si="84"/>
        <v>0</v>
      </c>
      <c r="AB153" s="1033">
        <f t="shared" si="84"/>
        <v>0</v>
      </c>
      <c r="AC153" s="1034">
        <f t="shared" si="84"/>
        <v>0</v>
      </c>
      <c r="AD153" s="1"/>
      <c r="AE153" s="212"/>
      <c r="AF153" s="212"/>
      <c r="AG153" s="212"/>
      <c r="AH153" s="212"/>
      <c r="AI153" s="212"/>
      <c r="AJ153" s="212"/>
      <c r="AK153" s="212"/>
      <c r="AL153" s="212"/>
      <c r="AM153" s="212"/>
      <c r="AN153" s="212"/>
      <c r="AO153" s="212"/>
      <c r="AP153" s="212"/>
      <c r="AQ153" s="212"/>
      <c r="AR153" s="212"/>
      <c r="AS153" s="212"/>
      <c r="AT153" s="212"/>
      <c r="AU153" s="1"/>
      <c r="AV153" s="1"/>
      <c r="AW153" s="1"/>
      <c r="AX153" s="1"/>
      <c r="AY153" s="1"/>
      <c r="AZ153" s="1"/>
      <c r="BA153" s="1"/>
      <c r="BB153" s="1"/>
      <c r="BC153" s="1"/>
      <c r="BD153" s="1"/>
      <c r="BE153" s="1"/>
      <c r="BF153" s="1"/>
    </row>
    <row r="154" spans="8:58" s="217" customFormat="1" ht="13.5" customHeight="1" outlineLevel="1" x14ac:dyDescent="0.2">
      <c r="H154" s="212"/>
      <c r="I154" s="213"/>
      <c r="J154" s="214" t="s">
        <v>138</v>
      </c>
      <c r="K154" s="215">
        <f>IFERROR(K153/K$118,)</f>
        <v>0</v>
      </c>
      <c r="L154" s="216"/>
      <c r="N154" s="245">
        <f t="shared" ref="N154:AC154" si="85">IFERROR(N153/N$118,)</f>
        <v>0</v>
      </c>
      <c r="O154" s="218">
        <f t="shared" si="85"/>
        <v>0</v>
      </c>
      <c r="P154" s="218">
        <f t="shared" si="85"/>
        <v>0</v>
      </c>
      <c r="Q154" s="218">
        <f t="shared" si="85"/>
        <v>0</v>
      </c>
      <c r="R154" s="218">
        <f t="shared" si="85"/>
        <v>0</v>
      </c>
      <c r="S154" s="218">
        <f t="shared" si="85"/>
        <v>0</v>
      </c>
      <c r="T154" s="218">
        <f t="shared" si="85"/>
        <v>0</v>
      </c>
      <c r="U154" s="218">
        <f t="shared" si="85"/>
        <v>0</v>
      </c>
      <c r="V154" s="218">
        <f t="shared" si="85"/>
        <v>0</v>
      </c>
      <c r="W154" s="218">
        <f t="shared" si="85"/>
        <v>0</v>
      </c>
      <c r="X154" s="218">
        <f t="shared" si="85"/>
        <v>0</v>
      </c>
      <c r="Y154" s="218">
        <f t="shared" si="85"/>
        <v>0</v>
      </c>
      <c r="Z154" s="218">
        <f t="shared" si="85"/>
        <v>0</v>
      </c>
      <c r="AA154" s="218">
        <f t="shared" si="85"/>
        <v>0</v>
      </c>
      <c r="AB154" s="218">
        <f t="shared" si="85"/>
        <v>0</v>
      </c>
      <c r="AC154" s="246">
        <f t="shared" si="85"/>
        <v>0</v>
      </c>
      <c r="AD154" s="212"/>
      <c r="AE154" s="212"/>
      <c r="AF154" s="212"/>
      <c r="AG154" s="212"/>
      <c r="AH154" s="212"/>
      <c r="AI154" s="212"/>
      <c r="AJ154" s="212"/>
      <c r="AK154" s="212"/>
      <c r="AL154" s="212"/>
      <c r="AM154" s="212"/>
      <c r="AN154" s="212"/>
      <c r="AO154" s="212"/>
      <c r="AP154" s="212"/>
      <c r="AQ154" s="212"/>
      <c r="AR154" s="212"/>
      <c r="AS154" s="212"/>
      <c r="AT154" s="212"/>
      <c r="AU154" s="212"/>
      <c r="AV154" s="212"/>
      <c r="AW154" s="212"/>
      <c r="AX154" s="212"/>
      <c r="AY154" s="212"/>
      <c r="AZ154" s="212"/>
      <c r="BA154" s="212"/>
      <c r="BB154" s="212"/>
      <c r="BC154" s="212"/>
      <c r="BD154" s="212"/>
      <c r="BE154" s="212"/>
      <c r="BF154" s="212"/>
    </row>
    <row r="155" spans="8:58" s="217" customFormat="1" ht="13.5" customHeight="1" outlineLevel="1" x14ac:dyDescent="0.2">
      <c r="H155" s="212"/>
      <c r="I155" s="213"/>
      <c r="J155" s="240" t="s">
        <v>139</v>
      </c>
      <c r="K155" s="215"/>
      <c r="L155" s="216"/>
      <c r="N155" s="247"/>
      <c r="O155" s="248"/>
      <c r="P155" s="248"/>
      <c r="Q155" s="248"/>
      <c r="R155" s="248"/>
      <c r="S155" s="248"/>
      <c r="T155" s="248"/>
      <c r="U155" s="248"/>
      <c r="V155" s="248"/>
      <c r="W155" s="248"/>
      <c r="X155" s="248"/>
      <c r="Y155" s="248"/>
      <c r="Z155" s="248"/>
      <c r="AA155" s="248"/>
      <c r="AB155" s="248"/>
      <c r="AC155" s="249"/>
      <c r="AD155" s="212"/>
      <c r="AE155" s="1"/>
      <c r="AF155" s="1"/>
      <c r="AG155" s="1"/>
      <c r="AH155" s="1"/>
      <c r="AI155" s="1"/>
      <c r="AJ155" s="1"/>
      <c r="AK155" s="1"/>
      <c r="AL155" s="1"/>
      <c r="AM155" s="1"/>
      <c r="AN155" s="1"/>
      <c r="AO155" s="1"/>
      <c r="AP155" s="1"/>
      <c r="AQ155" s="1"/>
      <c r="AR155" s="1"/>
      <c r="AS155" s="1"/>
      <c r="AT155" s="1"/>
      <c r="AU155" s="212"/>
      <c r="AV155" s="212"/>
      <c r="AW155" s="212"/>
      <c r="AX155" s="212"/>
      <c r="AY155" s="212"/>
      <c r="AZ155" s="212"/>
      <c r="BA155" s="212"/>
      <c r="BB155" s="212"/>
      <c r="BC155" s="212"/>
      <c r="BD155" s="212"/>
      <c r="BE155" s="212"/>
      <c r="BF155" s="212"/>
    </row>
    <row r="156" spans="8:58" s="4" customFormat="1" ht="15.75" outlineLevel="1" x14ac:dyDescent="0.25">
      <c r="H156" s="1"/>
      <c r="I156" s="202"/>
      <c r="J156" s="97" t="s">
        <v>140</v>
      </c>
      <c r="K156" s="206">
        <f>SUM(N156:AC156)</f>
        <v>0</v>
      </c>
      <c r="L156" s="207">
        <f>IFERROR(K156/$K$118,)</f>
        <v>0</v>
      </c>
      <c r="N156" s="1028"/>
      <c r="O156" s="1029"/>
      <c r="P156" s="1029"/>
      <c r="Q156" s="1029"/>
      <c r="R156" s="1029"/>
      <c r="S156" s="1029"/>
      <c r="T156" s="1029"/>
      <c r="U156" s="1029"/>
      <c r="V156" s="1029"/>
      <c r="W156" s="1029"/>
      <c r="X156" s="1030"/>
      <c r="Y156" s="1030"/>
      <c r="Z156" s="1030"/>
      <c r="AA156" s="1030"/>
      <c r="AB156" s="1030"/>
      <c r="AC156" s="103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row>
    <row r="157" spans="8:58" s="4" customFormat="1" ht="15.75" outlineLevel="1" x14ac:dyDescent="0.25">
      <c r="H157" s="1"/>
      <c r="I157" s="202"/>
      <c r="J157" s="97" t="s">
        <v>141</v>
      </c>
      <c r="K157" s="206">
        <f>SUM(N157:AC157)</f>
        <v>0</v>
      </c>
      <c r="L157" s="207">
        <f t="shared" ref="L157:L162" si="86">IFERROR(K157/$K$118,)</f>
        <v>0</v>
      </c>
      <c r="N157" s="1028"/>
      <c r="O157" s="1029"/>
      <c r="P157" s="1029"/>
      <c r="Q157" s="1029"/>
      <c r="R157" s="1029"/>
      <c r="S157" s="1029"/>
      <c r="T157" s="1029"/>
      <c r="U157" s="1029"/>
      <c r="V157" s="1029"/>
      <c r="W157" s="1029"/>
      <c r="X157" s="1030"/>
      <c r="Y157" s="1030"/>
      <c r="Z157" s="1030"/>
      <c r="AA157" s="1030"/>
      <c r="AB157" s="1030"/>
      <c r="AC157" s="103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row>
    <row r="158" spans="8:58" s="4" customFormat="1" ht="15.75" outlineLevel="1" x14ac:dyDescent="0.25">
      <c r="H158" s="1"/>
      <c r="I158" s="202"/>
      <c r="J158" s="244" t="s">
        <v>136</v>
      </c>
      <c r="K158" s="206">
        <f>SUM(N158:AC158)</f>
        <v>0</v>
      </c>
      <c r="L158" s="207">
        <f t="shared" si="86"/>
        <v>0</v>
      </c>
      <c r="N158" s="1028"/>
      <c r="O158" s="1029"/>
      <c r="P158" s="1029"/>
      <c r="Q158" s="1029"/>
      <c r="R158" s="1029"/>
      <c r="S158" s="1029"/>
      <c r="T158" s="1029"/>
      <c r="U158" s="1029"/>
      <c r="V158" s="1029"/>
      <c r="W158" s="1029"/>
      <c r="X158" s="1030"/>
      <c r="Y158" s="1030"/>
      <c r="Z158" s="1030"/>
      <c r="AA158" s="1030"/>
      <c r="AB158" s="1030"/>
      <c r="AC158" s="103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row>
    <row r="159" spans="8:58" ht="15.75" outlineLevel="1" x14ac:dyDescent="0.25">
      <c r="I159" s="202">
        <f>INDEX($J$118:$AC$171,MATCH($J159,$J$118:$J$171,0),MATCH($I$118,$J$118:$AC$118,0))</f>
        <v>0</v>
      </c>
      <c r="J159" s="222" t="s">
        <v>142</v>
      </c>
      <c r="K159" s="817">
        <f>K153+SUM(K156:K158)</f>
        <v>0</v>
      </c>
      <c r="L159" s="929">
        <f t="shared" si="86"/>
        <v>0</v>
      </c>
      <c r="M159" s="750"/>
      <c r="N159" s="1035">
        <f>N153+SUM(N156:N158)</f>
        <v>0</v>
      </c>
      <c r="O159" s="1036">
        <f t="shared" ref="O159:AC159" si="87">O153+SUM(O156:O158)</f>
        <v>0</v>
      </c>
      <c r="P159" s="1036">
        <f t="shared" si="87"/>
        <v>0</v>
      </c>
      <c r="Q159" s="1036">
        <f t="shared" si="87"/>
        <v>0</v>
      </c>
      <c r="R159" s="1036">
        <f t="shared" si="87"/>
        <v>0</v>
      </c>
      <c r="S159" s="1036">
        <f t="shared" si="87"/>
        <v>0</v>
      </c>
      <c r="T159" s="1036">
        <f t="shared" si="87"/>
        <v>0</v>
      </c>
      <c r="U159" s="1036">
        <f t="shared" si="87"/>
        <v>0</v>
      </c>
      <c r="V159" s="1036">
        <f t="shared" si="87"/>
        <v>0</v>
      </c>
      <c r="W159" s="1036">
        <f t="shared" si="87"/>
        <v>0</v>
      </c>
      <c r="X159" s="1036">
        <f t="shared" si="87"/>
        <v>0</v>
      </c>
      <c r="Y159" s="1036">
        <f t="shared" si="87"/>
        <v>0</v>
      </c>
      <c r="Z159" s="1036">
        <f t="shared" si="87"/>
        <v>0</v>
      </c>
      <c r="AA159" s="1036">
        <f t="shared" si="87"/>
        <v>0</v>
      </c>
      <c r="AB159" s="1036">
        <f t="shared" si="87"/>
        <v>0</v>
      </c>
      <c r="AC159" s="1037">
        <f t="shared" si="87"/>
        <v>0</v>
      </c>
      <c r="AD159" s="1"/>
      <c r="AE159" s="1"/>
    </row>
    <row r="160" spans="8:58" ht="15.75" outlineLevel="1" x14ac:dyDescent="0.25">
      <c r="I160" s="202">
        <f>INDEX($J$118:$AC$171,MATCH($J160,$J$118:$J$171,0),MATCH($I$118,$J$118:$AC$118,0))</f>
        <v>0</v>
      </c>
      <c r="J160" s="224" t="s">
        <v>127</v>
      </c>
      <c r="K160" s="225">
        <f>K142</f>
        <v>0</v>
      </c>
      <c r="L160" s="226">
        <f t="shared" si="86"/>
        <v>0</v>
      </c>
      <c r="M160" s="4"/>
      <c r="N160" s="1038">
        <f>N142</f>
        <v>0</v>
      </c>
      <c r="O160" s="806">
        <f t="shared" ref="O160:AC160" si="88">O142</f>
        <v>0</v>
      </c>
      <c r="P160" s="806">
        <f t="shared" si="88"/>
        <v>0</v>
      </c>
      <c r="Q160" s="806">
        <f t="shared" si="88"/>
        <v>0</v>
      </c>
      <c r="R160" s="806">
        <f t="shared" si="88"/>
        <v>0</v>
      </c>
      <c r="S160" s="806">
        <f t="shared" si="88"/>
        <v>0</v>
      </c>
      <c r="T160" s="806">
        <f t="shared" si="88"/>
        <v>0</v>
      </c>
      <c r="U160" s="806">
        <f t="shared" si="88"/>
        <v>0</v>
      </c>
      <c r="V160" s="806">
        <f t="shared" si="88"/>
        <v>0</v>
      </c>
      <c r="W160" s="806">
        <f t="shared" si="88"/>
        <v>0</v>
      </c>
      <c r="X160" s="806">
        <f t="shared" si="88"/>
        <v>0</v>
      </c>
      <c r="Y160" s="806">
        <f t="shared" si="88"/>
        <v>0</v>
      </c>
      <c r="Z160" s="806">
        <f t="shared" si="88"/>
        <v>0</v>
      </c>
      <c r="AA160" s="806">
        <f t="shared" si="88"/>
        <v>0</v>
      </c>
      <c r="AB160" s="806">
        <f t="shared" si="88"/>
        <v>0</v>
      </c>
      <c r="AC160" s="1039">
        <f t="shared" si="88"/>
        <v>0</v>
      </c>
      <c r="AD160" s="1"/>
      <c r="AE160" s="1"/>
    </row>
    <row r="161" spans="8:58" ht="15.75" outlineLevel="1" x14ac:dyDescent="0.25">
      <c r="I161" s="202">
        <f>INDEX($J$118:$AC$171,MATCH($J161,$J$118:$J$171,0),MATCH($I$118,$J$118:$AC$118,0))</f>
        <v>0</v>
      </c>
      <c r="J161" s="31" t="s">
        <v>143</v>
      </c>
      <c r="K161" s="250">
        <f>SUM(N161:AC161)</f>
        <v>0</v>
      </c>
      <c r="L161" s="211">
        <f t="shared" si="86"/>
        <v>0</v>
      </c>
      <c r="N161" s="251"/>
      <c r="O161" s="252"/>
      <c r="P161" s="252"/>
      <c r="Q161" s="252"/>
      <c r="R161" s="252"/>
      <c r="S161" s="252"/>
      <c r="T161" s="252"/>
      <c r="U161" s="252"/>
      <c r="V161" s="252"/>
      <c r="W161" s="252"/>
      <c r="X161" s="252"/>
      <c r="Y161" s="252"/>
      <c r="Z161" s="252"/>
      <c r="AA161" s="252"/>
      <c r="AB161" s="252"/>
      <c r="AC161" s="253"/>
      <c r="AD161" s="1"/>
      <c r="AE161" s="1"/>
    </row>
    <row r="162" spans="8:58" ht="21.75" customHeight="1" outlineLevel="1" x14ac:dyDescent="0.25">
      <c r="I162" s="202">
        <f>INDEX($J$118:$AC$171,MATCH($J162,$J$118:$J$171,0),MATCH($I$118,$J$118:$AC$118,0))</f>
        <v>0</v>
      </c>
      <c r="J162" s="227" t="s">
        <v>144</v>
      </c>
      <c r="K162" s="820">
        <f>K143+SUM(K148:K152,K156:K158,K161)</f>
        <v>0</v>
      </c>
      <c r="L162" s="228">
        <f t="shared" si="86"/>
        <v>0</v>
      </c>
      <c r="N162" s="930">
        <f>N143+SUM(N148:N152,N156:N158,N161)</f>
        <v>0</v>
      </c>
      <c r="O162" s="802">
        <f t="shared" ref="O162:AC162" si="89">O143+SUM(O148:O152,O156:O158,O161)</f>
        <v>0</v>
      </c>
      <c r="P162" s="802">
        <f t="shared" si="89"/>
        <v>0</v>
      </c>
      <c r="Q162" s="802">
        <f t="shared" si="89"/>
        <v>0</v>
      </c>
      <c r="R162" s="802">
        <f t="shared" si="89"/>
        <v>0</v>
      </c>
      <c r="S162" s="802">
        <f t="shared" si="89"/>
        <v>0</v>
      </c>
      <c r="T162" s="802">
        <f t="shared" si="89"/>
        <v>0</v>
      </c>
      <c r="U162" s="802">
        <f t="shared" si="89"/>
        <v>0</v>
      </c>
      <c r="V162" s="802">
        <f t="shared" si="89"/>
        <v>0</v>
      </c>
      <c r="W162" s="802">
        <f t="shared" si="89"/>
        <v>0</v>
      </c>
      <c r="X162" s="802">
        <f t="shared" si="89"/>
        <v>0</v>
      </c>
      <c r="Y162" s="802">
        <f t="shared" si="89"/>
        <v>0</v>
      </c>
      <c r="Z162" s="802">
        <f t="shared" si="89"/>
        <v>0</v>
      </c>
      <c r="AA162" s="802">
        <f t="shared" si="89"/>
        <v>0</v>
      </c>
      <c r="AB162" s="802">
        <f t="shared" si="89"/>
        <v>0</v>
      </c>
      <c r="AC162" s="931">
        <f t="shared" si="89"/>
        <v>0</v>
      </c>
      <c r="AD162" s="1"/>
      <c r="AE162" s="229"/>
      <c r="AF162" s="229"/>
      <c r="AG162" s="229"/>
      <c r="AH162" s="229"/>
      <c r="AI162" s="229"/>
      <c r="AJ162" s="229"/>
      <c r="AK162" s="229"/>
      <c r="AL162" s="229"/>
      <c r="AM162" s="229"/>
      <c r="AN162" s="229"/>
      <c r="AO162" s="229"/>
      <c r="AP162" s="229"/>
      <c r="AQ162" s="229"/>
      <c r="AR162" s="229"/>
      <c r="AS162" s="229"/>
      <c r="AT162" s="229"/>
    </row>
    <row r="163" spans="8:58" s="229" customFormat="1" ht="18" customHeight="1" outlineLevel="1" thickBot="1" x14ac:dyDescent="0.25">
      <c r="I163" s="230"/>
      <c r="J163" s="231" t="s">
        <v>129</v>
      </c>
      <c r="K163" s="232">
        <f>IFERROR(K162/(K$118+K$139),)</f>
        <v>0</v>
      </c>
      <c r="L163" s="233"/>
      <c r="M163" s="234"/>
      <c r="N163" s="254">
        <f t="shared" ref="N163:AC163" si="90">IFERROR(N162/(N$118+N$139),)</f>
        <v>0</v>
      </c>
      <c r="O163" s="235">
        <f t="shared" si="90"/>
        <v>0</v>
      </c>
      <c r="P163" s="235">
        <f t="shared" si="90"/>
        <v>0</v>
      </c>
      <c r="Q163" s="235">
        <f t="shared" si="90"/>
        <v>0</v>
      </c>
      <c r="R163" s="235">
        <f t="shared" si="90"/>
        <v>0</v>
      </c>
      <c r="S163" s="235">
        <f t="shared" si="90"/>
        <v>0</v>
      </c>
      <c r="T163" s="235">
        <f t="shared" si="90"/>
        <v>0</v>
      </c>
      <c r="U163" s="235">
        <f t="shared" si="90"/>
        <v>0</v>
      </c>
      <c r="V163" s="235">
        <f t="shared" si="90"/>
        <v>0</v>
      </c>
      <c r="W163" s="235">
        <f t="shared" si="90"/>
        <v>0</v>
      </c>
      <c r="X163" s="235">
        <f t="shared" si="90"/>
        <v>0</v>
      </c>
      <c r="Y163" s="235">
        <f t="shared" si="90"/>
        <v>0</v>
      </c>
      <c r="Z163" s="235">
        <f t="shared" si="90"/>
        <v>0</v>
      </c>
      <c r="AA163" s="235">
        <f t="shared" si="90"/>
        <v>0</v>
      </c>
      <c r="AB163" s="235">
        <f t="shared" si="90"/>
        <v>0</v>
      </c>
      <c r="AC163" s="255">
        <f t="shared" si="90"/>
        <v>0</v>
      </c>
      <c r="AE163" s="1"/>
      <c r="AF163" s="1"/>
      <c r="AG163" s="1"/>
      <c r="AH163" s="1"/>
      <c r="AI163" s="1"/>
      <c r="AJ163" s="1"/>
      <c r="AK163" s="1"/>
      <c r="AL163" s="1"/>
      <c r="AM163" s="1"/>
      <c r="AN163" s="1"/>
      <c r="AO163" s="1"/>
      <c r="AP163" s="1"/>
      <c r="AQ163" s="1"/>
      <c r="AR163" s="1"/>
      <c r="AS163" s="1"/>
      <c r="AT163" s="1"/>
    </row>
    <row r="164" spans="8:58" ht="18" customHeight="1" outlineLevel="1" thickTop="1" x14ac:dyDescent="0.25">
      <c r="I164" s="202">
        <f>INDEX($J$118:$AC$171,MATCH($J164,$J$118:$J$171,0),MATCH($I$118,$J$118:$AC$118,0))</f>
        <v>0</v>
      </c>
      <c r="J164" s="31" t="str">
        <f>"Depreciation"&amp;" @ Useful Life of  "&amp;L94&amp;"yrs"</f>
        <v>Depreciation @ Useful Life of  8yrs</v>
      </c>
      <c r="K164" s="821">
        <f>SUM(N164:AC164)</f>
        <v>0</v>
      </c>
      <c r="L164" s="256">
        <f t="shared" ref="L164:L171" si="91">IFERROR(K164/$K$118,)</f>
        <v>0</v>
      </c>
      <c r="N164" s="932">
        <f>N294</f>
        <v>0</v>
      </c>
      <c r="O164" s="933">
        <f t="shared" ref="O164:AC164" si="92">O294</f>
        <v>0</v>
      </c>
      <c r="P164" s="933">
        <f t="shared" si="92"/>
        <v>0</v>
      </c>
      <c r="Q164" s="933">
        <f t="shared" si="92"/>
        <v>0</v>
      </c>
      <c r="R164" s="933">
        <f t="shared" si="92"/>
        <v>0</v>
      </c>
      <c r="S164" s="933">
        <f t="shared" si="92"/>
        <v>0</v>
      </c>
      <c r="T164" s="933">
        <f t="shared" si="92"/>
        <v>0</v>
      </c>
      <c r="U164" s="933">
        <f t="shared" si="92"/>
        <v>0</v>
      </c>
      <c r="V164" s="933">
        <f t="shared" si="92"/>
        <v>0</v>
      </c>
      <c r="W164" s="933">
        <f t="shared" si="92"/>
        <v>0</v>
      </c>
      <c r="X164" s="933">
        <f t="shared" si="92"/>
        <v>0</v>
      </c>
      <c r="Y164" s="933">
        <f t="shared" si="92"/>
        <v>0</v>
      </c>
      <c r="Z164" s="933">
        <f t="shared" si="92"/>
        <v>0</v>
      </c>
      <c r="AA164" s="933">
        <f t="shared" si="92"/>
        <v>0</v>
      </c>
      <c r="AB164" s="933">
        <f t="shared" si="92"/>
        <v>0</v>
      </c>
      <c r="AC164" s="934">
        <f t="shared" si="92"/>
        <v>0</v>
      </c>
      <c r="AD164" s="1"/>
      <c r="AE164" s="1"/>
    </row>
    <row r="165" spans="8:58" ht="18" customHeight="1" outlineLevel="1" x14ac:dyDescent="0.25">
      <c r="I165" s="202"/>
      <c r="J165" s="549" t="s">
        <v>379</v>
      </c>
      <c r="K165" s="820">
        <f t="shared" ref="K165" si="93">K162+K164</f>
        <v>0</v>
      </c>
      <c r="L165" s="228">
        <f t="shared" si="91"/>
        <v>0</v>
      </c>
      <c r="N165" s="930">
        <f>N162+N164</f>
        <v>0</v>
      </c>
      <c r="O165" s="802">
        <f t="shared" ref="O165:AC165" si="94">O162+O164</f>
        <v>0</v>
      </c>
      <c r="P165" s="802">
        <f t="shared" si="94"/>
        <v>0</v>
      </c>
      <c r="Q165" s="802">
        <f t="shared" si="94"/>
        <v>0</v>
      </c>
      <c r="R165" s="802">
        <f t="shared" si="94"/>
        <v>0</v>
      </c>
      <c r="S165" s="802">
        <f t="shared" si="94"/>
        <v>0</v>
      </c>
      <c r="T165" s="802">
        <f t="shared" si="94"/>
        <v>0</v>
      </c>
      <c r="U165" s="802">
        <f t="shared" si="94"/>
        <v>0</v>
      </c>
      <c r="V165" s="802">
        <f t="shared" si="94"/>
        <v>0</v>
      </c>
      <c r="W165" s="802">
        <f t="shared" si="94"/>
        <v>0</v>
      </c>
      <c r="X165" s="802">
        <f t="shared" si="94"/>
        <v>0</v>
      </c>
      <c r="Y165" s="802">
        <f t="shared" si="94"/>
        <v>0</v>
      </c>
      <c r="Z165" s="802">
        <f t="shared" si="94"/>
        <v>0</v>
      </c>
      <c r="AA165" s="802">
        <f t="shared" si="94"/>
        <v>0</v>
      </c>
      <c r="AB165" s="802">
        <f t="shared" si="94"/>
        <v>0</v>
      </c>
      <c r="AC165" s="931">
        <f t="shared" si="94"/>
        <v>0</v>
      </c>
      <c r="AD165" s="1"/>
      <c r="AE165" s="1"/>
    </row>
    <row r="166" spans="8:58" ht="18" customHeight="1" outlineLevel="1" thickBot="1" x14ac:dyDescent="0.25">
      <c r="I166" s="202"/>
      <c r="J166" s="551" t="s">
        <v>380</v>
      </c>
      <c r="K166" s="232">
        <f t="shared" ref="K166" si="95">IFERROR(K165/(K$118+K$139),)</f>
        <v>0</v>
      </c>
      <c r="L166" s="233"/>
      <c r="M166" s="234"/>
      <c r="N166" s="935">
        <f>IFERROR(N165/(N$118+N$139),)</f>
        <v>0</v>
      </c>
      <c r="O166" s="936">
        <f t="shared" ref="O166:AC166" si="96">IFERROR(O165/(O$118+O$139),)</f>
        <v>0</v>
      </c>
      <c r="P166" s="936">
        <f t="shared" si="96"/>
        <v>0</v>
      </c>
      <c r="Q166" s="936">
        <f t="shared" si="96"/>
        <v>0</v>
      </c>
      <c r="R166" s="936">
        <f t="shared" si="96"/>
        <v>0</v>
      </c>
      <c r="S166" s="936">
        <f t="shared" si="96"/>
        <v>0</v>
      </c>
      <c r="T166" s="936">
        <f t="shared" si="96"/>
        <v>0</v>
      </c>
      <c r="U166" s="936">
        <f t="shared" si="96"/>
        <v>0</v>
      </c>
      <c r="V166" s="936">
        <f t="shared" si="96"/>
        <v>0</v>
      </c>
      <c r="W166" s="936">
        <f t="shared" si="96"/>
        <v>0</v>
      </c>
      <c r="X166" s="936">
        <f t="shared" si="96"/>
        <v>0</v>
      </c>
      <c r="Y166" s="936">
        <f t="shared" si="96"/>
        <v>0</v>
      </c>
      <c r="Z166" s="936">
        <f t="shared" si="96"/>
        <v>0</v>
      </c>
      <c r="AA166" s="936">
        <f t="shared" si="96"/>
        <v>0</v>
      </c>
      <c r="AB166" s="936">
        <f t="shared" si="96"/>
        <v>0</v>
      </c>
      <c r="AC166" s="937">
        <f t="shared" si="96"/>
        <v>0</v>
      </c>
      <c r="AD166" s="1"/>
      <c r="AE166" s="1"/>
    </row>
    <row r="167" spans="8:58" ht="18" customHeight="1" outlineLevel="1" thickTop="1" x14ac:dyDescent="0.25">
      <c r="I167" s="202"/>
      <c r="J167" s="31" t="s">
        <v>145</v>
      </c>
      <c r="K167" s="206">
        <f>SUM(N167:AC167)</f>
        <v>0</v>
      </c>
      <c r="L167" s="207">
        <f t="shared" si="91"/>
        <v>0</v>
      </c>
      <c r="N167" s="257">
        <f t="shared" ref="N167:AC167" si="97">-IFERROR(IF($P$107="Yes",N111*N100*N78/365,0),0)</f>
        <v>0</v>
      </c>
      <c r="O167" s="258">
        <f t="shared" si="97"/>
        <v>0</v>
      </c>
      <c r="P167" s="258">
        <f t="shared" si="97"/>
        <v>0</v>
      </c>
      <c r="Q167" s="258">
        <f t="shared" si="97"/>
        <v>0</v>
      </c>
      <c r="R167" s="258">
        <f t="shared" si="97"/>
        <v>0</v>
      </c>
      <c r="S167" s="258">
        <f t="shared" si="97"/>
        <v>0</v>
      </c>
      <c r="T167" s="258">
        <f t="shared" si="97"/>
        <v>0</v>
      </c>
      <c r="U167" s="258">
        <f t="shared" si="97"/>
        <v>0</v>
      </c>
      <c r="V167" s="258">
        <f t="shared" si="97"/>
        <v>0</v>
      </c>
      <c r="W167" s="258">
        <f t="shared" si="97"/>
        <v>0</v>
      </c>
      <c r="X167" s="258">
        <f t="shared" si="97"/>
        <v>0</v>
      </c>
      <c r="Y167" s="258">
        <f t="shared" si="97"/>
        <v>0</v>
      </c>
      <c r="Z167" s="258">
        <f t="shared" si="97"/>
        <v>0</v>
      </c>
      <c r="AA167" s="258">
        <f t="shared" si="97"/>
        <v>0</v>
      </c>
      <c r="AB167" s="258">
        <f t="shared" si="97"/>
        <v>0</v>
      </c>
      <c r="AC167" s="259">
        <f t="shared" si="97"/>
        <v>0</v>
      </c>
      <c r="AD167" s="1"/>
      <c r="AE167" s="1"/>
    </row>
    <row r="168" spans="8:58" ht="18" customHeight="1" outlineLevel="1" x14ac:dyDescent="0.25">
      <c r="I168" s="202"/>
      <c r="J168" s="31" t="s">
        <v>146</v>
      </c>
      <c r="K168" s="208">
        <f>SUM(N168:AC168)</f>
        <v>0</v>
      </c>
      <c r="L168" s="209">
        <f t="shared" si="91"/>
        <v>0</v>
      </c>
      <c r="N168" s="260">
        <f>-N304</f>
        <v>0</v>
      </c>
      <c r="O168" s="261">
        <f t="shared" ref="O168:AC168" si="98">-O304</f>
        <v>0</v>
      </c>
      <c r="P168" s="261">
        <f t="shared" si="98"/>
        <v>0</v>
      </c>
      <c r="Q168" s="261">
        <f t="shared" si="98"/>
        <v>0</v>
      </c>
      <c r="R168" s="261">
        <f t="shared" si="98"/>
        <v>0</v>
      </c>
      <c r="S168" s="261">
        <f t="shared" si="98"/>
        <v>0</v>
      </c>
      <c r="T168" s="261">
        <f t="shared" si="98"/>
        <v>0</v>
      </c>
      <c r="U168" s="261">
        <f t="shared" si="98"/>
        <v>0</v>
      </c>
      <c r="V168" s="261">
        <f t="shared" si="98"/>
        <v>0</v>
      </c>
      <c r="W168" s="261">
        <f t="shared" si="98"/>
        <v>0</v>
      </c>
      <c r="X168" s="261">
        <f t="shared" si="98"/>
        <v>0</v>
      </c>
      <c r="Y168" s="261">
        <f t="shared" si="98"/>
        <v>0</v>
      </c>
      <c r="Z168" s="261">
        <f t="shared" si="98"/>
        <v>0</v>
      </c>
      <c r="AA168" s="261">
        <f t="shared" si="98"/>
        <v>0</v>
      </c>
      <c r="AB168" s="261">
        <f t="shared" si="98"/>
        <v>0</v>
      </c>
      <c r="AC168" s="262">
        <f t="shared" si="98"/>
        <v>0</v>
      </c>
      <c r="AD168" s="1"/>
      <c r="AE168" s="1"/>
    </row>
    <row r="169" spans="8:58" ht="15.75" outlineLevel="1" x14ac:dyDescent="0.25">
      <c r="I169" s="202">
        <f>INDEX($J$118:$AC$171,MATCH($J169,$J$118:$J$171,0),MATCH($I$118,$J$118:$AC$118,0))</f>
        <v>0</v>
      </c>
      <c r="J169" s="547" t="s">
        <v>147</v>
      </c>
      <c r="K169" s="820">
        <f>K162+SUM(K167:K168)</f>
        <v>0</v>
      </c>
      <c r="L169" s="938">
        <f t="shared" si="91"/>
        <v>0</v>
      </c>
      <c r="M169" s="750"/>
      <c r="N169" s="930">
        <f>N165+SUM(N167:N168)</f>
        <v>0</v>
      </c>
      <c r="O169" s="802">
        <f t="shared" ref="O169:AC169" si="99">O165+SUM(O167:O168)</f>
        <v>0</v>
      </c>
      <c r="P169" s="802">
        <f t="shared" si="99"/>
        <v>0</v>
      </c>
      <c r="Q169" s="802">
        <f t="shared" si="99"/>
        <v>0</v>
      </c>
      <c r="R169" s="802">
        <f t="shared" si="99"/>
        <v>0</v>
      </c>
      <c r="S169" s="802">
        <f t="shared" si="99"/>
        <v>0</v>
      </c>
      <c r="T169" s="802">
        <f t="shared" si="99"/>
        <v>0</v>
      </c>
      <c r="U169" s="802">
        <f t="shared" si="99"/>
        <v>0</v>
      </c>
      <c r="V169" s="802">
        <f t="shared" si="99"/>
        <v>0</v>
      </c>
      <c r="W169" s="802">
        <f t="shared" si="99"/>
        <v>0</v>
      </c>
      <c r="X169" s="802">
        <f t="shared" si="99"/>
        <v>0</v>
      </c>
      <c r="Y169" s="802">
        <f t="shared" si="99"/>
        <v>0</v>
      </c>
      <c r="Z169" s="802">
        <f t="shared" si="99"/>
        <v>0</v>
      </c>
      <c r="AA169" s="802">
        <f t="shared" si="99"/>
        <v>0</v>
      </c>
      <c r="AB169" s="802">
        <f t="shared" si="99"/>
        <v>0</v>
      </c>
      <c r="AC169" s="931">
        <f t="shared" si="99"/>
        <v>0</v>
      </c>
      <c r="AD169" s="1"/>
      <c r="AE169" s="1"/>
    </row>
    <row r="170" spans="8:58" ht="15.75" x14ac:dyDescent="0.25">
      <c r="I170" s="202">
        <f>INDEX($J$118:$AC$171,MATCH($J170,$J$118:$J$171,0),MATCH($I$118,$J$118:$AC$118,0))</f>
        <v>0</v>
      </c>
      <c r="J170" s="31" t="s">
        <v>148</v>
      </c>
      <c r="K170" s="816">
        <f>SUM(N170:AC170)</f>
        <v>0</v>
      </c>
      <c r="L170" s="221">
        <f t="shared" si="91"/>
        <v>0</v>
      </c>
      <c r="N170" s="939">
        <f t="shared" ref="N170:AC170" si="100">IF(N169&lt;0,0,N169*-N95)</f>
        <v>0</v>
      </c>
      <c r="O170" s="795">
        <f t="shared" si="100"/>
        <v>0</v>
      </c>
      <c r="P170" s="795">
        <f t="shared" si="100"/>
        <v>0</v>
      </c>
      <c r="Q170" s="795">
        <f t="shared" si="100"/>
        <v>0</v>
      </c>
      <c r="R170" s="795">
        <f t="shared" si="100"/>
        <v>0</v>
      </c>
      <c r="S170" s="795">
        <f t="shared" si="100"/>
        <v>0</v>
      </c>
      <c r="T170" s="795">
        <f t="shared" si="100"/>
        <v>0</v>
      </c>
      <c r="U170" s="795">
        <f t="shared" si="100"/>
        <v>0</v>
      </c>
      <c r="V170" s="795">
        <f t="shared" si="100"/>
        <v>0</v>
      </c>
      <c r="W170" s="795">
        <f t="shared" si="100"/>
        <v>0</v>
      </c>
      <c r="X170" s="795">
        <f t="shared" si="100"/>
        <v>0</v>
      </c>
      <c r="Y170" s="795">
        <f t="shared" si="100"/>
        <v>0</v>
      </c>
      <c r="Z170" s="795">
        <f t="shared" si="100"/>
        <v>0</v>
      </c>
      <c r="AA170" s="795">
        <f t="shared" si="100"/>
        <v>0</v>
      </c>
      <c r="AB170" s="795">
        <f t="shared" si="100"/>
        <v>0</v>
      </c>
      <c r="AC170" s="940">
        <f t="shared" si="100"/>
        <v>0</v>
      </c>
      <c r="AD170" s="1"/>
      <c r="AE170" s="1"/>
    </row>
    <row r="171" spans="8:58" outlineLevel="1" thickBot="1" x14ac:dyDescent="0.3">
      <c r="I171" s="202">
        <f>INDEX($J$118:$AC$171,MATCH($J171,$J$118:$J$171,0),MATCH($I$118,$J$118:$AC$118,0))</f>
        <v>0</v>
      </c>
      <c r="J171" s="557" t="s">
        <v>149</v>
      </c>
      <c r="K171" s="941">
        <f>K169+K170</f>
        <v>0</v>
      </c>
      <c r="L171" s="942">
        <f t="shared" si="91"/>
        <v>0</v>
      </c>
      <c r="N171" s="943">
        <f>N169+N170</f>
        <v>0</v>
      </c>
      <c r="O171" s="944">
        <f t="shared" ref="O171:AC171" si="101">O169+O170</f>
        <v>0</v>
      </c>
      <c r="P171" s="944">
        <f t="shared" si="101"/>
        <v>0</v>
      </c>
      <c r="Q171" s="944">
        <f t="shared" si="101"/>
        <v>0</v>
      </c>
      <c r="R171" s="944">
        <f t="shared" si="101"/>
        <v>0</v>
      </c>
      <c r="S171" s="944">
        <f t="shared" si="101"/>
        <v>0</v>
      </c>
      <c r="T171" s="944">
        <f t="shared" si="101"/>
        <v>0</v>
      </c>
      <c r="U171" s="944">
        <f t="shared" si="101"/>
        <v>0</v>
      </c>
      <c r="V171" s="944">
        <f t="shared" si="101"/>
        <v>0</v>
      </c>
      <c r="W171" s="944">
        <f t="shared" si="101"/>
        <v>0</v>
      </c>
      <c r="X171" s="944">
        <f t="shared" si="101"/>
        <v>0</v>
      </c>
      <c r="Y171" s="944">
        <f t="shared" si="101"/>
        <v>0</v>
      </c>
      <c r="Z171" s="944">
        <f t="shared" si="101"/>
        <v>0</v>
      </c>
      <c r="AA171" s="944">
        <f t="shared" si="101"/>
        <v>0</v>
      </c>
      <c r="AB171" s="944">
        <f t="shared" si="101"/>
        <v>0</v>
      </c>
      <c r="AC171" s="945">
        <f t="shared" si="101"/>
        <v>0</v>
      </c>
      <c r="AD171" s="1"/>
      <c r="AE171" s="1"/>
    </row>
    <row r="172" spans="8:58" s="4" customFormat="1" ht="15.75" x14ac:dyDescent="0.25">
      <c r="H172" s="1"/>
      <c r="J172" s="31"/>
      <c r="K172" s="164"/>
      <c r="L172" s="164"/>
      <c r="M172" s="1"/>
      <c r="N172" s="31"/>
      <c r="O172" s="31"/>
      <c r="P172" s="31"/>
      <c r="Q172" s="31"/>
      <c r="R172" s="31"/>
      <c r="S172" s="31"/>
      <c r="T172" s="31"/>
      <c r="U172" s="31"/>
      <c r="V172" s="31"/>
      <c r="W172" s="31"/>
      <c r="X172" s="31"/>
      <c r="Y172" s="31"/>
      <c r="Z172" s="31"/>
      <c r="AA172" s="31"/>
      <c r="AB172" s="31"/>
      <c r="AC172" s="3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row>
    <row r="173" spans="8:58" ht="18" outlineLevel="1" x14ac:dyDescent="0.2">
      <c r="I173" s="104" t="s">
        <v>130</v>
      </c>
      <c r="J173" s="105" t="s">
        <v>150</v>
      </c>
      <c r="K173" s="105"/>
      <c r="L173" s="105"/>
      <c r="M173" s="106"/>
      <c r="N173" s="107">
        <f>N$11</f>
        <v>2024</v>
      </c>
      <c r="O173" s="107">
        <f t="shared" ref="O173:AC173" si="102">O$11</f>
        <v>2025</v>
      </c>
      <c r="P173" s="107">
        <f t="shared" si="102"/>
        <v>2026</v>
      </c>
      <c r="Q173" s="107">
        <f t="shared" si="102"/>
        <v>2027</v>
      </c>
      <c r="R173" s="107">
        <f t="shared" si="102"/>
        <v>2028</v>
      </c>
      <c r="S173" s="107">
        <f t="shared" si="102"/>
        <v>2029</v>
      </c>
      <c r="T173" s="107">
        <f t="shared" si="102"/>
        <v>2030</v>
      </c>
      <c r="U173" s="107">
        <f t="shared" si="102"/>
        <v>2031</v>
      </c>
      <c r="V173" s="107">
        <f t="shared" si="102"/>
        <v>2032</v>
      </c>
      <c r="W173" s="107">
        <f t="shared" si="102"/>
        <v>2033</v>
      </c>
      <c r="X173" s="107">
        <f t="shared" si="102"/>
        <v>2034</v>
      </c>
      <c r="Y173" s="107">
        <f t="shared" si="102"/>
        <v>2035</v>
      </c>
      <c r="Z173" s="107">
        <f t="shared" si="102"/>
        <v>2036</v>
      </c>
      <c r="AA173" s="107">
        <f t="shared" si="102"/>
        <v>2037</v>
      </c>
      <c r="AB173" s="107">
        <f t="shared" si="102"/>
        <v>2038</v>
      </c>
      <c r="AC173" s="107">
        <f t="shared" si="102"/>
        <v>2039</v>
      </c>
      <c r="AD173" s="1"/>
      <c r="AE173" s="1"/>
    </row>
    <row r="174" spans="8:58" s="4" customFormat="1" ht="15.4" customHeight="1" outlineLevel="1" x14ac:dyDescent="0.25">
      <c r="H174" s="1"/>
      <c r="J174" s="31"/>
      <c r="K174" s="1189" t="s">
        <v>151</v>
      </c>
      <c r="L174" s="164"/>
      <c r="M174" s="1"/>
      <c r="N174" s="31"/>
      <c r="O174" s="31"/>
      <c r="P174" s="31"/>
      <c r="Q174" s="31"/>
      <c r="R174" s="31"/>
      <c r="S174" s="31"/>
      <c r="T174" s="31"/>
      <c r="U174" s="31"/>
      <c r="V174" s="31"/>
      <c r="W174" s="31"/>
      <c r="X174" s="31"/>
      <c r="Y174" s="31"/>
      <c r="Z174" s="31"/>
      <c r="AA174" s="31"/>
      <c r="AB174" s="31"/>
      <c r="AC174" s="3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row>
    <row r="175" spans="8:58" s="4" customFormat="1" ht="15.75" outlineLevel="1" x14ac:dyDescent="0.25">
      <c r="H175" s="1"/>
      <c r="J175" s="31"/>
      <c r="K175" s="1190"/>
      <c r="L175" s="141" t="s">
        <v>152</v>
      </c>
      <c r="M175" s="1"/>
      <c r="N175" s="31"/>
      <c r="O175" s="31"/>
      <c r="P175" s="31"/>
      <c r="Q175" s="31"/>
      <c r="R175" s="31"/>
      <c r="S175" s="31"/>
      <c r="T175" s="31"/>
      <c r="U175" s="31"/>
      <c r="V175" s="31"/>
      <c r="W175" s="31"/>
      <c r="X175" s="31"/>
      <c r="Y175" s="31"/>
      <c r="Z175" s="31"/>
      <c r="AA175" s="31"/>
      <c r="AB175" s="31"/>
      <c r="AC175" s="3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row>
    <row r="176" spans="8:58" s="4" customFormat="1" ht="22.5" customHeight="1" outlineLevel="1" x14ac:dyDescent="0.25">
      <c r="H176" s="1"/>
      <c r="I176" s="202"/>
      <c r="J176" s="203" t="s">
        <v>12</v>
      </c>
      <c r="K176" s="265"/>
      <c r="L176" s="946">
        <f>IFERROR(K118,"")</f>
        <v>0</v>
      </c>
      <c r="M176" s="947"/>
      <c r="N176" s="832">
        <f t="shared" ref="N176:AC176" si="103">IFERROR(N118,"")</f>
        <v>0</v>
      </c>
      <c r="O176" s="832">
        <f t="shared" si="103"/>
        <v>0</v>
      </c>
      <c r="P176" s="832">
        <f t="shared" si="103"/>
        <v>0</v>
      </c>
      <c r="Q176" s="832">
        <f t="shared" si="103"/>
        <v>0</v>
      </c>
      <c r="R176" s="832">
        <f t="shared" si="103"/>
        <v>0</v>
      </c>
      <c r="S176" s="832">
        <f t="shared" si="103"/>
        <v>0</v>
      </c>
      <c r="T176" s="832">
        <f t="shared" si="103"/>
        <v>0</v>
      </c>
      <c r="U176" s="832">
        <f t="shared" si="103"/>
        <v>0</v>
      </c>
      <c r="V176" s="832">
        <f t="shared" si="103"/>
        <v>0</v>
      </c>
      <c r="W176" s="832">
        <f t="shared" si="103"/>
        <v>0</v>
      </c>
      <c r="X176" s="832">
        <f t="shared" si="103"/>
        <v>0</v>
      </c>
      <c r="Y176" s="832">
        <f t="shared" si="103"/>
        <v>0</v>
      </c>
      <c r="Z176" s="832">
        <f t="shared" si="103"/>
        <v>0</v>
      </c>
      <c r="AA176" s="832">
        <f t="shared" si="103"/>
        <v>0</v>
      </c>
      <c r="AB176" s="832">
        <f t="shared" si="103"/>
        <v>0</v>
      </c>
      <c r="AC176" s="832">
        <f t="shared" si="103"/>
        <v>0</v>
      </c>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row>
    <row r="177" spans="8:58" s="4" customFormat="1" ht="15.75" outlineLevel="1" x14ac:dyDescent="0.25">
      <c r="H177" s="1"/>
      <c r="I177" s="202"/>
      <c r="J177" s="97" t="s">
        <v>153</v>
      </c>
      <c r="K177" s="267"/>
      <c r="L177" s="268"/>
      <c r="N177" s="269" t="str">
        <f t="shared" ref="N177:AC177" si="104">IFERROR(SUM(N119,N148)/N$118,"")</f>
        <v/>
      </c>
      <c r="O177" s="269" t="str">
        <f t="shared" si="104"/>
        <v/>
      </c>
      <c r="P177" s="269" t="str">
        <f t="shared" si="104"/>
        <v/>
      </c>
      <c r="Q177" s="269" t="str">
        <f t="shared" si="104"/>
        <v/>
      </c>
      <c r="R177" s="269" t="str">
        <f t="shared" si="104"/>
        <v/>
      </c>
      <c r="S177" s="269" t="str">
        <f t="shared" si="104"/>
        <v/>
      </c>
      <c r="T177" s="269" t="str">
        <f t="shared" si="104"/>
        <v/>
      </c>
      <c r="U177" s="269" t="str">
        <f t="shared" si="104"/>
        <v/>
      </c>
      <c r="V177" s="269" t="str">
        <f t="shared" si="104"/>
        <v/>
      </c>
      <c r="W177" s="269" t="str">
        <f t="shared" si="104"/>
        <v/>
      </c>
      <c r="X177" s="269" t="str">
        <f t="shared" si="104"/>
        <v/>
      </c>
      <c r="Y177" s="269" t="str">
        <f t="shared" si="104"/>
        <v/>
      </c>
      <c r="Z177" s="269" t="str">
        <f t="shared" si="104"/>
        <v/>
      </c>
      <c r="AA177" s="269" t="str">
        <f t="shared" si="104"/>
        <v/>
      </c>
      <c r="AB177" s="269" t="str">
        <f t="shared" si="104"/>
        <v/>
      </c>
      <c r="AC177" s="269" t="str">
        <f t="shared" si="104"/>
        <v/>
      </c>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row>
    <row r="178" spans="8:58" s="4" customFormat="1" ht="15.75" outlineLevel="1" x14ac:dyDescent="0.25">
      <c r="H178" s="1"/>
      <c r="I178" s="202"/>
      <c r="J178" s="97" t="s">
        <v>108</v>
      </c>
      <c r="K178" s="270"/>
      <c r="L178" s="271"/>
      <c r="N178" s="269" t="str">
        <f t="shared" ref="N178:AC181" si="105">IFERROR(N120/N$118,"")</f>
        <v/>
      </c>
      <c r="O178" s="272" t="str">
        <f t="shared" si="105"/>
        <v/>
      </c>
      <c r="P178" s="272" t="str">
        <f t="shared" si="105"/>
        <v/>
      </c>
      <c r="Q178" s="272" t="str">
        <f t="shared" si="105"/>
        <v/>
      </c>
      <c r="R178" s="272" t="str">
        <f t="shared" si="105"/>
        <v/>
      </c>
      <c r="S178" s="272" t="str">
        <f t="shared" si="105"/>
        <v/>
      </c>
      <c r="T178" s="272" t="str">
        <f t="shared" si="105"/>
        <v/>
      </c>
      <c r="U178" s="272" t="str">
        <f t="shared" si="105"/>
        <v/>
      </c>
      <c r="V178" s="272" t="str">
        <f t="shared" si="105"/>
        <v/>
      </c>
      <c r="W178" s="272" t="str">
        <f t="shared" si="105"/>
        <v/>
      </c>
      <c r="X178" s="272" t="str">
        <f t="shared" si="105"/>
        <v/>
      </c>
      <c r="Y178" s="272" t="str">
        <f t="shared" si="105"/>
        <v/>
      </c>
      <c r="Z178" s="272" t="str">
        <f t="shared" si="105"/>
        <v/>
      </c>
      <c r="AA178" s="272" t="str">
        <f t="shared" si="105"/>
        <v/>
      </c>
      <c r="AB178" s="272" t="str">
        <f t="shared" si="105"/>
        <v/>
      </c>
      <c r="AC178" s="273" t="str">
        <f t="shared" si="105"/>
        <v/>
      </c>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row>
    <row r="179" spans="8:58" s="4" customFormat="1" ht="15.75" outlineLevel="1" x14ac:dyDescent="0.25">
      <c r="H179" s="1"/>
      <c r="I179" s="202"/>
      <c r="J179" s="97" t="s">
        <v>109</v>
      </c>
      <c r="K179" s="270"/>
      <c r="L179" s="271"/>
      <c r="N179" s="269" t="str">
        <f t="shared" si="105"/>
        <v/>
      </c>
      <c r="O179" s="272" t="str">
        <f t="shared" si="105"/>
        <v/>
      </c>
      <c r="P179" s="272" t="str">
        <f t="shared" si="105"/>
        <v/>
      </c>
      <c r="Q179" s="272" t="str">
        <f t="shared" si="105"/>
        <v/>
      </c>
      <c r="R179" s="272" t="str">
        <f t="shared" si="105"/>
        <v/>
      </c>
      <c r="S179" s="272" t="str">
        <f t="shared" si="105"/>
        <v/>
      </c>
      <c r="T179" s="272" t="str">
        <f t="shared" si="105"/>
        <v/>
      </c>
      <c r="U179" s="272" t="str">
        <f t="shared" si="105"/>
        <v/>
      </c>
      <c r="V179" s="272" t="str">
        <f t="shared" si="105"/>
        <v/>
      </c>
      <c r="W179" s="272" t="str">
        <f t="shared" si="105"/>
        <v/>
      </c>
      <c r="X179" s="272" t="str">
        <f t="shared" si="105"/>
        <v/>
      </c>
      <c r="Y179" s="272" t="str">
        <f t="shared" si="105"/>
        <v/>
      </c>
      <c r="Z179" s="272" t="str">
        <f t="shared" si="105"/>
        <v/>
      </c>
      <c r="AA179" s="272" t="str">
        <f t="shared" si="105"/>
        <v/>
      </c>
      <c r="AB179" s="272" t="str">
        <f t="shared" si="105"/>
        <v/>
      </c>
      <c r="AC179" s="273" t="str">
        <f t="shared" si="105"/>
        <v/>
      </c>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row>
    <row r="180" spans="8:58" s="4" customFormat="1" ht="15.75" outlineLevel="1" x14ac:dyDescent="0.25">
      <c r="H180" s="1"/>
      <c r="I180" s="202"/>
      <c r="J180" s="97" t="s">
        <v>110</v>
      </c>
      <c r="K180" s="270"/>
      <c r="L180" s="271"/>
      <c r="N180" s="269" t="str">
        <f t="shared" si="105"/>
        <v/>
      </c>
      <c r="O180" s="272" t="str">
        <f t="shared" si="105"/>
        <v/>
      </c>
      <c r="P180" s="272" t="str">
        <f t="shared" si="105"/>
        <v/>
      </c>
      <c r="Q180" s="272" t="str">
        <f t="shared" si="105"/>
        <v/>
      </c>
      <c r="R180" s="272" t="str">
        <f t="shared" si="105"/>
        <v/>
      </c>
      <c r="S180" s="272" t="str">
        <f t="shared" si="105"/>
        <v/>
      </c>
      <c r="T180" s="272" t="str">
        <f t="shared" si="105"/>
        <v/>
      </c>
      <c r="U180" s="272" t="str">
        <f t="shared" si="105"/>
        <v/>
      </c>
      <c r="V180" s="272" t="str">
        <f t="shared" si="105"/>
        <v/>
      </c>
      <c r="W180" s="272" t="str">
        <f t="shared" si="105"/>
        <v/>
      </c>
      <c r="X180" s="272" t="str">
        <f t="shared" si="105"/>
        <v/>
      </c>
      <c r="Y180" s="272" t="str">
        <f t="shared" si="105"/>
        <v/>
      </c>
      <c r="Z180" s="272" t="str">
        <f t="shared" si="105"/>
        <v/>
      </c>
      <c r="AA180" s="272" t="str">
        <f t="shared" si="105"/>
        <v/>
      </c>
      <c r="AB180" s="272" t="str">
        <f t="shared" si="105"/>
        <v/>
      </c>
      <c r="AC180" s="273" t="str">
        <f t="shared" si="105"/>
        <v/>
      </c>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row>
    <row r="181" spans="8:58" s="4" customFormat="1" ht="15.75" outlineLevel="1" x14ac:dyDescent="0.25">
      <c r="H181" s="1"/>
      <c r="I181" s="202"/>
      <c r="J181" s="74" t="s">
        <v>111</v>
      </c>
      <c r="K181" s="274"/>
      <c r="L181" s="275"/>
      <c r="N181" s="269" t="str">
        <f t="shared" si="105"/>
        <v/>
      </c>
      <c r="O181" s="272" t="str">
        <f t="shared" si="105"/>
        <v/>
      </c>
      <c r="P181" s="272" t="str">
        <f t="shared" si="105"/>
        <v/>
      </c>
      <c r="Q181" s="272" t="str">
        <f t="shared" si="105"/>
        <v/>
      </c>
      <c r="R181" s="272" t="str">
        <f t="shared" si="105"/>
        <v/>
      </c>
      <c r="S181" s="272" t="str">
        <f t="shared" si="105"/>
        <v/>
      </c>
      <c r="T181" s="272" t="str">
        <f t="shared" si="105"/>
        <v/>
      </c>
      <c r="U181" s="272" t="str">
        <f t="shared" si="105"/>
        <v/>
      </c>
      <c r="V181" s="272" t="str">
        <f t="shared" si="105"/>
        <v/>
      </c>
      <c r="W181" s="272" t="str">
        <f t="shared" si="105"/>
        <v/>
      </c>
      <c r="X181" s="272" t="str">
        <f t="shared" si="105"/>
        <v/>
      </c>
      <c r="Y181" s="272" t="str">
        <f t="shared" si="105"/>
        <v/>
      </c>
      <c r="Z181" s="272" t="str">
        <f t="shared" si="105"/>
        <v/>
      </c>
      <c r="AA181" s="272" t="str">
        <f t="shared" si="105"/>
        <v/>
      </c>
      <c r="AB181" s="272" t="str">
        <f t="shared" si="105"/>
        <v/>
      </c>
      <c r="AC181" s="273" t="str">
        <f t="shared" si="105"/>
        <v/>
      </c>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row>
    <row r="182" spans="8:58" s="4" customFormat="1" ht="15.75" outlineLevel="1" x14ac:dyDescent="0.25">
      <c r="H182" s="1"/>
      <c r="I182" s="202"/>
      <c r="J182" s="210" t="s">
        <v>154</v>
      </c>
      <c r="K182" s="276"/>
      <c r="L182" s="277">
        <f>L124</f>
        <v>0</v>
      </c>
      <c r="N182" s="277" t="str">
        <f>IFERROR(SUM(N124,N148)/N$118,"")</f>
        <v/>
      </c>
      <c r="O182" s="277" t="str">
        <f t="shared" ref="O182:AC182" si="106">IFERROR(SUM(O124,O148)/O$118,"")</f>
        <v/>
      </c>
      <c r="P182" s="277" t="str">
        <f t="shared" si="106"/>
        <v/>
      </c>
      <c r="Q182" s="277" t="str">
        <f t="shared" si="106"/>
        <v/>
      </c>
      <c r="R182" s="277" t="str">
        <f t="shared" si="106"/>
        <v/>
      </c>
      <c r="S182" s="277" t="str">
        <f t="shared" si="106"/>
        <v/>
      </c>
      <c r="T182" s="277" t="str">
        <f t="shared" si="106"/>
        <v/>
      </c>
      <c r="U182" s="277" t="str">
        <f t="shared" si="106"/>
        <v/>
      </c>
      <c r="V182" s="277" t="str">
        <f t="shared" si="106"/>
        <v/>
      </c>
      <c r="W182" s="277" t="str">
        <f t="shared" si="106"/>
        <v/>
      </c>
      <c r="X182" s="277" t="str">
        <f t="shared" si="106"/>
        <v/>
      </c>
      <c r="Y182" s="277" t="str">
        <f t="shared" si="106"/>
        <v/>
      </c>
      <c r="Z182" s="277" t="str">
        <f t="shared" si="106"/>
        <v/>
      </c>
      <c r="AA182" s="277" t="str">
        <f t="shared" si="106"/>
        <v/>
      </c>
      <c r="AB182" s="277" t="str">
        <f t="shared" si="106"/>
        <v/>
      </c>
      <c r="AC182" s="277" t="str">
        <f t="shared" si="106"/>
        <v/>
      </c>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row>
    <row r="183" spans="8:58" s="4" customFormat="1" ht="15.75" outlineLevel="1" x14ac:dyDescent="0.25">
      <c r="H183" s="1"/>
      <c r="I183" s="202"/>
      <c r="J183" s="97" t="s">
        <v>114</v>
      </c>
      <c r="K183" s="276"/>
      <c r="L183" s="269">
        <f>L126</f>
        <v>0</v>
      </c>
      <c r="N183" s="269" t="str">
        <f>IFERROR(N126/N$118,"")</f>
        <v/>
      </c>
      <c r="O183" s="269" t="str">
        <f t="shared" ref="O183:AC184" si="107">IFERROR(O126/O$118,"")</f>
        <v/>
      </c>
      <c r="P183" s="269" t="str">
        <f t="shared" si="107"/>
        <v/>
      </c>
      <c r="Q183" s="269" t="str">
        <f t="shared" si="107"/>
        <v/>
      </c>
      <c r="R183" s="269" t="str">
        <f t="shared" si="107"/>
        <v/>
      </c>
      <c r="S183" s="269" t="str">
        <f t="shared" si="107"/>
        <v/>
      </c>
      <c r="T183" s="269" t="str">
        <f t="shared" si="107"/>
        <v/>
      </c>
      <c r="U183" s="269" t="str">
        <f t="shared" si="107"/>
        <v/>
      </c>
      <c r="V183" s="269" t="str">
        <f t="shared" si="107"/>
        <v/>
      </c>
      <c r="W183" s="269" t="str">
        <f t="shared" si="107"/>
        <v/>
      </c>
      <c r="X183" s="269" t="str">
        <f t="shared" si="107"/>
        <v/>
      </c>
      <c r="Y183" s="269" t="str">
        <f t="shared" si="107"/>
        <v/>
      </c>
      <c r="Z183" s="269" t="str">
        <f t="shared" si="107"/>
        <v/>
      </c>
      <c r="AA183" s="269" t="str">
        <f t="shared" si="107"/>
        <v/>
      </c>
      <c r="AB183" s="269" t="str">
        <f t="shared" si="107"/>
        <v/>
      </c>
      <c r="AC183" s="269" t="str">
        <f t="shared" si="107"/>
        <v/>
      </c>
      <c r="AD183" s="219"/>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row>
    <row r="184" spans="8:58" s="4" customFormat="1" ht="15.75" outlineLevel="1" x14ac:dyDescent="0.25">
      <c r="H184" s="1"/>
      <c r="I184" s="202"/>
      <c r="J184" s="97" t="s">
        <v>115</v>
      </c>
      <c r="K184" s="276"/>
      <c r="L184" s="269">
        <f>L127</f>
        <v>0</v>
      </c>
      <c r="N184" s="269" t="str">
        <f>IFERROR(N127/N$118,"")</f>
        <v/>
      </c>
      <c r="O184" s="269" t="str">
        <f t="shared" si="107"/>
        <v/>
      </c>
      <c r="P184" s="269" t="str">
        <f t="shared" si="107"/>
        <v/>
      </c>
      <c r="Q184" s="269" t="str">
        <f t="shared" si="107"/>
        <v/>
      </c>
      <c r="R184" s="269" t="str">
        <f t="shared" si="107"/>
        <v/>
      </c>
      <c r="S184" s="269" t="str">
        <f t="shared" si="107"/>
        <v/>
      </c>
      <c r="T184" s="269" t="str">
        <f t="shared" si="107"/>
        <v/>
      </c>
      <c r="U184" s="269" t="str">
        <f t="shared" si="107"/>
        <v/>
      </c>
      <c r="V184" s="269" t="str">
        <f t="shared" si="107"/>
        <v/>
      </c>
      <c r="W184" s="269" t="str">
        <f t="shared" si="107"/>
        <v/>
      </c>
      <c r="X184" s="269" t="str">
        <f t="shared" si="107"/>
        <v/>
      </c>
      <c r="Y184" s="269" t="str">
        <f t="shared" si="107"/>
        <v/>
      </c>
      <c r="Z184" s="269" t="str">
        <f t="shared" si="107"/>
        <v/>
      </c>
      <c r="AA184" s="269" t="str">
        <f t="shared" si="107"/>
        <v/>
      </c>
      <c r="AB184" s="269" t="str">
        <f t="shared" si="107"/>
        <v/>
      </c>
      <c r="AC184" s="269" t="str">
        <f t="shared" si="107"/>
        <v/>
      </c>
      <c r="AD184" s="219"/>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row>
    <row r="185" spans="8:58" s="4" customFormat="1" ht="15.75" outlineLevel="1" x14ac:dyDescent="0.25">
      <c r="H185" s="1"/>
      <c r="I185" s="202"/>
      <c r="J185" s="97" t="s">
        <v>116</v>
      </c>
      <c r="K185" s="276"/>
      <c r="L185" s="269">
        <f>L128</f>
        <v>0</v>
      </c>
      <c r="N185" s="269" t="str">
        <f>IFERROR(SUM(N128,N149)/N$118,"")</f>
        <v/>
      </c>
      <c r="O185" s="269" t="str">
        <f t="shared" ref="O185:AC186" si="108">IFERROR(SUM(O128,O149)/O$118,"")</f>
        <v/>
      </c>
      <c r="P185" s="269" t="str">
        <f t="shared" si="108"/>
        <v/>
      </c>
      <c r="Q185" s="269" t="str">
        <f t="shared" si="108"/>
        <v/>
      </c>
      <c r="R185" s="269" t="str">
        <f t="shared" si="108"/>
        <v/>
      </c>
      <c r="S185" s="269" t="str">
        <f t="shared" si="108"/>
        <v/>
      </c>
      <c r="T185" s="269" t="str">
        <f t="shared" si="108"/>
        <v/>
      </c>
      <c r="U185" s="269" t="str">
        <f t="shared" si="108"/>
        <v/>
      </c>
      <c r="V185" s="269" t="str">
        <f t="shared" si="108"/>
        <v/>
      </c>
      <c r="W185" s="269" t="str">
        <f t="shared" si="108"/>
        <v/>
      </c>
      <c r="X185" s="269" t="str">
        <f t="shared" si="108"/>
        <v/>
      </c>
      <c r="Y185" s="269" t="str">
        <f t="shared" si="108"/>
        <v/>
      </c>
      <c r="Z185" s="269" t="str">
        <f t="shared" si="108"/>
        <v/>
      </c>
      <c r="AA185" s="269" t="str">
        <f t="shared" si="108"/>
        <v/>
      </c>
      <c r="AB185" s="269" t="str">
        <f t="shared" si="108"/>
        <v/>
      </c>
      <c r="AC185" s="269" t="str">
        <f t="shared" si="108"/>
        <v/>
      </c>
      <c r="AD185" s="219"/>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row>
    <row r="186" spans="8:58" s="4" customFormat="1" ht="15.75" outlineLevel="1" x14ac:dyDescent="0.25">
      <c r="H186" s="1"/>
      <c r="I186" s="202"/>
      <c r="J186" s="97" t="s">
        <v>117</v>
      </c>
      <c r="K186" s="276"/>
      <c r="L186" s="269">
        <f>L129</f>
        <v>0</v>
      </c>
      <c r="N186" s="269" t="str">
        <f>IFERROR(SUM(N129,N150)/N$118,"")</f>
        <v/>
      </c>
      <c r="O186" s="269" t="str">
        <f t="shared" si="108"/>
        <v/>
      </c>
      <c r="P186" s="269" t="str">
        <f t="shared" si="108"/>
        <v/>
      </c>
      <c r="Q186" s="269" t="str">
        <f t="shared" si="108"/>
        <v/>
      </c>
      <c r="R186" s="269" t="str">
        <f t="shared" si="108"/>
        <v/>
      </c>
      <c r="S186" s="269" t="str">
        <f t="shared" si="108"/>
        <v/>
      </c>
      <c r="T186" s="269" t="str">
        <f t="shared" si="108"/>
        <v/>
      </c>
      <c r="U186" s="269" t="str">
        <f t="shared" si="108"/>
        <v/>
      </c>
      <c r="V186" s="269" t="str">
        <f t="shared" si="108"/>
        <v/>
      </c>
      <c r="W186" s="269" t="str">
        <f t="shared" si="108"/>
        <v/>
      </c>
      <c r="X186" s="269" t="str">
        <f t="shared" si="108"/>
        <v/>
      </c>
      <c r="Y186" s="269" t="str">
        <f t="shared" si="108"/>
        <v/>
      </c>
      <c r="Z186" s="269" t="str">
        <f t="shared" si="108"/>
        <v/>
      </c>
      <c r="AA186" s="269" t="str">
        <f t="shared" si="108"/>
        <v/>
      </c>
      <c r="AB186" s="269" t="str">
        <f t="shared" si="108"/>
        <v/>
      </c>
      <c r="AC186" s="269" t="str">
        <f t="shared" si="108"/>
        <v/>
      </c>
      <c r="AD186" s="219"/>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row>
    <row r="187" spans="8:58" s="4" customFormat="1" ht="15.75" outlineLevel="1" x14ac:dyDescent="0.25">
      <c r="H187" s="1"/>
      <c r="I187" s="202"/>
      <c r="J187" s="97" t="s">
        <v>155</v>
      </c>
      <c r="K187" s="278"/>
      <c r="L187" s="269"/>
      <c r="N187" s="269" t="str">
        <f>IFERROR(SUM(N152)/N$118,"")</f>
        <v/>
      </c>
      <c r="O187" s="269" t="str">
        <f t="shared" ref="O187:AC187" si="109">IFERROR(SUM(O152)/O$118,"")</f>
        <v/>
      </c>
      <c r="P187" s="269" t="str">
        <f t="shared" si="109"/>
        <v/>
      </c>
      <c r="Q187" s="269" t="str">
        <f t="shared" si="109"/>
        <v/>
      </c>
      <c r="R187" s="269" t="str">
        <f t="shared" si="109"/>
        <v/>
      </c>
      <c r="S187" s="269" t="str">
        <f t="shared" si="109"/>
        <v/>
      </c>
      <c r="T187" s="269" t="str">
        <f t="shared" si="109"/>
        <v/>
      </c>
      <c r="U187" s="269" t="str">
        <f t="shared" si="109"/>
        <v/>
      </c>
      <c r="V187" s="269" t="str">
        <f t="shared" si="109"/>
        <v/>
      </c>
      <c r="W187" s="269" t="str">
        <f t="shared" si="109"/>
        <v/>
      </c>
      <c r="X187" s="269" t="str">
        <f t="shared" si="109"/>
        <v/>
      </c>
      <c r="Y187" s="269" t="str">
        <f t="shared" si="109"/>
        <v/>
      </c>
      <c r="Z187" s="269" t="str">
        <f t="shared" si="109"/>
        <v/>
      </c>
      <c r="AA187" s="269" t="str">
        <f t="shared" si="109"/>
        <v/>
      </c>
      <c r="AB187" s="269" t="str">
        <f t="shared" si="109"/>
        <v/>
      </c>
      <c r="AC187" s="269" t="str">
        <f t="shared" si="109"/>
        <v/>
      </c>
      <c r="AD187" s="219"/>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row>
    <row r="188" spans="8:58" s="4" customFormat="1" ht="15.75" outlineLevel="1" x14ac:dyDescent="0.25">
      <c r="H188" s="1"/>
      <c r="I188" s="202"/>
      <c r="J188" s="97" t="s">
        <v>118</v>
      </c>
      <c r="K188" s="270"/>
      <c r="L188" s="269">
        <f>L130</f>
        <v>0</v>
      </c>
      <c r="N188" s="269" t="str">
        <f>IFERROR(N130/N$118,"")</f>
        <v/>
      </c>
      <c r="O188" s="269" t="str">
        <f t="shared" ref="O188:AC190" si="110">IFERROR(O130/O$118,"")</f>
        <v/>
      </c>
      <c r="P188" s="269" t="str">
        <f t="shared" si="110"/>
        <v/>
      </c>
      <c r="Q188" s="269" t="str">
        <f t="shared" si="110"/>
        <v/>
      </c>
      <c r="R188" s="269" t="str">
        <f t="shared" si="110"/>
        <v/>
      </c>
      <c r="S188" s="269" t="str">
        <f t="shared" si="110"/>
        <v/>
      </c>
      <c r="T188" s="269" t="str">
        <f t="shared" si="110"/>
        <v/>
      </c>
      <c r="U188" s="269" t="str">
        <f t="shared" si="110"/>
        <v/>
      </c>
      <c r="V188" s="269" t="str">
        <f t="shared" si="110"/>
        <v/>
      </c>
      <c r="W188" s="269" t="str">
        <f t="shared" si="110"/>
        <v/>
      </c>
      <c r="X188" s="269" t="str">
        <f t="shared" si="110"/>
        <v/>
      </c>
      <c r="Y188" s="269" t="str">
        <f t="shared" si="110"/>
        <v/>
      </c>
      <c r="Z188" s="269" t="str">
        <f t="shared" si="110"/>
        <v/>
      </c>
      <c r="AA188" s="269" t="str">
        <f t="shared" si="110"/>
        <v/>
      </c>
      <c r="AB188" s="269" t="str">
        <f t="shared" si="110"/>
        <v/>
      </c>
      <c r="AC188" s="269" t="str">
        <f t="shared" si="110"/>
        <v/>
      </c>
      <c r="AD188" s="219"/>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row>
    <row r="189" spans="8:58" s="4" customFormat="1" ht="15.75" outlineLevel="1" x14ac:dyDescent="0.25">
      <c r="H189" s="1"/>
      <c r="I189" s="202"/>
      <c r="J189" s="97" t="s">
        <v>156</v>
      </c>
      <c r="K189" s="270"/>
      <c r="L189" s="269">
        <f>L131</f>
        <v>0</v>
      </c>
      <c r="N189" s="269" t="str">
        <f>IFERROR(N131/N$118,"")</f>
        <v/>
      </c>
      <c r="O189" s="269" t="str">
        <f t="shared" si="110"/>
        <v/>
      </c>
      <c r="P189" s="269" t="str">
        <f t="shared" si="110"/>
        <v/>
      </c>
      <c r="Q189" s="269" t="str">
        <f t="shared" si="110"/>
        <v/>
      </c>
      <c r="R189" s="269" t="str">
        <f t="shared" si="110"/>
        <v/>
      </c>
      <c r="S189" s="269" t="str">
        <f t="shared" si="110"/>
        <v/>
      </c>
      <c r="T189" s="269" t="str">
        <f t="shared" si="110"/>
        <v/>
      </c>
      <c r="U189" s="269" t="str">
        <f t="shared" si="110"/>
        <v/>
      </c>
      <c r="V189" s="269" t="str">
        <f t="shared" si="110"/>
        <v/>
      </c>
      <c r="W189" s="269" t="str">
        <f t="shared" si="110"/>
        <v/>
      </c>
      <c r="X189" s="269" t="str">
        <f t="shared" si="110"/>
        <v/>
      </c>
      <c r="Y189" s="269" t="str">
        <f t="shared" si="110"/>
        <v/>
      </c>
      <c r="Z189" s="269" t="str">
        <f t="shared" si="110"/>
        <v/>
      </c>
      <c r="AA189" s="269" t="str">
        <f t="shared" si="110"/>
        <v/>
      </c>
      <c r="AB189" s="269" t="str">
        <f t="shared" si="110"/>
        <v/>
      </c>
      <c r="AC189" s="269" t="str">
        <f t="shared" si="110"/>
        <v/>
      </c>
      <c r="AD189" s="219"/>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row>
    <row r="190" spans="8:58" s="4" customFormat="1" ht="15.75" outlineLevel="1" x14ac:dyDescent="0.25">
      <c r="H190" s="1"/>
      <c r="I190" s="202"/>
      <c r="J190" s="74" t="s">
        <v>120</v>
      </c>
      <c r="K190" s="270"/>
      <c r="L190" s="269">
        <f>L132</f>
        <v>0</v>
      </c>
      <c r="N190" s="269" t="str">
        <f>IFERROR(N132/N$118,"")</f>
        <v/>
      </c>
      <c r="O190" s="269" t="str">
        <f t="shared" si="110"/>
        <v/>
      </c>
      <c r="P190" s="269" t="str">
        <f t="shared" si="110"/>
        <v/>
      </c>
      <c r="Q190" s="269" t="str">
        <f t="shared" si="110"/>
        <v/>
      </c>
      <c r="R190" s="269" t="str">
        <f t="shared" si="110"/>
        <v/>
      </c>
      <c r="S190" s="269" t="str">
        <f t="shared" si="110"/>
        <v/>
      </c>
      <c r="T190" s="269" t="str">
        <f t="shared" si="110"/>
        <v/>
      </c>
      <c r="U190" s="269" t="str">
        <f t="shared" si="110"/>
        <v/>
      </c>
      <c r="V190" s="269" t="str">
        <f t="shared" si="110"/>
        <v/>
      </c>
      <c r="W190" s="269" t="str">
        <f t="shared" si="110"/>
        <v/>
      </c>
      <c r="X190" s="269" t="str">
        <f t="shared" si="110"/>
        <v/>
      </c>
      <c r="Y190" s="269" t="str">
        <f t="shared" si="110"/>
        <v/>
      </c>
      <c r="Z190" s="269" t="str">
        <f t="shared" si="110"/>
        <v/>
      </c>
      <c r="AA190" s="269" t="str">
        <f t="shared" si="110"/>
        <v/>
      </c>
      <c r="AB190" s="269" t="str">
        <f t="shared" si="110"/>
        <v/>
      </c>
      <c r="AC190" s="269" t="str">
        <f t="shared" si="110"/>
        <v/>
      </c>
      <c r="AD190" s="219"/>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row>
    <row r="191" spans="8:58" s="4" customFormat="1" ht="15.75" outlineLevel="1" x14ac:dyDescent="0.25">
      <c r="H191" s="1"/>
      <c r="I191" s="202"/>
      <c r="J191" s="210" t="s">
        <v>14</v>
      </c>
      <c r="K191" s="279">
        <f>SUM(K182:K190)</f>
        <v>0</v>
      </c>
      <c r="L191" s="280">
        <f>SUM(L182:L190)</f>
        <v>0</v>
      </c>
      <c r="N191" s="281">
        <f t="shared" ref="N191:AC191" si="111">SUM(N182:N190)</f>
        <v>0</v>
      </c>
      <c r="O191" s="282">
        <f t="shared" si="111"/>
        <v>0</v>
      </c>
      <c r="P191" s="282">
        <f t="shared" si="111"/>
        <v>0</v>
      </c>
      <c r="Q191" s="282">
        <f t="shared" si="111"/>
        <v>0</v>
      </c>
      <c r="R191" s="282">
        <f t="shared" si="111"/>
        <v>0</v>
      </c>
      <c r="S191" s="282">
        <f t="shared" si="111"/>
        <v>0</v>
      </c>
      <c r="T191" s="282">
        <f t="shared" si="111"/>
        <v>0</v>
      </c>
      <c r="U191" s="282">
        <f t="shared" si="111"/>
        <v>0</v>
      </c>
      <c r="V191" s="282">
        <f t="shared" si="111"/>
        <v>0</v>
      </c>
      <c r="W191" s="282">
        <f t="shared" si="111"/>
        <v>0</v>
      </c>
      <c r="X191" s="282">
        <f t="shared" si="111"/>
        <v>0</v>
      </c>
      <c r="Y191" s="282">
        <f t="shared" si="111"/>
        <v>0</v>
      </c>
      <c r="Z191" s="282">
        <f t="shared" si="111"/>
        <v>0</v>
      </c>
      <c r="AA191" s="282">
        <f t="shared" si="111"/>
        <v>0</v>
      </c>
      <c r="AB191" s="282">
        <f t="shared" si="111"/>
        <v>0</v>
      </c>
      <c r="AC191" s="283">
        <f t="shared" si="111"/>
        <v>0</v>
      </c>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row>
    <row r="192" spans="8:58" s="4" customFormat="1" ht="15.75" outlineLevel="1" x14ac:dyDescent="0.25">
      <c r="H192" s="1"/>
      <c r="I192" s="202"/>
      <c r="J192" s="97" t="s">
        <v>122</v>
      </c>
      <c r="K192" s="276"/>
      <c r="L192" s="269">
        <f>L134+L156</f>
        <v>0</v>
      </c>
      <c r="N192" s="269" t="str">
        <f t="shared" ref="N192:AC192" si="112">IFERROR(SUM(N134,N156)/N$118,"")</f>
        <v/>
      </c>
      <c r="O192" s="269" t="str">
        <f t="shared" si="112"/>
        <v/>
      </c>
      <c r="P192" s="269" t="str">
        <f t="shared" si="112"/>
        <v/>
      </c>
      <c r="Q192" s="269" t="str">
        <f t="shared" si="112"/>
        <v/>
      </c>
      <c r="R192" s="269" t="str">
        <f t="shared" si="112"/>
        <v/>
      </c>
      <c r="S192" s="269" t="str">
        <f t="shared" si="112"/>
        <v/>
      </c>
      <c r="T192" s="269" t="str">
        <f t="shared" si="112"/>
        <v/>
      </c>
      <c r="U192" s="269" t="str">
        <f t="shared" si="112"/>
        <v/>
      </c>
      <c r="V192" s="269" t="str">
        <f t="shared" si="112"/>
        <v/>
      </c>
      <c r="W192" s="269" t="str">
        <f t="shared" si="112"/>
        <v/>
      </c>
      <c r="X192" s="269" t="str">
        <f t="shared" si="112"/>
        <v/>
      </c>
      <c r="Y192" s="269" t="str">
        <f t="shared" si="112"/>
        <v/>
      </c>
      <c r="Z192" s="269" t="str">
        <f t="shared" si="112"/>
        <v/>
      </c>
      <c r="AA192" s="269" t="str">
        <f t="shared" si="112"/>
        <v/>
      </c>
      <c r="AB192" s="269" t="str">
        <f t="shared" si="112"/>
        <v/>
      </c>
      <c r="AC192" s="269" t="str">
        <f t="shared" si="112"/>
        <v/>
      </c>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row>
    <row r="193" spans="8:58" s="4" customFormat="1" ht="15.75" outlineLevel="1" x14ac:dyDescent="0.25">
      <c r="H193" s="1"/>
      <c r="I193" s="202"/>
      <c r="J193" s="97" t="s">
        <v>123</v>
      </c>
      <c r="K193" s="276"/>
      <c r="L193" s="269">
        <f>L136+L157</f>
        <v>0</v>
      </c>
      <c r="N193" s="269" t="str">
        <f t="shared" ref="N193:AC193" si="113">IFERROR(SUM(N136,N157)/N$118,"")</f>
        <v/>
      </c>
      <c r="O193" s="269" t="str">
        <f t="shared" si="113"/>
        <v/>
      </c>
      <c r="P193" s="269" t="str">
        <f t="shared" si="113"/>
        <v/>
      </c>
      <c r="Q193" s="269" t="str">
        <f t="shared" si="113"/>
        <v/>
      </c>
      <c r="R193" s="269" t="str">
        <f t="shared" si="113"/>
        <v/>
      </c>
      <c r="S193" s="269" t="str">
        <f t="shared" si="113"/>
        <v/>
      </c>
      <c r="T193" s="269" t="str">
        <f t="shared" si="113"/>
        <v/>
      </c>
      <c r="U193" s="269" t="str">
        <f t="shared" si="113"/>
        <v/>
      </c>
      <c r="V193" s="269" t="str">
        <f t="shared" si="113"/>
        <v/>
      </c>
      <c r="W193" s="269" t="str">
        <f t="shared" si="113"/>
        <v/>
      </c>
      <c r="X193" s="269" t="str">
        <f t="shared" si="113"/>
        <v/>
      </c>
      <c r="Y193" s="269" t="str">
        <f t="shared" si="113"/>
        <v/>
      </c>
      <c r="Z193" s="269" t="str">
        <f t="shared" si="113"/>
        <v/>
      </c>
      <c r="AA193" s="269" t="str">
        <f t="shared" si="113"/>
        <v/>
      </c>
      <c r="AB193" s="269" t="str">
        <f t="shared" si="113"/>
        <v/>
      </c>
      <c r="AC193" s="269" t="str">
        <f t="shared" si="113"/>
        <v/>
      </c>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row>
    <row r="194" spans="8:58" ht="15.75" outlineLevel="1" x14ac:dyDescent="0.25">
      <c r="I194" s="202"/>
      <c r="J194" s="31" t="s">
        <v>124</v>
      </c>
      <c r="K194" s="276"/>
      <c r="L194" s="269">
        <f>L137</f>
        <v>0</v>
      </c>
      <c r="N194" s="269" t="str">
        <f t="shared" ref="N194:AC194" si="114">IFERROR(N137/N$118,"")</f>
        <v/>
      </c>
      <c r="O194" s="272" t="str">
        <f t="shared" si="114"/>
        <v/>
      </c>
      <c r="P194" s="272" t="str">
        <f t="shared" si="114"/>
        <v/>
      </c>
      <c r="Q194" s="272" t="str">
        <f t="shared" si="114"/>
        <v/>
      </c>
      <c r="R194" s="272" t="str">
        <f t="shared" si="114"/>
        <v/>
      </c>
      <c r="S194" s="272" t="str">
        <f t="shared" si="114"/>
        <v/>
      </c>
      <c r="T194" s="272" t="str">
        <f t="shared" si="114"/>
        <v/>
      </c>
      <c r="U194" s="272" t="str">
        <f t="shared" si="114"/>
        <v/>
      </c>
      <c r="V194" s="272" t="str">
        <f t="shared" si="114"/>
        <v/>
      </c>
      <c r="W194" s="272" t="str">
        <f t="shared" si="114"/>
        <v/>
      </c>
      <c r="X194" s="272" t="str">
        <f t="shared" si="114"/>
        <v/>
      </c>
      <c r="Y194" s="272" t="str">
        <f t="shared" si="114"/>
        <v/>
      </c>
      <c r="Z194" s="272" t="str">
        <f t="shared" si="114"/>
        <v/>
      </c>
      <c r="AA194" s="272" t="str">
        <f t="shared" si="114"/>
        <v/>
      </c>
      <c r="AB194" s="272" t="str">
        <f t="shared" si="114"/>
        <v/>
      </c>
      <c r="AC194" s="273" t="str">
        <f t="shared" si="114"/>
        <v/>
      </c>
      <c r="AD194" s="1"/>
      <c r="AE194" s="1"/>
    </row>
    <row r="195" spans="8:58" ht="15.75" outlineLevel="1" x14ac:dyDescent="0.25">
      <c r="I195" s="202"/>
      <c r="J195" s="222" t="s">
        <v>157</v>
      </c>
      <c r="K195" s="284">
        <f>SUM(K191:K194)</f>
        <v>0</v>
      </c>
      <c r="L195" s="285">
        <f>SUM(L191:L194)</f>
        <v>0</v>
      </c>
      <c r="N195" s="285">
        <f t="shared" ref="N195:AC195" si="115">SUM(N191:N194)</f>
        <v>0</v>
      </c>
      <c r="O195" s="284">
        <f t="shared" si="115"/>
        <v>0</v>
      </c>
      <c r="P195" s="284">
        <f t="shared" si="115"/>
        <v>0</v>
      </c>
      <c r="Q195" s="284">
        <f t="shared" si="115"/>
        <v>0</v>
      </c>
      <c r="R195" s="284">
        <f t="shared" si="115"/>
        <v>0</v>
      </c>
      <c r="S195" s="284">
        <f t="shared" si="115"/>
        <v>0</v>
      </c>
      <c r="T195" s="284">
        <f t="shared" si="115"/>
        <v>0</v>
      </c>
      <c r="U195" s="284">
        <f t="shared" si="115"/>
        <v>0</v>
      </c>
      <c r="V195" s="284">
        <f t="shared" si="115"/>
        <v>0</v>
      </c>
      <c r="W195" s="284">
        <f t="shared" si="115"/>
        <v>0</v>
      </c>
      <c r="X195" s="284">
        <f t="shared" si="115"/>
        <v>0</v>
      </c>
      <c r="Y195" s="284">
        <f t="shared" si="115"/>
        <v>0</v>
      </c>
      <c r="Z195" s="284">
        <f t="shared" si="115"/>
        <v>0</v>
      </c>
      <c r="AA195" s="284">
        <f t="shared" si="115"/>
        <v>0</v>
      </c>
      <c r="AB195" s="284">
        <f t="shared" si="115"/>
        <v>0</v>
      </c>
      <c r="AC195" s="286">
        <f t="shared" si="115"/>
        <v>0</v>
      </c>
      <c r="AD195" s="1"/>
      <c r="AE195" s="1"/>
    </row>
    <row r="196" spans="8:58" s="4" customFormat="1" ht="15.75" outlineLevel="1" x14ac:dyDescent="0.25">
      <c r="H196" s="1"/>
      <c r="J196" s="31"/>
      <c r="K196" s="164"/>
      <c r="L196" s="164"/>
      <c r="M196" s="1"/>
      <c r="N196" s="31"/>
      <c r="O196" s="31"/>
      <c r="P196" s="31"/>
      <c r="Q196" s="31"/>
      <c r="R196" s="31"/>
      <c r="S196" s="31"/>
      <c r="T196" s="31"/>
      <c r="U196" s="31"/>
      <c r="V196" s="31"/>
      <c r="W196" s="31"/>
      <c r="X196" s="31"/>
      <c r="Y196" s="31"/>
      <c r="Z196" s="31"/>
      <c r="AA196" s="31"/>
      <c r="AB196" s="31"/>
      <c r="AC196" s="3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row>
    <row r="197" spans="8:58" ht="18" x14ac:dyDescent="0.2">
      <c r="I197" s="104" t="s">
        <v>158</v>
      </c>
      <c r="J197" s="105" t="s">
        <v>159</v>
      </c>
      <c r="K197" s="105"/>
      <c r="L197" s="105"/>
      <c r="M197" s="106"/>
      <c r="N197" s="107">
        <f>N$11</f>
        <v>2024</v>
      </c>
      <c r="O197" s="107">
        <f t="shared" ref="O197:AC197" si="116">O$11</f>
        <v>2025</v>
      </c>
      <c r="P197" s="107">
        <f t="shared" si="116"/>
        <v>2026</v>
      </c>
      <c r="Q197" s="107">
        <f t="shared" si="116"/>
        <v>2027</v>
      </c>
      <c r="R197" s="107">
        <f t="shared" si="116"/>
        <v>2028</v>
      </c>
      <c r="S197" s="107">
        <f t="shared" si="116"/>
        <v>2029</v>
      </c>
      <c r="T197" s="107">
        <f t="shared" si="116"/>
        <v>2030</v>
      </c>
      <c r="U197" s="107">
        <f t="shared" si="116"/>
        <v>2031</v>
      </c>
      <c r="V197" s="107">
        <f t="shared" si="116"/>
        <v>2032</v>
      </c>
      <c r="W197" s="107">
        <f t="shared" si="116"/>
        <v>2033</v>
      </c>
      <c r="X197" s="107">
        <f t="shared" si="116"/>
        <v>2034</v>
      </c>
      <c r="Y197" s="107">
        <f t="shared" si="116"/>
        <v>2035</v>
      </c>
      <c r="Z197" s="107">
        <f t="shared" si="116"/>
        <v>2036</v>
      </c>
      <c r="AA197" s="107">
        <f t="shared" si="116"/>
        <v>2037</v>
      </c>
      <c r="AB197" s="107">
        <f t="shared" si="116"/>
        <v>2038</v>
      </c>
      <c r="AC197" s="107">
        <f t="shared" si="116"/>
        <v>2039</v>
      </c>
      <c r="AD197" s="1"/>
      <c r="AE197" s="1"/>
    </row>
    <row r="198" spans="8:58" s="4" customFormat="1" ht="15.75" x14ac:dyDescent="0.25">
      <c r="H198" s="1"/>
      <c r="I198" s="99">
        <v>1</v>
      </c>
      <c r="J198" s="544" t="s">
        <v>160</v>
      </c>
      <c r="K198" s="31"/>
      <c r="L198" s="169"/>
      <c r="M198" s="1"/>
      <c r="N198" s="31"/>
      <c r="O198" s="31"/>
      <c r="P198" s="31"/>
      <c r="Q198" s="31"/>
      <c r="R198" s="31"/>
      <c r="S198" s="31"/>
      <c r="T198" s="31"/>
      <c r="U198" s="31"/>
      <c r="V198" s="31"/>
      <c r="W198" s="31"/>
      <c r="X198" s="31"/>
      <c r="Y198" s="31"/>
      <c r="Z198" s="31"/>
      <c r="AA198" s="31"/>
      <c r="AB198" s="31"/>
      <c r="AC198" s="3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row>
    <row r="199" spans="8:58" s="4" customFormat="1" ht="15.75" x14ac:dyDescent="0.25">
      <c r="H199" s="1"/>
      <c r="I199" s="99"/>
      <c r="J199" s="545" t="s">
        <v>161</v>
      </c>
      <c r="K199" s="31"/>
      <c r="L199" s="287"/>
      <c r="M199" s="1"/>
      <c r="N199" s="844">
        <f t="shared" ref="N199:AC199" si="117">N240</f>
        <v>0</v>
      </c>
      <c r="O199" s="844">
        <f t="shared" si="117"/>
        <v>0</v>
      </c>
      <c r="P199" s="844">
        <f t="shared" si="117"/>
        <v>0</v>
      </c>
      <c r="Q199" s="844">
        <f t="shared" si="117"/>
        <v>0</v>
      </c>
      <c r="R199" s="844">
        <f t="shared" si="117"/>
        <v>0</v>
      </c>
      <c r="S199" s="844">
        <f t="shared" si="117"/>
        <v>0</v>
      </c>
      <c r="T199" s="844">
        <f t="shared" si="117"/>
        <v>0</v>
      </c>
      <c r="U199" s="844">
        <f t="shared" si="117"/>
        <v>0</v>
      </c>
      <c r="V199" s="844">
        <f t="shared" si="117"/>
        <v>0</v>
      </c>
      <c r="W199" s="844">
        <f t="shared" si="117"/>
        <v>0</v>
      </c>
      <c r="X199" s="844">
        <f t="shared" si="117"/>
        <v>0</v>
      </c>
      <c r="Y199" s="844">
        <f t="shared" si="117"/>
        <v>0</v>
      </c>
      <c r="Z199" s="844">
        <f t="shared" si="117"/>
        <v>0</v>
      </c>
      <c r="AA199" s="844">
        <f t="shared" si="117"/>
        <v>0</v>
      </c>
      <c r="AB199" s="844">
        <f t="shared" si="117"/>
        <v>0</v>
      </c>
      <c r="AC199" s="844">
        <f t="shared" si="117"/>
        <v>0</v>
      </c>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row>
    <row r="200" spans="8:58" s="4" customFormat="1" ht="15.75" x14ac:dyDescent="0.25">
      <c r="H200" s="1"/>
      <c r="I200" s="99"/>
      <c r="J200" s="545" t="s">
        <v>30</v>
      </c>
      <c r="K200" s="31"/>
      <c r="L200" s="287"/>
      <c r="M200" s="1"/>
      <c r="N200" s="844">
        <f t="shared" ref="N200:AC200" si="118">N118*IF(N78&lt;N79,N78,N79)/N78</f>
        <v>0</v>
      </c>
      <c r="O200" s="844">
        <f t="shared" si="118"/>
        <v>0</v>
      </c>
      <c r="P200" s="844">
        <f t="shared" si="118"/>
        <v>0</v>
      </c>
      <c r="Q200" s="844">
        <f t="shared" si="118"/>
        <v>0</v>
      </c>
      <c r="R200" s="844">
        <f t="shared" si="118"/>
        <v>0</v>
      </c>
      <c r="S200" s="844">
        <f t="shared" si="118"/>
        <v>0</v>
      </c>
      <c r="T200" s="844">
        <f t="shared" si="118"/>
        <v>0</v>
      </c>
      <c r="U200" s="844">
        <f t="shared" si="118"/>
        <v>0</v>
      </c>
      <c r="V200" s="844">
        <f t="shared" si="118"/>
        <v>0</v>
      </c>
      <c r="W200" s="844">
        <f t="shared" si="118"/>
        <v>0</v>
      </c>
      <c r="X200" s="844">
        <f t="shared" si="118"/>
        <v>0</v>
      </c>
      <c r="Y200" s="844">
        <f t="shared" si="118"/>
        <v>0</v>
      </c>
      <c r="Z200" s="844">
        <f t="shared" si="118"/>
        <v>0</v>
      </c>
      <c r="AA200" s="844">
        <f t="shared" si="118"/>
        <v>0</v>
      </c>
      <c r="AB200" s="844">
        <f t="shared" si="118"/>
        <v>0</v>
      </c>
      <c r="AC200" s="844">
        <f t="shared" si="118"/>
        <v>0</v>
      </c>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row>
    <row r="201" spans="8:58" s="4" customFormat="1" ht="15.75" x14ac:dyDescent="0.25">
      <c r="H201" s="1"/>
      <c r="I201" s="99"/>
      <c r="J201" s="545" t="s">
        <v>295</v>
      </c>
      <c r="K201" s="31"/>
      <c r="L201" s="287"/>
      <c r="M201" s="1"/>
      <c r="N201" s="844">
        <f t="shared" ref="N201:AC201" si="119">-(SUM(N119:N123)+N148)*IF(N78&lt;N81,N78,N81)/N78</f>
        <v>0</v>
      </c>
      <c r="O201" s="844">
        <f t="shared" si="119"/>
        <v>0</v>
      </c>
      <c r="P201" s="844">
        <f t="shared" si="119"/>
        <v>0</v>
      </c>
      <c r="Q201" s="844">
        <f t="shared" si="119"/>
        <v>0</v>
      </c>
      <c r="R201" s="844">
        <f t="shared" si="119"/>
        <v>0</v>
      </c>
      <c r="S201" s="844">
        <f t="shared" si="119"/>
        <v>0</v>
      </c>
      <c r="T201" s="844">
        <f t="shared" si="119"/>
        <v>0</v>
      </c>
      <c r="U201" s="844">
        <f t="shared" si="119"/>
        <v>0</v>
      </c>
      <c r="V201" s="844">
        <f t="shared" si="119"/>
        <v>0</v>
      </c>
      <c r="W201" s="844">
        <f t="shared" si="119"/>
        <v>0</v>
      </c>
      <c r="X201" s="844">
        <f t="shared" si="119"/>
        <v>0</v>
      </c>
      <c r="Y201" s="844">
        <f t="shared" si="119"/>
        <v>0</v>
      </c>
      <c r="Z201" s="844">
        <f t="shared" si="119"/>
        <v>0</v>
      </c>
      <c r="AA201" s="844">
        <f t="shared" si="119"/>
        <v>0</v>
      </c>
      <c r="AB201" s="844">
        <f t="shared" si="119"/>
        <v>0</v>
      </c>
      <c r="AC201" s="844">
        <f t="shared" si="119"/>
        <v>0</v>
      </c>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row>
    <row r="202" spans="8:58" s="4" customFormat="1" ht="15.75" x14ac:dyDescent="0.25">
      <c r="H202" s="1"/>
      <c r="I202" s="99"/>
      <c r="J202" s="545" t="s">
        <v>296</v>
      </c>
      <c r="K202" s="31"/>
      <c r="L202" s="287"/>
      <c r="M202" s="1"/>
      <c r="N202" s="844">
        <f t="shared" ref="N202:AC202" si="120">-(SUM(N$119:N$123)+SUM(N$126:N$129)*$K$82+SUM(N$149:N$150)*$K$82)*IF(N$78&lt;N82,N$78,N82)/N$78</f>
        <v>0</v>
      </c>
      <c r="O202" s="844">
        <f t="shared" si="120"/>
        <v>0</v>
      </c>
      <c r="P202" s="844">
        <f t="shared" si="120"/>
        <v>0</v>
      </c>
      <c r="Q202" s="844">
        <f t="shared" si="120"/>
        <v>0</v>
      </c>
      <c r="R202" s="844">
        <f t="shared" si="120"/>
        <v>0</v>
      </c>
      <c r="S202" s="844">
        <f t="shared" si="120"/>
        <v>0</v>
      </c>
      <c r="T202" s="844">
        <f t="shared" si="120"/>
        <v>0</v>
      </c>
      <c r="U202" s="844">
        <f t="shared" si="120"/>
        <v>0</v>
      </c>
      <c r="V202" s="844">
        <f t="shared" si="120"/>
        <v>0</v>
      </c>
      <c r="W202" s="844">
        <f t="shared" si="120"/>
        <v>0</v>
      </c>
      <c r="X202" s="844">
        <f t="shared" si="120"/>
        <v>0</v>
      </c>
      <c r="Y202" s="844">
        <f t="shared" si="120"/>
        <v>0</v>
      </c>
      <c r="Z202" s="844">
        <f t="shared" si="120"/>
        <v>0</v>
      </c>
      <c r="AA202" s="844">
        <f t="shared" si="120"/>
        <v>0</v>
      </c>
      <c r="AB202" s="844">
        <f t="shared" si="120"/>
        <v>0</v>
      </c>
      <c r="AC202" s="844">
        <f t="shared" si="120"/>
        <v>0</v>
      </c>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row>
    <row r="203" spans="8:58" s="4" customFormat="1" ht="15.75" x14ac:dyDescent="0.25">
      <c r="H203" s="1"/>
      <c r="I203" s="99"/>
      <c r="J203" s="545" t="s">
        <v>458</v>
      </c>
      <c r="K203" s="31"/>
      <c r="L203" s="287"/>
      <c r="M203" s="1"/>
      <c r="N203" s="844">
        <f t="shared" ref="N203:AC203" si="121">-(SUM(N$119:N$123)+SUM(N$126:N$129)+SUM(N$149:N$150))*IF(N$78&lt;N83,N$78,N83)/N$78</f>
        <v>0</v>
      </c>
      <c r="O203" s="844">
        <f t="shared" si="121"/>
        <v>0</v>
      </c>
      <c r="P203" s="844">
        <f t="shared" si="121"/>
        <v>0</v>
      </c>
      <c r="Q203" s="844">
        <f t="shared" si="121"/>
        <v>0</v>
      </c>
      <c r="R203" s="844">
        <f t="shared" si="121"/>
        <v>0</v>
      </c>
      <c r="S203" s="844">
        <f t="shared" si="121"/>
        <v>0</v>
      </c>
      <c r="T203" s="844">
        <f t="shared" si="121"/>
        <v>0</v>
      </c>
      <c r="U203" s="844">
        <f t="shared" si="121"/>
        <v>0</v>
      </c>
      <c r="V203" s="844">
        <f t="shared" si="121"/>
        <v>0</v>
      </c>
      <c r="W203" s="844">
        <f t="shared" si="121"/>
        <v>0</v>
      </c>
      <c r="X203" s="844">
        <f t="shared" si="121"/>
        <v>0</v>
      </c>
      <c r="Y203" s="844">
        <f t="shared" si="121"/>
        <v>0</v>
      </c>
      <c r="Z203" s="844">
        <f t="shared" si="121"/>
        <v>0</v>
      </c>
      <c r="AA203" s="844">
        <f t="shared" si="121"/>
        <v>0</v>
      </c>
      <c r="AB203" s="844">
        <f t="shared" si="121"/>
        <v>0</v>
      </c>
      <c r="AC203" s="844">
        <f t="shared" si="121"/>
        <v>0</v>
      </c>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row>
    <row r="204" spans="8:58" s="4" customFormat="1" ht="15.75" x14ac:dyDescent="0.25">
      <c r="H204" s="1"/>
      <c r="I204" s="99"/>
      <c r="J204" s="545" t="s">
        <v>298</v>
      </c>
      <c r="K204" s="31"/>
      <c r="L204" s="287"/>
      <c r="M204" s="1"/>
      <c r="N204" s="844">
        <f t="shared" ref="N204:AC204" si="122">-(SUM(N$119:N$123)+SUM(N$126:N$129)+SUM(N$149:N$150))*IF(N$78&lt;N84,N$78,N84)/N$78</f>
        <v>0</v>
      </c>
      <c r="O204" s="844">
        <f t="shared" si="122"/>
        <v>0</v>
      </c>
      <c r="P204" s="844">
        <f t="shared" si="122"/>
        <v>0</v>
      </c>
      <c r="Q204" s="844">
        <f t="shared" si="122"/>
        <v>0</v>
      </c>
      <c r="R204" s="844">
        <f t="shared" si="122"/>
        <v>0</v>
      </c>
      <c r="S204" s="844">
        <f t="shared" si="122"/>
        <v>0</v>
      </c>
      <c r="T204" s="844">
        <f t="shared" si="122"/>
        <v>0</v>
      </c>
      <c r="U204" s="844">
        <f t="shared" si="122"/>
        <v>0</v>
      </c>
      <c r="V204" s="844">
        <f t="shared" si="122"/>
        <v>0</v>
      </c>
      <c r="W204" s="844">
        <f t="shared" si="122"/>
        <v>0</v>
      </c>
      <c r="X204" s="844">
        <f t="shared" si="122"/>
        <v>0</v>
      </c>
      <c r="Y204" s="844">
        <f t="shared" si="122"/>
        <v>0</v>
      </c>
      <c r="Z204" s="844">
        <f t="shared" si="122"/>
        <v>0</v>
      </c>
      <c r="AA204" s="844">
        <f t="shared" si="122"/>
        <v>0</v>
      </c>
      <c r="AB204" s="844">
        <f t="shared" si="122"/>
        <v>0</v>
      </c>
      <c r="AC204" s="844">
        <f t="shared" si="122"/>
        <v>0</v>
      </c>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row>
    <row r="205" spans="8:58" s="4" customFormat="1" ht="15.75" x14ac:dyDescent="0.25">
      <c r="H205" s="1"/>
      <c r="I205" s="99"/>
      <c r="J205" s="545" t="s">
        <v>162</v>
      </c>
      <c r="K205" s="31"/>
      <c r="L205" s="287"/>
      <c r="M205" s="1"/>
      <c r="N205" s="844">
        <f t="shared" ref="N205:AC205" si="123">N118*N85</f>
        <v>0</v>
      </c>
      <c r="O205" s="844">
        <f t="shared" si="123"/>
        <v>0</v>
      </c>
      <c r="P205" s="844">
        <f t="shared" si="123"/>
        <v>0</v>
      </c>
      <c r="Q205" s="844">
        <f t="shared" si="123"/>
        <v>0</v>
      </c>
      <c r="R205" s="844">
        <f t="shared" si="123"/>
        <v>0</v>
      </c>
      <c r="S205" s="844">
        <f t="shared" si="123"/>
        <v>0</v>
      </c>
      <c r="T205" s="844">
        <f t="shared" si="123"/>
        <v>0</v>
      </c>
      <c r="U205" s="844">
        <f t="shared" si="123"/>
        <v>0</v>
      </c>
      <c r="V205" s="844">
        <f t="shared" si="123"/>
        <v>0</v>
      </c>
      <c r="W205" s="844">
        <f t="shared" si="123"/>
        <v>0</v>
      </c>
      <c r="X205" s="844">
        <f t="shared" si="123"/>
        <v>0</v>
      </c>
      <c r="Y205" s="844">
        <f t="shared" si="123"/>
        <v>0</v>
      </c>
      <c r="Z205" s="844">
        <f t="shared" si="123"/>
        <v>0</v>
      </c>
      <c r="AA205" s="844">
        <f t="shared" si="123"/>
        <v>0</v>
      </c>
      <c r="AB205" s="844">
        <f t="shared" si="123"/>
        <v>0</v>
      </c>
      <c r="AC205" s="844">
        <f t="shared" si="123"/>
        <v>0</v>
      </c>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row>
    <row r="206" spans="8:58" s="4" customFormat="1" ht="15.75" x14ac:dyDescent="0.25">
      <c r="H206" s="1"/>
      <c r="I206" s="99"/>
      <c r="J206" s="545" t="s">
        <v>163</v>
      </c>
      <c r="K206" s="31"/>
      <c r="L206" s="287"/>
      <c r="M206" s="1"/>
      <c r="N206" s="844">
        <f t="shared" ref="N206:AC206" si="124">N86</f>
        <v>0</v>
      </c>
      <c r="O206" s="844">
        <f t="shared" si="124"/>
        <v>0</v>
      </c>
      <c r="P206" s="844">
        <f t="shared" si="124"/>
        <v>0</v>
      </c>
      <c r="Q206" s="844">
        <f t="shared" si="124"/>
        <v>0</v>
      </c>
      <c r="R206" s="844">
        <f t="shared" si="124"/>
        <v>0</v>
      </c>
      <c r="S206" s="844">
        <f t="shared" si="124"/>
        <v>0</v>
      </c>
      <c r="T206" s="844">
        <f t="shared" si="124"/>
        <v>0</v>
      </c>
      <c r="U206" s="844">
        <f t="shared" si="124"/>
        <v>0</v>
      </c>
      <c r="V206" s="844">
        <f t="shared" si="124"/>
        <v>0</v>
      </c>
      <c r="W206" s="844">
        <f t="shared" si="124"/>
        <v>0</v>
      </c>
      <c r="X206" s="844">
        <f t="shared" si="124"/>
        <v>0</v>
      </c>
      <c r="Y206" s="844">
        <f t="shared" si="124"/>
        <v>0</v>
      </c>
      <c r="Z206" s="844">
        <f t="shared" si="124"/>
        <v>0</v>
      </c>
      <c r="AA206" s="844">
        <f t="shared" si="124"/>
        <v>0</v>
      </c>
      <c r="AB206" s="844">
        <f t="shared" si="124"/>
        <v>0</v>
      </c>
      <c r="AC206" s="844">
        <f t="shared" si="124"/>
        <v>0</v>
      </c>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row>
    <row r="207" spans="8:58" s="4" customFormat="1" ht="15.75" x14ac:dyDescent="0.25">
      <c r="H207" s="1"/>
      <c r="I207" s="99"/>
      <c r="J207" s="545" t="s">
        <v>164</v>
      </c>
      <c r="K207" s="31"/>
      <c r="L207" s="287"/>
      <c r="M207" s="1"/>
      <c r="N207" s="844">
        <f>N299</f>
        <v>0</v>
      </c>
      <c r="O207" s="844">
        <f t="shared" ref="O207:AC207" si="125">O299</f>
        <v>0</v>
      </c>
      <c r="P207" s="844">
        <f t="shared" si="125"/>
        <v>0</v>
      </c>
      <c r="Q207" s="844">
        <f t="shared" si="125"/>
        <v>0</v>
      </c>
      <c r="R207" s="844">
        <f t="shared" si="125"/>
        <v>0</v>
      </c>
      <c r="S207" s="844">
        <f t="shared" si="125"/>
        <v>0</v>
      </c>
      <c r="T207" s="844">
        <f t="shared" si="125"/>
        <v>0</v>
      </c>
      <c r="U207" s="844">
        <f t="shared" si="125"/>
        <v>0</v>
      </c>
      <c r="V207" s="844">
        <f t="shared" si="125"/>
        <v>0</v>
      </c>
      <c r="W207" s="844">
        <f t="shared" si="125"/>
        <v>0</v>
      </c>
      <c r="X207" s="844">
        <f t="shared" si="125"/>
        <v>0</v>
      </c>
      <c r="Y207" s="844">
        <f t="shared" si="125"/>
        <v>0</v>
      </c>
      <c r="Z207" s="844">
        <f t="shared" si="125"/>
        <v>0</v>
      </c>
      <c r="AA207" s="844">
        <f t="shared" si="125"/>
        <v>0</v>
      </c>
      <c r="AB207" s="844">
        <f t="shared" si="125"/>
        <v>0</v>
      </c>
      <c r="AC207" s="844">
        <f t="shared" si="125"/>
        <v>0</v>
      </c>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row>
    <row r="208" spans="8:58" s="4" customFormat="1" ht="15.75" x14ac:dyDescent="0.25">
      <c r="H208" s="1"/>
      <c r="I208" s="99"/>
      <c r="J208" s="545" t="s">
        <v>165</v>
      </c>
      <c r="K208" s="31"/>
      <c r="L208" s="289"/>
      <c r="M208" s="1"/>
      <c r="N208" s="844">
        <f t="shared" ref="N208:AC208" si="126">N295</f>
        <v>0</v>
      </c>
      <c r="O208" s="844">
        <f t="shared" si="126"/>
        <v>0</v>
      </c>
      <c r="P208" s="844">
        <f t="shared" si="126"/>
        <v>0</v>
      </c>
      <c r="Q208" s="844">
        <f t="shared" si="126"/>
        <v>0</v>
      </c>
      <c r="R208" s="844">
        <f t="shared" si="126"/>
        <v>0</v>
      </c>
      <c r="S208" s="844">
        <f t="shared" si="126"/>
        <v>0</v>
      </c>
      <c r="T208" s="844">
        <f t="shared" si="126"/>
        <v>0</v>
      </c>
      <c r="U208" s="844">
        <f t="shared" si="126"/>
        <v>0</v>
      </c>
      <c r="V208" s="844">
        <f t="shared" si="126"/>
        <v>0</v>
      </c>
      <c r="W208" s="844">
        <f t="shared" si="126"/>
        <v>0</v>
      </c>
      <c r="X208" s="844">
        <f t="shared" si="126"/>
        <v>0</v>
      </c>
      <c r="Y208" s="844">
        <f t="shared" si="126"/>
        <v>0</v>
      </c>
      <c r="Z208" s="844">
        <f t="shared" si="126"/>
        <v>0</v>
      </c>
      <c r="AA208" s="844">
        <f t="shared" si="126"/>
        <v>0</v>
      </c>
      <c r="AB208" s="844">
        <f t="shared" si="126"/>
        <v>0</v>
      </c>
      <c r="AC208" s="844">
        <f t="shared" si="126"/>
        <v>0</v>
      </c>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row>
    <row r="209" spans="8:58" s="4" customFormat="1" thickBot="1" x14ac:dyDescent="0.3">
      <c r="H209" s="1"/>
      <c r="I209" s="99"/>
      <c r="J209" s="558" t="s">
        <v>166</v>
      </c>
      <c r="K209" s="263"/>
      <c r="L209" s="290"/>
      <c r="M209" s="1"/>
      <c r="N209" s="837">
        <f t="shared" ref="N209:AC209" si="127">SUM(N199:N208)</f>
        <v>0</v>
      </c>
      <c r="O209" s="837">
        <f t="shared" si="127"/>
        <v>0</v>
      </c>
      <c r="P209" s="837">
        <f t="shared" si="127"/>
        <v>0</v>
      </c>
      <c r="Q209" s="837">
        <f t="shared" si="127"/>
        <v>0</v>
      </c>
      <c r="R209" s="837">
        <f t="shared" si="127"/>
        <v>0</v>
      </c>
      <c r="S209" s="837">
        <f t="shared" si="127"/>
        <v>0</v>
      </c>
      <c r="T209" s="837">
        <f t="shared" si="127"/>
        <v>0</v>
      </c>
      <c r="U209" s="837">
        <f t="shared" si="127"/>
        <v>0</v>
      </c>
      <c r="V209" s="837">
        <f t="shared" si="127"/>
        <v>0</v>
      </c>
      <c r="W209" s="837">
        <f t="shared" si="127"/>
        <v>0</v>
      </c>
      <c r="X209" s="837">
        <f t="shared" si="127"/>
        <v>0</v>
      </c>
      <c r="Y209" s="837">
        <f t="shared" si="127"/>
        <v>0</v>
      </c>
      <c r="Z209" s="837">
        <f t="shared" si="127"/>
        <v>0</v>
      </c>
      <c r="AA209" s="837">
        <f t="shared" si="127"/>
        <v>0</v>
      </c>
      <c r="AB209" s="837">
        <f t="shared" si="127"/>
        <v>0</v>
      </c>
      <c r="AC209" s="837">
        <f t="shared" si="127"/>
        <v>0</v>
      </c>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row>
    <row r="210" spans="8:58" s="4" customFormat="1" thickTop="1" x14ac:dyDescent="0.25">
      <c r="H210" s="1"/>
      <c r="I210" s="99">
        <v>2</v>
      </c>
      <c r="J210" s="544" t="s">
        <v>167</v>
      </c>
      <c r="K210" s="31"/>
      <c r="L210" s="287"/>
      <c r="M210" s="1"/>
      <c r="N210" s="291"/>
      <c r="O210" s="291"/>
      <c r="P210" s="291"/>
      <c r="Q210" s="291"/>
      <c r="R210" s="291"/>
      <c r="S210" s="291"/>
      <c r="T210" s="291"/>
      <c r="U210" s="291"/>
      <c r="V210" s="291"/>
      <c r="W210" s="291"/>
      <c r="X210" s="291"/>
      <c r="Y210" s="291"/>
      <c r="Z210" s="291"/>
      <c r="AA210" s="291"/>
      <c r="AB210" s="291"/>
      <c r="AC210" s="29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row>
    <row r="211" spans="8:58" s="4" customFormat="1" ht="15.75" x14ac:dyDescent="0.25">
      <c r="H211" s="1"/>
      <c r="I211" s="99"/>
      <c r="J211" s="545" t="s">
        <v>168</v>
      </c>
      <c r="K211" s="31"/>
      <c r="L211" s="287"/>
      <c r="M211" s="1"/>
      <c r="N211" s="844">
        <f t="shared" ref="N211:AC211" si="128">-(SUM(N119:N123)+SUM(N127,N129))*IF(N78&lt;N88,N78,N88)/N78</f>
        <v>0</v>
      </c>
      <c r="O211" s="844">
        <f t="shared" si="128"/>
        <v>0</v>
      </c>
      <c r="P211" s="844">
        <f t="shared" si="128"/>
        <v>0</v>
      </c>
      <c r="Q211" s="844">
        <f t="shared" si="128"/>
        <v>0</v>
      </c>
      <c r="R211" s="844">
        <f t="shared" si="128"/>
        <v>0</v>
      </c>
      <c r="S211" s="844">
        <f t="shared" si="128"/>
        <v>0</v>
      </c>
      <c r="T211" s="844">
        <f t="shared" si="128"/>
        <v>0</v>
      </c>
      <c r="U211" s="844">
        <f t="shared" si="128"/>
        <v>0</v>
      </c>
      <c r="V211" s="844">
        <f t="shared" si="128"/>
        <v>0</v>
      </c>
      <c r="W211" s="844">
        <f t="shared" si="128"/>
        <v>0</v>
      </c>
      <c r="X211" s="844">
        <f t="shared" si="128"/>
        <v>0</v>
      </c>
      <c r="Y211" s="844">
        <f t="shared" si="128"/>
        <v>0</v>
      </c>
      <c r="Z211" s="844">
        <f t="shared" si="128"/>
        <v>0</v>
      </c>
      <c r="AA211" s="844">
        <f t="shared" si="128"/>
        <v>0</v>
      </c>
      <c r="AB211" s="844">
        <f t="shared" si="128"/>
        <v>0</v>
      </c>
      <c r="AC211" s="844">
        <f t="shared" si="128"/>
        <v>0</v>
      </c>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row>
    <row r="212" spans="8:58" s="4" customFormat="1" ht="15.75" x14ac:dyDescent="0.25">
      <c r="H212" s="1"/>
      <c r="I212" s="99"/>
      <c r="J212" s="545" t="s">
        <v>169</v>
      </c>
      <c r="K212" s="31"/>
      <c r="L212" s="287"/>
      <c r="M212" s="1"/>
      <c r="N212" s="844">
        <f t="shared" ref="N212:AC212" si="129">N89*N118</f>
        <v>0</v>
      </c>
      <c r="O212" s="844">
        <f t="shared" si="129"/>
        <v>0</v>
      </c>
      <c r="P212" s="844">
        <f t="shared" si="129"/>
        <v>0</v>
      </c>
      <c r="Q212" s="844">
        <f t="shared" si="129"/>
        <v>0</v>
      </c>
      <c r="R212" s="844">
        <f t="shared" si="129"/>
        <v>0</v>
      </c>
      <c r="S212" s="844">
        <f t="shared" si="129"/>
        <v>0</v>
      </c>
      <c r="T212" s="844">
        <f t="shared" si="129"/>
        <v>0</v>
      </c>
      <c r="U212" s="844">
        <f t="shared" si="129"/>
        <v>0</v>
      </c>
      <c r="V212" s="844">
        <f t="shared" si="129"/>
        <v>0</v>
      </c>
      <c r="W212" s="844">
        <f t="shared" si="129"/>
        <v>0</v>
      </c>
      <c r="X212" s="844">
        <f t="shared" si="129"/>
        <v>0</v>
      </c>
      <c r="Y212" s="844">
        <f t="shared" si="129"/>
        <v>0</v>
      </c>
      <c r="Z212" s="844">
        <f t="shared" si="129"/>
        <v>0</v>
      </c>
      <c r="AA212" s="844">
        <f t="shared" si="129"/>
        <v>0</v>
      </c>
      <c r="AB212" s="844">
        <f t="shared" si="129"/>
        <v>0</v>
      </c>
      <c r="AC212" s="844">
        <f t="shared" si="129"/>
        <v>0</v>
      </c>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row>
    <row r="213" spans="8:58" s="4" customFormat="1" ht="15.75" x14ac:dyDescent="0.25">
      <c r="H213" s="1"/>
      <c r="I213" s="99"/>
      <c r="J213" s="545" t="s">
        <v>170</v>
      </c>
      <c r="K213" s="31"/>
      <c r="L213" s="289"/>
      <c r="M213" s="1"/>
      <c r="N213" s="844">
        <f t="shared" ref="N213:AC213" si="130">N303</f>
        <v>0</v>
      </c>
      <c r="O213" s="844">
        <f t="shared" si="130"/>
        <v>0</v>
      </c>
      <c r="P213" s="844">
        <f t="shared" si="130"/>
        <v>0</v>
      </c>
      <c r="Q213" s="844">
        <f t="shared" si="130"/>
        <v>0</v>
      </c>
      <c r="R213" s="844">
        <f t="shared" si="130"/>
        <v>0</v>
      </c>
      <c r="S213" s="844">
        <f t="shared" si="130"/>
        <v>0</v>
      </c>
      <c r="T213" s="844">
        <f t="shared" si="130"/>
        <v>0</v>
      </c>
      <c r="U213" s="844">
        <f t="shared" si="130"/>
        <v>0</v>
      </c>
      <c r="V213" s="844">
        <f t="shared" si="130"/>
        <v>0</v>
      </c>
      <c r="W213" s="844">
        <f t="shared" si="130"/>
        <v>0</v>
      </c>
      <c r="X213" s="844">
        <f t="shared" si="130"/>
        <v>0</v>
      </c>
      <c r="Y213" s="844">
        <f t="shared" si="130"/>
        <v>0</v>
      </c>
      <c r="Z213" s="844">
        <f t="shared" si="130"/>
        <v>0</v>
      </c>
      <c r="AA213" s="844">
        <f t="shared" si="130"/>
        <v>0</v>
      </c>
      <c r="AB213" s="844">
        <f t="shared" si="130"/>
        <v>0</v>
      </c>
      <c r="AC213" s="844">
        <f t="shared" si="130"/>
        <v>0</v>
      </c>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row>
    <row r="214" spans="8:58" s="4" customFormat="1" ht="15.75" x14ac:dyDescent="0.25">
      <c r="H214" s="1"/>
      <c r="I214" s="99"/>
      <c r="J214" s="547" t="s">
        <v>171</v>
      </c>
      <c r="K214" s="210"/>
      <c r="L214" s="292"/>
      <c r="M214" s="1"/>
      <c r="N214" s="839">
        <f t="shared" ref="N214:AC214" si="131">SUM(N211:N213)</f>
        <v>0</v>
      </c>
      <c r="O214" s="839">
        <f t="shared" si="131"/>
        <v>0</v>
      </c>
      <c r="P214" s="839">
        <f t="shared" si="131"/>
        <v>0</v>
      </c>
      <c r="Q214" s="839">
        <f t="shared" si="131"/>
        <v>0</v>
      </c>
      <c r="R214" s="839">
        <f t="shared" si="131"/>
        <v>0</v>
      </c>
      <c r="S214" s="839">
        <f t="shared" si="131"/>
        <v>0</v>
      </c>
      <c r="T214" s="839">
        <f t="shared" si="131"/>
        <v>0</v>
      </c>
      <c r="U214" s="839">
        <f t="shared" si="131"/>
        <v>0</v>
      </c>
      <c r="V214" s="839">
        <f t="shared" si="131"/>
        <v>0</v>
      </c>
      <c r="W214" s="839">
        <f t="shared" si="131"/>
        <v>0</v>
      </c>
      <c r="X214" s="839">
        <f t="shared" si="131"/>
        <v>0</v>
      </c>
      <c r="Y214" s="839">
        <f t="shared" si="131"/>
        <v>0</v>
      </c>
      <c r="Z214" s="839">
        <f t="shared" si="131"/>
        <v>0</v>
      </c>
      <c r="AA214" s="839">
        <f t="shared" si="131"/>
        <v>0</v>
      </c>
      <c r="AB214" s="839">
        <f t="shared" si="131"/>
        <v>0</v>
      </c>
      <c r="AC214" s="839">
        <f t="shared" si="131"/>
        <v>0</v>
      </c>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row>
    <row r="215" spans="8:58" s="4" customFormat="1" ht="15.75" x14ac:dyDescent="0.25">
      <c r="H215" s="1"/>
      <c r="I215" s="99"/>
      <c r="J215" s="544" t="s">
        <v>172</v>
      </c>
      <c r="K215" s="31"/>
      <c r="L215" s="293"/>
      <c r="M215" s="1"/>
      <c r="N215" s="838"/>
      <c r="O215" s="838"/>
      <c r="P215" s="838"/>
      <c r="Q215" s="838"/>
      <c r="R215" s="838"/>
      <c r="S215" s="838"/>
      <c r="T215" s="838"/>
      <c r="U215" s="838"/>
      <c r="V215" s="838"/>
      <c r="W215" s="838"/>
      <c r="X215" s="838"/>
      <c r="Y215" s="838"/>
      <c r="Z215" s="838"/>
      <c r="AA215" s="838"/>
      <c r="AB215" s="838"/>
      <c r="AC215" s="838"/>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row>
    <row r="216" spans="8:58" s="4" customFormat="1" ht="15.75" x14ac:dyDescent="0.25">
      <c r="H216" s="1"/>
      <c r="I216" s="99"/>
      <c r="J216" s="545" t="s">
        <v>173</v>
      </c>
      <c r="K216" s="31"/>
      <c r="L216" s="289"/>
      <c r="M216" s="1"/>
      <c r="N216" s="861">
        <f>N102</f>
        <v>0</v>
      </c>
      <c r="O216" s="844">
        <f t="shared" ref="O216:AC216" si="132">N216+O102</f>
        <v>0</v>
      </c>
      <c r="P216" s="844">
        <f t="shared" si="132"/>
        <v>0</v>
      </c>
      <c r="Q216" s="844">
        <f t="shared" si="132"/>
        <v>0</v>
      </c>
      <c r="R216" s="844">
        <f t="shared" si="132"/>
        <v>0</v>
      </c>
      <c r="S216" s="844">
        <f t="shared" si="132"/>
        <v>0</v>
      </c>
      <c r="T216" s="844">
        <f t="shared" si="132"/>
        <v>0</v>
      </c>
      <c r="U216" s="844">
        <f t="shared" si="132"/>
        <v>0</v>
      </c>
      <c r="V216" s="844">
        <f t="shared" si="132"/>
        <v>0</v>
      </c>
      <c r="W216" s="844">
        <f t="shared" si="132"/>
        <v>0</v>
      </c>
      <c r="X216" s="844">
        <f t="shared" si="132"/>
        <v>0</v>
      </c>
      <c r="Y216" s="844">
        <f t="shared" si="132"/>
        <v>0</v>
      </c>
      <c r="Z216" s="844">
        <f t="shared" si="132"/>
        <v>0</v>
      </c>
      <c r="AA216" s="844">
        <f t="shared" si="132"/>
        <v>0</v>
      </c>
      <c r="AB216" s="844">
        <f t="shared" si="132"/>
        <v>0</v>
      </c>
      <c r="AC216" s="844">
        <f t="shared" si="132"/>
        <v>0</v>
      </c>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row>
    <row r="217" spans="8:58" s="4" customFormat="1" ht="15.75" x14ac:dyDescent="0.25">
      <c r="H217" s="1"/>
      <c r="I217" s="99"/>
      <c r="J217" s="545" t="s">
        <v>174</v>
      </c>
      <c r="K217" s="31"/>
      <c r="L217" s="289"/>
      <c r="M217" s="1"/>
      <c r="N217" s="861">
        <f>N171</f>
        <v>0</v>
      </c>
      <c r="O217" s="844">
        <f t="shared" ref="O217:AC217" si="133">N217+O171</f>
        <v>0</v>
      </c>
      <c r="P217" s="844">
        <f t="shared" si="133"/>
        <v>0</v>
      </c>
      <c r="Q217" s="844">
        <f t="shared" si="133"/>
        <v>0</v>
      </c>
      <c r="R217" s="844">
        <f t="shared" si="133"/>
        <v>0</v>
      </c>
      <c r="S217" s="844">
        <f t="shared" si="133"/>
        <v>0</v>
      </c>
      <c r="T217" s="844">
        <f t="shared" si="133"/>
        <v>0</v>
      </c>
      <c r="U217" s="844">
        <f t="shared" si="133"/>
        <v>0</v>
      </c>
      <c r="V217" s="844">
        <f t="shared" si="133"/>
        <v>0</v>
      </c>
      <c r="W217" s="844">
        <f t="shared" si="133"/>
        <v>0</v>
      </c>
      <c r="X217" s="844">
        <f t="shared" si="133"/>
        <v>0</v>
      </c>
      <c r="Y217" s="844">
        <f t="shared" si="133"/>
        <v>0</v>
      </c>
      <c r="Z217" s="844">
        <f t="shared" si="133"/>
        <v>0</v>
      </c>
      <c r="AA217" s="844">
        <f t="shared" si="133"/>
        <v>0</v>
      </c>
      <c r="AB217" s="844">
        <f t="shared" si="133"/>
        <v>0</v>
      </c>
      <c r="AC217" s="844">
        <f t="shared" si="133"/>
        <v>0</v>
      </c>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row>
    <row r="218" spans="8:58" s="4" customFormat="1" ht="15.75" x14ac:dyDescent="0.25">
      <c r="H218" s="1"/>
      <c r="I218" s="99"/>
      <c r="J218" s="548" t="s">
        <v>172</v>
      </c>
      <c r="K218" s="222"/>
      <c r="L218" s="294"/>
      <c r="M218" s="1"/>
      <c r="N218" s="840">
        <f t="shared" ref="N218:AC218" si="134">SUM(N216:N217)</f>
        <v>0</v>
      </c>
      <c r="O218" s="840">
        <f t="shared" si="134"/>
        <v>0</v>
      </c>
      <c r="P218" s="840">
        <f t="shared" si="134"/>
        <v>0</v>
      </c>
      <c r="Q218" s="840">
        <f t="shared" si="134"/>
        <v>0</v>
      </c>
      <c r="R218" s="840">
        <f t="shared" si="134"/>
        <v>0</v>
      </c>
      <c r="S218" s="840">
        <f t="shared" si="134"/>
        <v>0</v>
      </c>
      <c r="T218" s="840">
        <f t="shared" si="134"/>
        <v>0</v>
      </c>
      <c r="U218" s="840">
        <f t="shared" si="134"/>
        <v>0</v>
      </c>
      <c r="V218" s="840">
        <f t="shared" si="134"/>
        <v>0</v>
      </c>
      <c r="W218" s="840">
        <f t="shared" si="134"/>
        <v>0</v>
      </c>
      <c r="X218" s="840">
        <f t="shared" si="134"/>
        <v>0</v>
      </c>
      <c r="Y218" s="840">
        <f t="shared" si="134"/>
        <v>0</v>
      </c>
      <c r="Z218" s="840">
        <f t="shared" si="134"/>
        <v>0</v>
      </c>
      <c r="AA218" s="840">
        <f t="shared" si="134"/>
        <v>0</v>
      </c>
      <c r="AB218" s="840">
        <f t="shared" si="134"/>
        <v>0</v>
      </c>
      <c r="AC218" s="840">
        <f t="shared" si="134"/>
        <v>0</v>
      </c>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row>
    <row r="219" spans="8:58" s="4" customFormat="1" thickBot="1" x14ac:dyDescent="0.3">
      <c r="H219" s="1"/>
      <c r="I219" s="99"/>
      <c r="J219" s="558" t="s">
        <v>175</v>
      </c>
      <c r="K219" s="263"/>
      <c r="L219" s="290"/>
      <c r="M219" s="1"/>
      <c r="N219" s="837">
        <f>N214+N218</f>
        <v>0</v>
      </c>
      <c r="O219" s="837">
        <f t="shared" ref="O219:AC219" si="135">O214+O218</f>
        <v>0</v>
      </c>
      <c r="P219" s="837">
        <f t="shared" si="135"/>
        <v>0</v>
      </c>
      <c r="Q219" s="837">
        <f t="shared" si="135"/>
        <v>0</v>
      </c>
      <c r="R219" s="837">
        <f t="shared" si="135"/>
        <v>0</v>
      </c>
      <c r="S219" s="837">
        <f t="shared" si="135"/>
        <v>0</v>
      </c>
      <c r="T219" s="837">
        <f t="shared" si="135"/>
        <v>0</v>
      </c>
      <c r="U219" s="837">
        <f t="shared" si="135"/>
        <v>0</v>
      </c>
      <c r="V219" s="837">
        <f t="shared" si="135"/>
        <v>0</v>
      </c>
      <c r="W219" s="837">
        <f t="shared" si="135"/>
        <v>0</v>
      </c>
      <c r="X219" s="837">
        <f t="shared" si="135"/>
        <v>0</v>
      </c>
      <c r="Y219" s="837">
        <f t="shared" si="135"/>
        <v>0</v>
      </c>
      <c r="Z219" s="837">
        <f t="shared" si="135"/>
        <v>0</v>
      </c>
      <c r="AA219" s="837">
        <f t="shared" si="135"/>
        <v>0</v>
      </c>
      <c r="AB219" s="837">
        <f t="shared" si="135"/>
        <v>0</v>
      </c>
      <c r="AC219" s="837">
        <f t="shared" si="135"/>
        <v>0</v>
      </c>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row>
    <row r="220" spans="8:58" s="4" customFormat="1" thickTop="1" x14ac:dyDescent="0.25">
      <c r="H220" s="1"/>
      <c r="I220" s="99"/>
      <c r="J220" s="537" t="s">
        <v>176</v>
      </c>
      <c r="K220" s="296"/>
      <c r="L220" s="297"/>
      <c r="M220" s="1"/>
      <c r="N220" s="298" t="str">
        <f>IF(ABS(N219-N209)&lt;1,"OK","Wrong")</f>
        <v>OK</v>
      </c>
      <c r="O220" s="298" t="str">
        <f>IF(ABS(O219-O209)&lt;1,"OK","Wrong")</f>
        <v>OK</v>
      </c>
      <c r="P220" s="298" t="str">
        <f t="shared" ref="P220:AC220" si="136">IF(ABS(P219-P209)&lt;1,"OK","Wrong")</f>
        <v>OK</v>
      </c>
      <c r="Q220" s="298" t="str">
        <f t="shared" si="136"/>
        <v>OK</v>
      </c>
      <c r="R220" s="298" t="str">
        <f t="shared" si="136"/>
        <v>OK</v>
      </c>
      <c r="S220" s="298" t="str">
        <f t="shared" si="136"/>
        <v>OK</v>
      </c>
      <c r="T220" s="298" t="str">
        <f t="shared" si="136"/>
        <v>OK</v>
      </c>
      <c r="U220" s="298" t="str">
        <f t="shared" si="136"/>
        <v>OK</v>
      </c>
      <c r="V220" s="298" t="str">
        <f t="shared" si="136"/>
        <v>OK</v>
      </c>
      <c r="W220" s="298" t="str">
        <f t="shared" si="136"/>
        <v>OK</v>
      </c>
      <c r="X220" s="298" t="str">
        <f t="shared" si="136"/>
        <v>OK</v>
      </c>
      <c r="Y220" s="298" t="str">
        <f t="shared" si="136"/>
        <v>OK</v>
      </c>
      <c r="Z220" s="298" t="str">
        <f t="shared" si="136"/>
        <v>OK</v>
      </c>
      <c r="AA220" s="298" t="str">
        <f t="shared" si="136"/>
        <v>OK</v>
      </c>
      <c r="AB220" s="298" t="str">
        <f t="shared" si="136"/>
        <v>OK</v>
      </c>
      <c r="AC220" s="298" t="str">
        <f t="shared" si="136"/>
        <v>OK</v>
      </c>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row>
    <row r="221" spans="8:58" s="4" customFormat="1" ht="15.75" x14ac:dyDescent="0.25">
      <c r="H221" s="1"/>
      <c r="I221" s="99"/>
      <c r="J221" s="559" t="s">
        <v>177</v>
      </c>
      <c r="K221" s="296"/>
      <c r="L221" s="297"/>
      <c r="M221" s="1"/>
      <c r="N221" s="299" t="str">
        <f>IF(ABS(((N217)-N171))&lt;1,"OK","Wrong")</f>
        <v>OK</v>
      </c>
      <c r="O221" s="298" t="str">
        <f t="shared" ref="O221:AC221" si="137">IF(ABS(((O217-N217)-O171))&lt;1,"OK","Wrong")</f>
        <v>OK</v>
      </c>
      <c r="P221" s="298" t="str">
        <f t="shared" si="137"/>
        <v>OK</v>
      </c>
      <c r="Q221" s="298" t="str">
        <f t="shared" si="137"/>
        <v>OK</v>
      </c>
      <c r="R221" s="298" t="str">
        <f t="shared" si="137"/>
        <v>OK</v>
      </c>
      <c r="S221" s="298" t="str">
        <f t="shared" si="137"/>
        <v>OK</v>
      </c>
      <c r="T221" s="298" t="str">
        <f t="shared" si="137"/>
        <v>OK</v>
      </c>
      <c r="U221" s="298" t="str">
        <f t="shared" si="137"/>
        <v>OK</v>
      </c>
      <c r="V221" s="298" t="str">
        <f t="shared" si="137"/>
        <v>OK</v>
      </c>
      <c r="W221" s="298" t="str">
        <f t="shared" si="137"/>
        <v>OK</v>
      </c>
      <c r="X221" s="298" t="str">
        <f t="shared" si="137"/>
        <v>OK</v>
      </c>
      <c r="Y221" s="298" t="str">
        <f t="shared" si="137"/>
        <v>OK</v>
      </c>
      <c r="Z221" s="298" t="str">
        <f t="shared" si="137"/>
        <v>OK</v>
      </c>
      <c r="AA221" s="298" t="str">
        <f t="shared" si="137"/>
        <v>OK</v>
      </c>
      <c r="AB221" s="298" t="str">
        <f t="shared" si="137"/>
        <v>OK</v>
      </c>
      <c r="AC221" s="298" t="str">
        <f t="shared" si="137"/>
        <v>OK</v>
      </c>
      <c r="AD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row>
    <row r="222" spans="8:58" s="4" customFormat="1" thickBot="1" x14ac:dyDescent="0.3">
      <c r="H222" s="1"/>
      <c r="I222" s="99"/>
      <c r="J222" s="31"/>
      <c r="K222" s="31"/>
      <c r="L222" s="169"/>
      <c r="M222" s="1"/>
      <c r="N222" s="31">
        <f>N219-N209</f>
        <v>0</v>
      </c>
      <c r="O222" s="31">
        <f t="shared" ref="O222:P222" si="138">O219-O209</f>
        <v>0</v>
      </c>
      <c r="P222" s="31">
        <f t="shared" si="138"/>
        <v>0</v>
      </c>
      <c r="Q222" s="31">
        <f>Q219-Q209</f>
        <v>0</v>
      </c>
      <c r="R222" s="31"/>
      <c r="S222" s="31"/>
      <c r="T222" s="31"/>
      <c r="U222" s="31"/>
      <c r="V222" s="31"/>
      <c r="W222" s="31"/>
      <c r="X222" s="31"/>
      <c r="Y222" s="31"/>
      <c r="Z222" s="31"/>
      <c r="AA222" s="31"/>
      <c r="AB222" s="31"/>
      <c r="AC222" s="31"/>
      <c r="AD222" s="1"/>
      <c r="AE222" s="1"/>
      <c r="AU222" s="1"/>
      <c r="AV222" s="1"/>
      <c r="AW222" s="1"/>
      <c r="AX222" s="1"/>
      <c r="AY222" s="1"/>
      <c r="AZ222" s="1"/>
      <c r="BA222" s="1"/>
      <c r="BB222" s="1"/>
      <c r="BC222" s="1"/>
      <c r="BD222" s="1"/>
      <c r="BE222" s="1"/>
      <c r="BF222" s="1"/>
    </row>
    <row r="223" spans="8:58" s="4" customFormat="1" ht="18" x14ac:dyDescent="0.2">
      <c r="H223" s="1"/>
      <c r="I223" s="132">
        <v>5</v>
      </c>
      <c r="J223" s="33" t="s">
        <v>178</v>
      </c>
      <c r="K223" s="33"/>
      <c r="L223" s="34" t="s">
        <v>11</v>
      </c>
      <c r="M223" s="1"/>
      <c r="N223" s="133">
        <f>N$11</f>
        <v>2024</v>
      </c>
      <c r="O223" s="133">
        <f t="shared" ref="O223:AC223" si="139">O$11</f>
        <v>2025</v>
      </c>
      <c r="P223" s="133">
        <f t="shared" si="139"/>
        <v>2026</v>
      </c>
      <c r="Q223" s="133">
        <f t="shared" si="139"/>
        <v>2027</v>
      </c>
      <c r="R223" s="133">
        <f t="shared" si="139"/>
        <v>2028</v>
      </c>
      <c r="S223" s="133">
        <f t="shared" si="139"/>
        <v>2029</v>
      </c>
      <c r="T223" s="133">
        <f t="shared" si="139"/>
        <v>2030</v>
      </c>
      <c r="U223" s="133">
        <f t="shared" si="139"/>
        <v>2031</v>
      </c>
      <c r="V223" s="133">
        <f t="shared" si="139"/>
        <v>2032</v>
      </c>
      <c r="W223" s="133">
        <f t="shared" si="139"/>
        <v>2033</v>
      </c>
      <c r="X223" s="133">
        <f t="shared" si="139"/>
        <v>2034</v>
      </c>
      <c r="Y223" s="133">
        <f t="shared" si="139"/>
        <v>2035</v>
      </c>
      <c r="Z223" s="133">
        <f t="shared" si="139"/>
        <v>2036</v>
      </c>
      <c r="AA223" s="133">
        <f t="shared" si="139"/>
        <v>2037</v>
      </c>
      <c r="AB223" s="133">
        <f t="shared" si="139"/>
        <v>2038</v>
      </c>
      <c r="AC223" s="133">
        <f t="shared" si="139"/>
        <v>2039</v>
      </c>
      <c r="AD223" s="1"/>
      <c r="AE223" s="1"/>
      <c r="AV223" s="1"/>
      <c r="AW223" s="1"/>
      <c r="AX223" s="1"/>
      <c r="AY223" s="1"/>
      <c r="AZ223" s="1"/>
      <c r="BA223" s="1"/>
      <c r="BB223" s="1"/>
      <c r="BC223" s="1"/>
      <c r="BD223" s="1"/>
      <c r="BE223" s="1"/>
      <c r="BF223" s="1"/>
    </row>
    <row r="224" spans="8:58" s="4" customFormat="1" ht="15.75" x14ac:dyDescent="0.25">
      <c r="H224" s="1"/>
      <c r="I224" s="99">
        <v>1</v>
      </c>
      <c r="J224" s="67" t="s">
        <v>179</v>
      </c>
      <c r="K224" s="31"/>
      <c r="L224" s="300"/>
      <c r="M224" s="1"/>
      <c r="N224" s="31"/>
      <c r="O224" s="31"/>
      <c r="P224" s="31"/>
      <c r="Q224" s="31"/>
      <c r="R224" s="31"/>
      <c r="S224" s="31"/>
      <c r="T224" s="31"/>
      <c r="U224" s="31"/>
      <c r="V224" s="31"/>
      <c r="W224" s="31"/>
      <c r="X224" s="31"/>
      <c r="Y224" s="31"/>
      <c r="Z224" s="31"/>
      <c r="AA224" s="31"/>
      <c r="AB224" s="31"/>
      <c r="AC224" s="31"/>
      <c r="AD224" s="1"/>
      <c r="AV224" s="1"/>
      <c r="AW224" s="1"/>
      <c r="AX224" s="1"/>
      <c r="AY224" s="1"/>
      <c r="AZ224" s="1"/>
      <c r="BA224" s="1"/>
      <c r="BB224" s="1"/>
      <c r="BC224" s="1"/>
      <c r="BD224" s="1"/>
      <c r="BE224" s="1"/>
      <c r="BF224" s="1"/>
    </row>
    <row r="225" spans="8:58" s="4" customFormat="1" ht="15.75" x14ac:dyDescent="0.25">
      <c r="H225" s="1"/>
      <c r="I225" s="99"/>
      <c r="J225" s="31" t="s">
        <v>149</v>
      </c>
      <c r="K225" s="31"/>
      <c r="L225" s="841">
        <f>SUM(N225:AC225)</f>
        <v>0</v>
      </c>
      <c r="M225" s="750"/>
      <c r="N225" s="844">
        <f t="shared" ref="N225:AC225" si="140">N171</f>
        <v>0</v>
      </c>
      <c r="O225" s="844">
        <f t="shared" si="140"/>
        <v>0</v>
      </c>
      <c r="P225" s="844">
        <f t="shared" si="140"/>
        <v>0</v>
      </c>
      <c r="Q225" s="844">
        <f t="shared" si="140"/>
        <v>0</v>
      </c>
      <c r="R225" s="844">
        <f t="shared" si="140"/>
        <v>0</v>
      </c>
      <c r="S225" s="844">
        <f t="shared" si="140"/>
        <v>0</v>
      </c>
      <c r="T225" s="844">
        <f t="shared" si="140"/>
        <v>0</v>
      </c>
      <c r="U225" s="844">
        <f t="shared" si="140"/>
        <v>0</v>
      </c>
      <c r="V225" s="844">
        <f t="shared" si="140"/>
        <v>0</v>
      </c>
      <c r="W225" s="844">
        <f t="shared" si="140"/>
        <v>0</v>
      </c>
      <c r="X225" s="844">
        <f t="shared" si="140"/>
        <v>0</v>
      </c>
      <c r="Y225" s="844">
        <f t="shared" si="140"/>
        <v>0</v>
      </c>
      <c r="Z225" s="844">
        <f t="shared" si="140"/>
        <v>0</v>
      </c>
      <c r="AA225" s="844">
        <f t="shared" si="140"/>
        <v>0</v>
      </c>
      <c r="AB225" s="844">
        <f t="shared" si="140"/>
        <v>0</v>
      </c>
      <c r="AC225" s="844">
        <f t="shared" si="140"/>
        <v>0</v>
      </c>
      <c r="AD225" s="1"/>
      <c r="AV225" s="1"/>
      <c r="AW225" s="1"/>
      <c r="AX225" s="1"/>
      <c r="AY225" s="1"/>
      <c r="AZ225" s="1"/>
      <c r="BA225" s="1"/>
      <c r="BB225" s="1"/>
      <c r="BC225" s="1"/>
      <c r="BD225" s="1"/>
      <c r="BE225" s="1"/>
      <c r="BF225" s="1"/>
    </row>
    <row r="226" spans="8:58" s="4" customFormat="1" ht="15.75" x14ac:dyDescent="0.25">
      <c r="H226" s="1"/>
      <c r="I226" s="99"/>
      <c r="J226" s="31" t="s">
        <v>180</v>
      </c>
      <c r="K226" s="31"/>
      <c r="L226" s="841">
        <f>SUM(N226:AC226)</f>
        <v>0</v>
      </c>
      <c r="M226" s="750"/>
      <c r="N226" s="844">
        <f t="shared" ref="N226:AC226" si="141">-N164-N131-N151</f>
        <v>0</v>
      </c>
      <c r="O226" s="844">
        <f t="shared" si="141"/>
        <v>0</v>
      </c>
      <c r="P226" s="844">
        <f t="shared" si="141"/>
        <v>0</v>
      </c>
      <c r="Q226" s="844">
        <f t="shared" si="141"/>
        <v>0</v>
      </c>
      <c r="R226" s="844">
        <f t="shared" si="141"/>
        <v>0</v>
      </c>
      <c r="S226" s="844">
        <f t="shared" si="141"/>
        <v>0</v>
      </c>
      <c r="T226" s="844">
        <f t="shared" si="141"/>
        <v>0</v>
      </c>
      <c r="U226" s="844">
        <f t="shared" si="141"/>
        <v>0</v>
      </c>
      <c r="V226" s="844">
        <f t="shared" si="141"/>
        <v>0</v>
      </c>
      <c r="W226" s="844">
        <f t="shared" si="141"/>
        <v>0</v>
      </c>
      <c r="X226" s="844">
        <f t="shared" si="141"/>
        <v>0</v>
      </c>
      <c r="Y226" s="844">
        <f t="shared" si="141"/>
        <v>0</v>
      </c>
      <c r="Z226" s="844">
        <f t="shared" si="141"/>
        <v>0</v>
      </c>
      <c r="AA226" s="844">
        <f t="shared" si="141"/>
        <v>0</v>
      </c>
      <c r="AB226" s="844">
        <f t="shared" si="141"/>
        <v>0</v>
      </c>
      <c r="AC226" s="844">
        <f t="shared" si="141"/>
        <v>0</v>
      </c>
      <c r="AD226" s="1"/>
      <c r="AV226" s="1"/>
      <c r="AW226" s="1"/>
      <c r="AX226" s="1"/>
      <c r="AY226" s="1"/>
      <c r="AZ226" s="1"/>
      <c r="BA226" s="1"/>
      <c r="BB226" s="1"/>
      <c r="BC226" s="1"/>
      <c r="BD226" s="1"/>
      <c r="BE226" s="1"/>
      <c r="BF226" s="1"/>
    </row>
    <row r="227" spans="8:58" s="4" customFormat="1" ht="15.75" x14ac:dyDescent="0.25">
      <c r="H227" s="1"/>
      <c r="I227" s="99"/>
      <c r="J227" s="31" t="s">
        <v>181</v>
      </c>
      <c r="K227" s="31"/>
      <c r="L227" s="841">
        <f>SUM(N227:AC227)</f>
        <v>0</v>
      </c>
      <c r="M227" s="750"/>
      <c r="N227" s="844">
        <f>-N289</f>
        <v>0</v>
      </c>
      <c r="O227" s="844">
        <f t="shared" ref="O227:AC227" si="142">-O289</f>
        <v>0</v>
      </c>
      <c r="P227" s="844">
        <f t="shared" si="142"/>
        <v>0</v>
      </c>
      <c r="Q227" s="844">
        <f t="shared" si="142"/>
        <v>0</v>
      </c>
      <c r="R227" s="844">
        <f t="shared" si="142"/>
        <v>0</v>
      </c>
      <c r="S227" s="844">
        <f t="shared" si="142"/>
        <v>0</v>
      </c>
      <c r="T227" s="844">
        <f t="shared" si="142"/>
        <v>0</v>
      </c>
      <c r="U227" s="844">
        <f t="shared" si="142"/>
        <v>0</v>
      </c>
      <c r="V227" s="844">
        <f t="shared" si="142"/>
        <v>0</v>
      </c>
      <c r="W227" s="844">
        <f t="shared" si="142"/>
        <v>0</v>
      </c>
      <c r="X227" s="844">
        <f t="shared" si="142"/>
        <v>0</v>
      </c>
      <c r="Y227" s="844">
        <f t="shared" si="142"/>
        <v>0</v>
      </c>
      <c r="Z227" s="844">
        <f t="shared" si="142"/>
        <v>0</v>
      </c>
      <c r="AA227" s="844">
        <f t="shared" si="142"/>
        <v>0</v>
      </c>
      <c r="AB227" s="844">
        <f t="shared" si="142"/>
        <v>0</v>
      </c>
      <c r="AC227" s="844">
        <f t="shared" si="142"/>
        <v>0</v>
      </c>
      <c r="AD227" s="1"/>
      <c r="AV227" s="1"/>
      <c r="AW227" s="1"/>
      <c r="AX227" s="1"/>
      <c r="AY227" s="1"/>
      <c r="AZ227" s="1"/>
      <c r="BA227" s="1"/>
      <c r="BB227" s="1"/>
      <c r="BC227" s="1"/>
      <c r="BD227" s="1"/>
      <c r="BE227" s="1"/>
      <c r="BF227" s="1"/>
    </row>
    <row r="228" spans="8:58" s="4" customFormat="1" ht="15.75" x14ac:dyDescent="0.25">
      <c r="H228" s="1"/>
      <c r="I228" s="99"/>
      <c r="J228" s="210" t="s">
        <v>182</v>
      </c>
      <c r="K228" s="102"/>
      <c r="L228" s="842">
        <f t="shared" ref="L228:AC228" si="143">SUM(L225:L227)</f>
        <v>0</v>
      </c>
      <c r="M228" s="750"/>
      <c r="N228" s="839">
        <f t="shared" si="143"/>
        <v>0</v>
      </c>
      <c r="O228" s="839">
        <f t="shared" si="143"/>
        <v>0</v>
      </c>
      <c r="P228" s="839">
        <f t="shared" si="143"/>
        <v>0</v>
      </c>
      <c r="Q228" s="839">
        <f t="shared" si="143"/>
        <v>0</v>
      </c>
      <c r="R228" s="839">
        <f t="shared" si="143"/>
        <v>0</v>
      </c>
      <c r="S228" s="839">
        <f t="shared" si="143"/>
        <v>0</v>
      </c>
      <c r="T228" s="839">
        <f t="shared" si="143"/>
        <v>0</v>
      </c>
      <c r="U228" s="839">
        <f t="shared" si="143"/>
        <v>0</v>
      </c>
      <c r="V228" s="839">
        <f t="shared" si="143"/>
        <v>0</v>
      </c>
      <c r="W228" s="839">
        <f t="shared" si="143"/>
        <v>0</v>
      </c>
      <c r="X228" s="839">
        <f t="shared" si="143"/>
        <v>0</v>
      </c>
      <c r="Y228" s="839">
        <f t="shared" si="143"/>
        <v>0</v>
      </c>
      <c r="Z228" s="839">
        <f t="shared" si="143"/>
        <v>0</v>
      </c>
      <c r="AA228" s="839">
        <f t="shared" si="143"/>
        <v>0</v>
      </c>
      <c r="AB228" s="839">
        <f t="shared" si="143"/>
        <v>0</v>
      </c>
      <c r="AC228" s="839">
        <f t="shared" si="143"/>
        <v>0</v>
      </c>
      <c r="AD228" s="1"/>
      <c r="AV228" s="1"/>
      <c r="AW228" s="1"/>
      <c r="AX228" s="1"/>
      <c r="AY228" s="1"/>
      <c r="AZ228" s="1"/>
      <c r="BA228" s="1"/>
      <c r="BB228" s="1"/>
      <c r="BC228" s="1"/>
      <c r="BD228" s="1"/>
      <c r="BE228" s="1"/>
      <c r="BF228" s="1"/>
    </row>
    <row r="229" spans="8:58" s="4" customFormat="1" ht="15.75" x14ac:dyDescent="0.25">
      <c r="H229" s="1"/>
      <c r="I229" s="99">
        <v>2</v>
      </c>
      <c r="J229" s="67" t="s">
        <v>183</v>
      </c>
      <c r="K229" s="31"/>
      <c r="L229" s="843"/>
      <c r="M229" s="750"/>
      <c r="N229" s="838"/>
      <c r="O229" s="838"/>
      <c r="P229" s="838"/>
      <c r="Q229" s="838"/>
      <c r="R229" s="838"/>
      <c r="S229" s="838"/>
      <c r="T229" s="838"/>
      <c r="U229" s="838"/>
      <c r="V229" s="838"/>
      <c r="W229" s="838"/>
      <c r="X229" s="838"/>
      <c r="Y229" s="838"/>
      <c r="Z229" s="838"/>
      <c r="AA229" s="838"/>
      <c r="AB229" s="838"/>
      <c r="AC229" s="838"/>
      <c r="AD229" s="1"/>
      <c r="AF229" s="1"/>
      <c r="AG229" s="1"/>
      <c r="AH229" s="1"/>
      <c r="AI229" s="1"/>
      <c r="AJ229" s="1"/>
      <c r="AK229" s="1"/>
      <c r="AL229" s="1"/>
      <c r="AM229" s="1"/>
      <c r="AN229" s="1"/>
      <c r="AO229" s="1"/>
      <c r="AP229" s="1"/>
      <c r="AQ229" s="1"/>
      <c r="AR229" s="1"/>
      <c r="AS229" s="1"/>
      <c r="AT229" s="1"/>
      <c r="AV229" s="1"/>
      <c r="AW229" s="1"/>
      <c r="AX229" s="1"/>
      <c r="AY229" s="1"/>
      <c r="AZ229" s="1"/>
      <c r="BA229" s="1"/>
      <c r="BB229" s="1"/>
      <c r="BC229" s="1"/>
      <c r="BD229" s="1"/>
      <c r="BE229" s="1"/>
      <c r="BF229" s="1"/>
    </row>
    <row r="230" spans="8:58" ht="15.75" x14ac:dyDescent="0.25">
      <c r="I230" s="99"/>
      <c r="J230" s="31" t="s">
        <v>351</v>
      </c>
      <c r="K230" s="31"/>
      <c r="L230" s="841">
        <f>SUM(N230:AC230)</f>
        <v>0</v>
      </c>
      <c r="M230" s="750"/>
      <c r="N230" s="844">
        <f>N69-N73</f>
        <v>0</v>
      </c>
      <c r="O230" s="844">
        <f t="shared" ref="O230:AC230" si="144">O69-O73</f>
        <v>0</v>
      </c>
      <c r="P230" s="844">
        <f t="shared" si="144"/>
        <v>0</v>
      </c>
      <c r="Q230" s="844">
        <f t="shared" si="144"/>
        <v>0</v>
      </c>
      <c r="R230" s="844">
        <f t="shared" si="144"/>
        <v>0</v>
      </c>
      <c r="S230" s="844">
        <f t="shared" si="144"/>
        <v>0</v>
      </c>
      <c r="T230" s="844">
        <f t="shared" si="144"/>
        <v>0</v>
      </c>
      <c r="U230" s="844">
        <f t="shared" si="144"/>
        <v>0</v>
      </c>
      <c r="V230" s="844">
        <f t="shared" si="144"/>
        <v>0</v>
      </c>
      <c r="W230" s="844">
        <f t="shared" si="144"/>
        <v>0</v>
      </c>
      <c r="X230" s="844">
        <f t="shared" si="144"/>
        <v>0</v>
      </c>
      <c r="Y230" s="844">
        <f t="shared" si="144"/>
        <v>0</v>
      </c>
      <c r="Z230" s="844">
        <f t="shared" si="144"/>
        <v>0</v>
      </c>
      <c r="AA230" s="844">
        <f t="shared" si="144"/>
        <v>0</v>
      </c>
      <c r="AB230" s="844">
        <f t="shared" si="144"/>
        <v>0</v>
      </c>
      <c r="AC230" s="844">
        <f t="shared" si="144"/>
        <v>0</v>
      </c>
      <c r="AD230" s="1"/>
    </row>
    <row r="231" spans="8:58" ht="15.75" x14ac:dyDescent="0.25">
      <c r="I231" s="99"/>
      <c r="J231" s="31" t="s">
        <v>184</v>
      </c>
      <c r="K231" s="31"/>
      <c r="L231" s="841">
        <f>SUM(N231:AC231)</f>
        <v>0</v>
      </c>
      <c r="M231" s="750"/>
      <c r="N231" s="844">
        <f t="shared" ref="N231:AC231" si="145">N75</f>
        <v>0</v>
      </c>
      <c r="O231" s="844">
        <f t="shared" si="145"/>
        <v>0</v>
      </c>
      <c r="P231" s="844">
        <f t="shared" si="145"/>
        <v>0</v>
      </c>
      <c r="Q231" s="844">
        <f t="shared" si="145"/>
        <v>0</v>
      </c>
      <c r="R231" s="844">
        <f t="shared" si="145"/>
        <v>0</v>
      </c>
      <c r="S231" s="844">
        <f t="shared" si="145"/>
        <v>0</v>
      </c>
      <c r="T231" s="844">
        <f t="shared" si="145"/>
        <v>0</v>
      </c>
      <c r="U231" s="844">
        <f t="shared" si="145"/>
        <v>0</v>
      </c>
      <c r="V231" s="844">
        <f t="shared" si="145"/>
        <v>0</v>
      </c>
      <c r="W231" s="844">
        <f t="shared" si="145"/>
        <v>0</v>
      </c>
      <c r="X231" s="844">
        <f t="shared" si="145"/>
        <v>0</v>
      </c>
      <c r="Y231" s="844">
        <f t="shared" si="145"/>
        <v>0</v>
      </c>
      <c r="Z231" s="844">
        <f t="shared" si="145"/>
        <v>0</v>
      </c>
      <c r="AA231" s="844">
        <f t="shared" si="145"/>
        <v>0</v>
      </c>
      <c r="AB231" s="844">
        <f t="shared" si="145"/>
        <v>0</v>
      </c>
      <c r="AC231" s="844">
        <f t="shared" si="145"/>
        <v>0</v>
      </c>
      <c r="AD231" s="1"/>
    </row>
    <row r="232" spans="8:58" ht="15.75" x14ac:dyDescent="0.25">
      <c r="I232" s="99"/>
      <c r="J232" s="210" t="s">
        <v>185</v>
      </c>
      <c r="K232" s="102"/>
      <c r="L232" s="842">
        <f t="shared" ref="L232:AC232" si="146">SUM(L230:L231)</f>
        <v>0</v>
      </c>
      <c r="M232" s="750"/>
      <c r="N232" s="839">
        <f t="shared" si="146"/>
        <v>0</v>
      </c>
      <c r="O232" s="839">
        <f t="shared" si="146"/>
        <v>0</v>
      </c>
      <c r="P232" s="839">
        <f t="shared" si="146"/>
        <v>0</v>
      </c>
      <c r="Q232" s="839">
        <f t="shared" si="146"/>
        <v>0</v>
      </c>
      <c r="R232" s="839">
        <f t="shared" si="146"/>
        <v>0</v>
      </c>
      <c r="S232" s="839">
        <f t="shared" si="146"/>
        <v>0</v>
      </c>
      <c r="T232" s="839">
        <f t="shared" si="146"/>
        <v>0</v>
      </c>
      <c r="U232" s="839">
        <f t="shared" si="146"/>
        <v>0</v>
      </c>
      <c r="V232" s="839">
        <f t="shared" si="146"/>
        <v>0</v>
      </c>
      <c r="W232" s="839">
        <f t="shared" si="146"/>
        <v>0</v>
      </c>
      <c r="X232" s="839">
        <f t="shared" si="146"/>
        <v>0</v>
      </c>
      <c r="Y232" s="839">
        <f t="shared" si="146"/>
        <v>0</v>
      </c>
      <c r="Z232" s="839">
        <f t="shared" si="146"/>
        <v>0</v>
      </c>
      <c r="AA232" s="839">
        <f t="shared" si="146"/>
        <v>0</v>
      </c>
      <c r="AB232" s="839">
        <f t="shared" si="146"/>
        <v>0</v>
      </c>
      <c r="AC232" s="839">
        <f t="shared" si="146"/>
        <v>0</v>
      </c>
      <c r="AD232" s="1"/>
    </row>
    <row r="233" spans="8:58" ht="15.75" x14ac:dyDescent="0.25">
      <c r="I233" s="99">
        <v>3</v>
      </c>
      <c r="J233" s="67" t="s">
        <v>186</v>
      </c>
      <c r="K233" s="31"/>
      <c r="L233" s="843"/>
      <c r="M233" s="750"/>
      <c r="N233" s="838"/>
      <c r="O233" s="838"/>
      <c r="P233" s="838"/>
      <c r="Q233" s="838"/>
      <c r="R233" s="838"/>
      <c r="S233" s="838"/>
      <c r="T233" s="838"/>
      <c r="U233" s="838"/>
      <c r="V233" s="838"/>
      <c r="W233" s="838"/>
      <c r="X233" s="838"/>
      <c r="Y233" s="838"/>
      <c r="Z233" s="838"/>
      <c r="AA233" s="838"/>
      <c r="AB233" s="838"/>
      <c r="AC233" s="838"/>
      <c r="AD233" s="1"/>
    </row>
    <row r="234" spans="8:58" ht="15.75" x14ac:dyDescent="0.25">
      <c r="I234" s="99"/>
      <c r="J234" s="31" t="s">
        <v>187</v>
      </c>
      <c r="K234" s="31"/>
      <c r="L234" s="845"/>
      <c r="M234" s="750"/>
      <c r="N234" s="948"/>
      <c r="O234" s="948"/>
      <c r="P234" s="948"/>
      <c r="Q234" s="948"/>
      <c r="R234" s="948"/>
      <c r="S234" s="948"/>
      <c r="T234" s="948"/>
      <c r="U234" s="948"/>
      <c r="V234" s="948"/>
      <c r="W234" s="948"/>
      <c r="X234" s="948"/>
      <c r="Y234" s="948"/>
      <c r="Z234" s="948"/>
      <c r="AA234" s="948"/>
      <c r="AB234" s="948"/>
      <c r="AC234" s="948"/>
      <c r="AD234" s="1"/>
    </row>
    <row r="235" spans="8:58" ht="15.75" x14ac:dyDescent="0.25">
      <c r="I235" s="99"/>
      <c r="J235" s="31" t="s">
        <v>188</v>
      </c>
      <c r="K235" s="31"/>
      <c r="L235" s="841">
        <f>SUM(N235:AC235)</f>
        <v>0</v>
      </c>
      <c r="M235" s="750"/>
      <c r="N235" s="844">
        <f t="shared" ref="N235:AC235" si="147">IF(((N232-N228-N236)-N239)&gt;0,((N232-N228-N236)-N239),0)</f>
        <v>0</v>
      </c>
      <c r="O235" s="844">
        <f t="shared" si="147"/>
        <v>0</v>
      </c>
      <c r="P235" s="844">
        <f t="shared" si="147"/>
        <v>0</v>
      </c>
      <c r="Q235" s="844">
        <f t="shared" si="147"/>
        <v>0</v>
      </c>
      <c r="R235" s="844">
        <f t="shared" si="147"/>
        <v>0</v>
      </c>
      <c r="S235" s="844">
        <f t="shared" si="147"/>
        <v>0</v>
      </c>
      <c r="T235" s="844">
        <f t="shared" si="147"/>
        <v>0</v>
      </c>
      <c r="U235" s="844">
        <f t="shared" si="147"/>
        <v>0</v>
      </c>
      <c r="V235" s="844">
        <f t="shared" si="147"/>
        <v>0</v>
      </c>
      <c r="W235" s="844">
        <f t="shared" si="147"/>
        <v>0</v>
      </c>
      <c r="X235" s="844">
        <f t="shared" si="147"/>
        <v>0</v>
      </c>
      <c r="Y235" s="844">
        <f t="shared" si="147"/>
        <v>0</v>
      </c>
      <c r="Z235" s="844">
        <f t="shared" si="147"/>
        <v>0</v>
      </c>
      <c r="AA235" s="844">
        <f t="shared" si="147"/>
        <v>0</v>
      </c>
      <c r="AB235" s="844">
        <f t="shared" si="147"/>
        <v>0</v>
      </c>
      <c r="AC235" s="844">
        <f t="shared" si="147"/>
        <v>0</v>
      </c>
      <c r="AD235" s="1"/>
      <c r="AE235" s="1"/>
    </row>
    <row r="236" spans="8:58" ht="15.75" x14ac:dyDescent="0.25">
      <c r="I236" s="99"/>
      <c r="J236" s="31" t="s">
        <v>189</v>
      </c>
      <c r="K236" s="31"/>
      <c r="L236" s="841">
        <f>SUM(N236:AC236)</f>
        <v>0</v>
      </c>
      <c r="M236" s="750"/>
      <c r="N236" s="844">
        <f t="shared" ref="N236:AC236" si="148">N101</f>
        <v>0</v>
      </c>
      <c r="O236" s="844">
        <f t="shared" si="148"/>
        <v>0</v>
      </c>
      <c r="P236" s="844">
        <f t="shared" si="148"/>
        <v>0</v>
      </c>
      <c r="Q236" s="844">
        <f t="shared" si="148"/>
        <v>0</v>
      </c>
      <c r="R236" s="844">
        <f t="shared" si="148"/>
        <v>0</v>
      </c>
      <c r="S236" s="844">
        <f t="shared" si="148"/>
        <v>0</v>
      </c>
      <c r="T236" s="844">
        <f t="shared" si="148"/>
        <v>0</v>
      </c>
      <c r="U236" s="844">
        <f t="shared" si="148"/>
        <v>0</v>
      </c>
      <c r="V236" s="844">
        <f t="shared" si="148"/>
        <v>0</v>
      </c>
      <c r="W236" s="844">
        <f t="shared" si="148"/>
        <v>0</v>
      </c>
      <c r="X236" s="844">
        <f t="shared" si="148"/>
        <v>0</v>
      </c>
      <c r="Y236" s="844">
        <f t="shared" si="148"/>
        <v>0</v>
      </c>
      <c r="Z236" s="844">
        <f t="shared" si="148"/>
        <v>0</v>
      </c>
      <c r="AA236" s="844">
        <f t="shared" si="148"/>
        <v>0</v>
      </c>
      <c r="AB236" s="844">
        <f t="shared" si="148"/>
        <v>0</v>
      </c>
      <c r="AC236" s="844">
        <f t="shared" si="148"/>
        <v>0</v>
      </c>
      <c r="AD236" s="1"/>
      <c r="AE236" s="1"/>
    </row>
    <row r="237" spans="8:58" ht="15.75" x14ac:dyDescent="0.25">
      <c r="I237" s="99"/>
      <c r="J237" s="210" t="s">
        <v>190</v>
      </c>
      <c r="K237" s="102"/>
      <c r="L237" s="842">
        <f>SUM(L234:L236)</f>
        <v>0</v>
      </c>
      <c r="M237" s="750"/>
      <c r="N237" s="839">
        <f t="shared" ref="N237:AC237" si="149">SUM(N234:N236)</f>
        <v>0</v>
      </c>
      <c r="O237" s="839">
        <f t="shared" si="149"/>
        <v>0</v>
      </c>
      <c r="P237" s="839">
        <f t="shared" si="149"/>
        <v>0</v>
      </c>
      <c r="Q237" s="839">
        <f t="shared" si="149"/>
        <v>0</v>
      </c>
      <c r="R237" s="839">
        <f t="shared" si="149"/>
        <v>0</v>
      </c>
      <c r="S237" s="839">
        <f t="shared" si="149"/>
        <v>0</v>
      </c>
      <c r="T237" s="839">
        <f t="shared" si="149"/>
        <v>0</v>
      </c>
      <c r="U237" s="839">
        <f t="shared" si="149"/>
        <v>0</v>
      </c>
      <c r="V237" s="839">
        <f t="shared" si="149"/>
        <v>0</v>
      </c>
      <c r="W237" s="839">
        <f t="shared" si="149"/>
        <v>0</v>
      </c>
      <c r="X237" s="839">
        <f t="shared" si="149"/>
        <v>0</v>
      </c>
      <c r="Y237" s="839">
        <f t="shared" si="149"/>
        <v>0</v>
      </c>
      <c r="Z237" s="839">
        <f t="shared" si="149"/>
        <v>0</v>
      </c>
      <c r="AA237" s="839">
        <f t="shared" si="149"/>
        <v>0</v>
      </c>
      <c r="AB237" s="839">
        <f t="shared" si="149"/>
        <v>0</v>
      </c>
      <c r="AC237" s="839">
        <f t="shared" si="149"/>
        <v>0</v>
      </c>
      <c r="AD237" s="1"/>
      <c r="AE237" s="1"/>
    </row>
    <row r="238" spans="8:58" ht="15.75" x14ac:dyDescent="0.25">
      <c r="I238" s="99"/>
      <c r="J238" s="31" t="s">
        <v>191</v>
      </c>
      <c r="K238" s="31"/>
      <c r="L238" s="841">
        <f>L228-L232+L237</f>
        <v>0</v>
      </c>
      <c r="M238" s="750"/>
      <c r="N238" s="844">
        <f t="shared" ref="N238:AC238" si="150">N228-N232+N237</f>
        <v>0</v>
      </c>
      <c r="O238" s="844">
        <f t="shared" si="150"/>
        <v>0</v>
      </c>
      <c r="P238" s="844">
        <f t="shared" si="150"/>
        <v>0</v>
      </c>
      <c r="Q238" s="844">
        <f t="shared" si="150"/>
        <v>0</v>
      </c>
      <c r="R238" s="844">
        <f t="shared" si="150"/>
        <v>0</v>
      </c>
      <c r="S238" s="844">
        <f t="shared" si="150"/>
        <v>0</v>
      </c>
      <c r="T238" s="844">
        <f t="shared" si="150"/>
        <v>0</v>
      </c>
      <c r="U238" s="844">
        <f t="shared" si="150"/>
        <v>0</v>
      </c>
      <c r="V238" s="844">
        <f t="shared" si="150"/>
        <v>0</v>
      </c>
      <c r="W238" s="844">
        <f t="shared" si="150"/>
        <v>0</v>
      </c>
      <c r="X238" s="844">
        <f t="shared" si="150"/>
        <v>0</v>
      </c>
      <c r="Y238" s="844">
        <f t="shared" si="150"/>
        <v>0</v>
      </c>
      <c r="Z238" s="844">
        <f t="shared" si="150"/>
        <v>0</v>
      </c>
      <c r="AA238" s="844">
        <f t="shared" si="150"/>
        <v>0</v>
      </c>
      <c r="AB238" s="844">
        <f t="shared" si="150"/>
        <v>0</v>
      </c>
      <c r="AC238" s="844">
        <f t="shared" si="150"/>
        <v>0</v>
      </c>
      <c r="AD238" s="1"/>
      <c r="AE238" s="1"/>
    </row>
    <row r="239" spans="8:58" ht="15.75" x14ac:dyDescent="0.25">
      <c r="I239" s="99"/>
      <c r="J239" s="31" t="s">
        <v>192</v>
      </c>
      <c r="K239" s="31"/>
      <c r="L239" s="845">
        <v>0</v>
      </c>
      <c r="M239" s="750"/>
      <c r="N239" s="948">
        <v>0</v>
      </c>
      <c r="O239" s="844">
        <f t="shared" ref="O239:AC239" si="151">+N240</f>
        <v>0</v>
      </c>
      <c r="P239" s="844">
        <f t="shared" si="151"/>
        <v>0</v>
      </c>
      <c r="Q239" s="844">
        <f t="shared" si="151"/>
        <v>0</v>
      </c>
      <c r="R239" s="844">
        <f t="shared" si="151"/>
        <v>0</v>
      </c>
      <c r="S239" s="844">
        <f t="shared" si="151"/>
        <v>0</v>
      </c>
      <c r="T239" s="844">
        <f t="shared" si="151"/>
        <v>0</v>
      </c>
      <c r="U239" s="844">
        <f t="shared" si="151"/>
        <v>0</v>
      </c>
      <c r="V239" s="844">
        <f t="shared" si="151"/>
        <v>0</v>
      </c>
      <c r="W239" s="844">
        <f t="shared" si="151"/>
        <v>0</v>
      </c>
      <c r="X239" s="844">
        <f t="shared" si="151"/>
        <v>0</v>
      </c>
      <c r="Y239" s="844">
        <f t="shared" si="151"/>
        <v>0</v>
      </c>
      <c r="Z239" s="844">
        <f t="shared" si="151"/>
        <v>0</v>
      </c>
      <c r="AA239" s="844">
        <f t="shared" si="151"/>
        <v>0</v>
      </c>
      <c r="AB239" s="844">
        <f t="shared" si="151"/>
        <v>0</v>
      </c>
      <c r="AC239" s="844">
        <f t="shared" si="151"/>
        <v>0</v>
      </c>
      <c r="AD239" s="1"/>
      <c r="AE239" s="1"/>
    </row>
    <row r="240" spans="8:58" thickBot="1" x14ac:dyDescent="0.3">
      <c r="I240" s="99">
        <v>4</v>
      </c>
      <c r="J240" s="301" t="s">
        <v>193</v>
      </c>
      <c r="K240" s="302"/>
      <c r="L240" s="846">
        <f>SUM(L238:L239)</f>
        <v>0</v>
      </c>
      <c r="M240" s="750"/>
      <c r="N240" s="847">
        <f t="shared" ref="N240:AC240" si="152">SUM(N238:N239)</f>
        <v>0</v>
      </c>
      <c r="O240" s="847">
        <f t="shared" si="152"/>
        <v>0</v>
      </c>
      <c r="P240" s="847">
        <f t="shared" si="152"/>
        <v>0</v>
      </c>
      <c r="Q240" s="847">
        <f t="shared" si="152"/>
        <v>0</v>
      </c>
      <c r="R240" s="847">
        <f t="shared" si="152"/>
        <v>0</v>
      </c>
      <c r="S240" s="847">
        <f t="shared" si="152"/>
        <v>0</v>
      </c>
      <c r="T240" s="847">
        <f t="shared" si="152"/>
        <v>0</v>
      </c>
      <c r="U240" s="847">
        <f t="shared" si="152"/>
        <v>0</v>
      </c>
      <c r="V240" s="847">
        <f t="shared" si="152"/>
        <v>0</v>
      </c>
      <c r="W240" s="847">
        <f t="shared" si="152"/>
        <v>0</v>
      </c>
      <c r="X240" s="847">
        <f t="shared" si="152"/>
        <v>0</v>
      </c>
      <c r="Y240" s="847">
        <f t="shared" si="152"/>
        <v>0</v>
      </c>
      <c r="Z240" s="847">
        <f t="shared" si="152"/>
        <v>0</v>
      </c>
      <c r="AA240" s="847">
        <f t="shared" si="152"/>
        <v>0</v>
      </c>
      <c r="AB240" s="847">
        <f t="shared" si="152"/>
        <v>0</v>
      </c>
      <c r="AC240" s="847">
        <f t="shared" si="152"/>
        <v>0</v>
      </c>
      <c r="AD240" s="1"/>
      <c r="AE240" s="308"/>
      <c r="AF240" s="308"/>
      <c r="AG240" s="308"/>
      <c r="AH240" s="308"/>
      <c r="AI240" s="308"/>
      <c r="AJ240" s="308"/>
      <c r="AK240" s="308"/>
      <c r="AL240" s="308"/>
      <c r="AM240" s="308"/>
      <c r="AN240" s="308"/>
      <c r="AO240" s="308"/>
      <c r="AP240" s="308"/>
      <c r="AQ240" s="308"/>
      <c r="AR240" s="308"/>
      <c r="AS240" s="308"/>
      <c r="AT240" s="308"/>
    </row>
    <row r="241" spans="9:46" s="308" customFormat="1" ht="18" customHeight="1" thickTop="1" x14ac:dyDescent="0.2">
      <c r="I241" s="303"/>
      <c r="J241" s="304" t="s">
        <v>176</v>
      </c>
      <c r="K241" s="305"/>
      <c r="L241" s="306"/>
      <c r="M241" s="7"/>
      <c r="N241" s="307" t="str">
        <f>IF(AND(ABS(N240-N199)&lt;1,ABS(N240)&gt;=0),"OK","Wrong")</f>
        <v>OK</v>
      </c>
      <c r="O241" s="307" t="str">
        <f>IF(AND(ABS(O240-O199)&lt;1,ABS(O240)&gt;=0),"OK","Wrong")</f>
        <v>OK</v>
      </c>
      <c r="P241" s="307" t="str">
        <f t="shared" ref="P241:AC241" si="153">IF(AND(ABS(P240-P199)&lt;1,ABS(P240)&gt;=0),"OK","Wrong")</f>
        <v>OK</v>
      </c>
      <c r="Q241" s="307" t="str">
        <f t="shared" si="153"/>
        <v>OK</v>
      </c>
      <c r="R241" s="307" t="str">
        <f t="shared" si="153"/>
        <v>OK</v>
      </c>
      <c r="S241" s="307" t="str">
        <f t="shared" si="153"/>
        <v>OK</v>
      </c>
      <c r="T241" s="307" t="str">
        <f t="shared" si="153"/>
        <v>OK</v>
      </c>
      <c r="U241" s="307" t="str">
        <f t="shared" si="153"/>
        <v>OK</v>
      </c>
      <c r="V241" s="307" t="str">
        <f t="shared" si="153"/>
        <v>OK</v>
      </c>
      <c r="W241" s="307" t="str">
        <f t="shared" si="153"/>
        <v>OK</v>
      </c>
      <c r="X241" s="307" t="str">
        <f t="shared" si="153"/>
        <v>OK</v>
      </c>
      <c r="Y241" s="307" t="str">
        <f t="shared" si="153"/>
        <v>OK</v>
      </c>
      <c r="Z241" s="307" t="str">
        <f t="shared" si="153"/>
        <v>OK</v>
      </c>
      <c r="AA241" s="307" t="str">
        <f t="shared" si="153"/>
        <v>OK</v>
      </c>
      <c r="AB241" s="307" t="str">
        <f t="shared" si="153"/>
        <v>OK</v>
      </c>
      <c r="AC241" s="307" t="str">
        <f t="shared" si="153"/>
        <v>OK</v>
      </c>
    </row>
    <row r="242" spans="9:46" s="308" customFormat="1" ht="18" customHeight="1" x14ac:dyDescent="0.2">
      <c r="I242" s="303"/>
      <c r="J242" s="304"/>
      <c r="K242" s="305"/>
      <c r="L242" s="306"/>
      <c r="M242" s="7"/>
      <c r="N242" s="307"/>
      <c r="O242" s="307"/>
      <c r="P242" s="307"/>
      <c r="Q242" s="307"/>
      <c r="R242" s="307"/>
      <c r="S242" s="307"/>
      <c r="T242" s="307"/>
      <c r="U242" s="307"/>
      <c r="V242" s="307"/>
      <c r="W242" s="307"/>
      <c r="X242" s="307"/>
      <c r="Y242" s="307"/>
      <c r="Z242" s="307"/>
      <c r="AA242" s="307"/>
      <c r="AB242" s="307"/>
      <c r="AC242" s="307"/>
      <c r="AE242" s="1"/>
      <c r="AF242" s="1"/>
      <c r="AG242" s="1"/>
      <c r="AH242" s="1"/>
      <c r="AI242" s="1"/>
      <c r="AJ242" s="1"/>
      <c r="AK242" s="1"/>
      <c r="AL242" s="1"/>
      <c r="AM242" s="1"/>
      <c r="AN242" s="1"/>
      <c r="AO242" s="1"/>
      <c r="AP242" s="1"/>
      <c r="AQ242" s="1"/>
      <c r="AR242" s="1"/>
      <c r="AS242" s="1"/>
      <c r="AT242" s="1"/>
    </row>
    <row r="243" spans="9:46" ht="18" outlineLevel="1" x14ac:dyDescent="0.2">
      <c r="I243" s="104" t="s">
        <v>194</v>
      </c>
      <c r="J243" s="105" t="s">
        <v>195</v>
      </c>
      <c r="K243" s="105"/>
      <c r="L243" s="105"/>
      <c r="M243" s="106"/>
      <c r="N243" s="107">
        <f>N$11</f>
        <v>2024</v>
      </c>
      <c r="O243" s="107">
        <f t="shared" ref="O243:AC243" si="154">O$11</f>
        <v>2025</v>
      </c>
      <c r="P243" s="107">
        <f t="shared" si="154"/>
        <v>2026</v>
      </c>
      <c r="Q243" s="107">
        <f t="shared" si="154"/>
        <v>2027</v>
      </c>
      <c r="R243" s="107">
        <f t="shared" si="154"/>
        <v>2028</v>
      </c>
      <c r="S243" s="107">
        <f t="shared" si="154"/>
        <v>2029</v>
      </c>
      <c r="T243" s="107">
        <f t="shared" si="154"/>
        <v>2030</v>
      </c>
      <c r="U243" s="107">
        <f t="shared" si="154"/>
        <v>2031</v>
      </c>
      <c r="V243" s="107">
        <f t="shared" si="154"/>
        <v>2032</v>
      </c>
      <c r="W243" s="107">
        <f t="shared" si="154"/>
        <v>2033</v>
      </c>
      <c r="X243" s="107">
        <f t="shared" si="154"/>
        <v>2034</v>
      </c>
      <c r="Y243" s="107">
        <f t="shared" si="154"/>
        <v>2035</v>
      </c>
      <c r="Z243" s="107">
        <f t="shared" si="154"/>
        <v>2036</v>
      </c>
      <c r="AA243" s="107">
        <f t="shared" si="154"/>
        <v>2037</v>
      </c>
      <c r="AB243" s="107">
        <f t="shared" si="154"/>
        <v>2038</v>
      </c>
      <c r="AC243" s="107">
        <f t="shared" si="154"/>
        <v>2039</v>
      </c>
      <c r="AD243" s="1"/>
      <c r="AE243"/>
      <c r="AF243"/>
      <c r="AG243"/>
      <c r="AH243"/>
      <c r="AI243"/>
      <c r="AJ243"/>
      <c r="AK243"/>
      <c r="AL243"/>
      <c r="AM243"/>
      <c r="AN243"/>
      <c r="AO243"/>
      <c r="AP243"/>
      <c r="AQ243"/>
      <c r="AR243"/>
      <c r="AS243"/>
      <c r="AT243"/>
    </row>
    <row r="244" spans="9:46" customFormat="1" ht="15" outlineLevel="1" thickBot="1" x14ac:dyDescent="0.25">
      <c r="AE244" s="4"/>
      <c r="AF244" s="1"/>
      <c r="AG244" s="1"/>
      <c r="AH244" s="1"/>
      <c r="AI244" s="1"/>
      <c r="AJ244" s="1"/>
      <c r="AK244" s="1"/>
      <c r="AL244" s="1"/>
      <c r="AM244" s="1"/>
      <c r="AN244" s="1"/>
      <c r="AO244" s="1"/>
      <c r="AP244" s="1"/>
      <c r="AQ244" s="1"/>
      <c r="AR244" s="1"/>
      <c r="AS244" s="1"/>
      <c r="AT244" s="1"/>
    </row>
    <row r="245" spans="9:46" ht="18" outlineLevel="1" x14ac:dyDescent="0.4">
      <c r="I245" s="309"/>
      <c r="J245" s="310" t="s">
        <v>196</v>
      </c>
      <c r="K245" s="311"/>
      <c r="L245" s="312"/>
      <c r="M245" s="313"/>
      <c r="N245" s="314"/>
      <c r="O245" s="314"/>
      <c r="P245" s="314"/>
      <c r="Q245" s="314"/>
      <c r="R245" s="314"/>
      <c r="S245" s="314"/>
      <c r="T245" s="314"/>
      <c r="U245" s="314"/>
      <c r="V245" s="314"/>
      <c r="W245" s="314"/>
      <c r="X245" s="314"/>
      <c r="Y245" s="314"/>
      <c r="Z245" s="314"/>
      <c r="AA245" s="314"/>
      <c r="AB245" s="314"/>
      <c r="AC245" s="315"/>
      <c r="AD245" s="1"/>
    </row>
    <row r="246" spans="9:46" ht="18.75" customHeight="1" outlineLevel="1" x14ac:dyDescent="0.25">
      <c r="I246" s="316"/>
      <c r="J246" s="317" t="s">
        <v>197</v>
      </c>
      <c r="K246" s="318"/>
      <c r="L246" s="319"/>
      <c r="M246" s="320"/>
      <c r="N246" s="319"/>
      <c r="O246" s="319"/>
      <c r="P246" s="319"/>
      <c r="Q246" s="319"/>
      <c r="R246" s="319"/>
      <c r="S246" s="319"/>
      <c r="T246" s="319"/>
      <c r="U246" s="319"/>
      <c r="V246" s="319"/>
      <c r="W246" s="319"/>
      <c r="X246" s="319"/>
      <c r="Y246" s="319"/>
      <c r="Z246" s="319"/>
      <c r="AA246" s="319"/>
      <c r="AB246" s="319"/>
      <c r="AC246" s="321"/>
      <c r="AD246" s="1"/>
    </row>
    <row r="247" spans="9:46" ht="15.75" outlineLevel="1" x14ac:dyDescent="0.25">
      <c r="I247" s="316"/>
      <c r="J247" s="322" t="s">
        <v>198</v>
      </c>
      <c r="K247" s="318"/>
      <c r="L247" s="848">
        <f>SUM(N247:AC247)</f>
        <v>0</v>
      </c>
      <c r="M247" s="750"/>
      <c r="N247" s="848">
        <f t="shared" ref="N247:AC247" si="155">IFERROR(N118+N139,)</f>
        <v>0</v>
      </c>
      <c r="O247" s="848">
        <f t="shared" si="155"/>
        <v>0</v>
      </c>
      <c r="P247" s="848">
        <f t="shared" si="155"/>
        <v>0</v>
      </c>
      <c r="Q247" s="848">
        <f t="shared" si="155"/>
        <v>0</v>
      </c>
      <c r="R247" s="848">
        <f t="shared" si="155"/>
        <v>0</v>
      </c>
      <c r="S247" s="848">
        <f t="shared" si="155"/>
        <v>0</v>
      </c>
      <c r="T247" s="848">
        <f t="shared" si="155"/>
        <v>0</v>
      </c>
      <c r="U247" s="848">
        <f t="shared" si="155"/>
        <v>0</v>
      </c>
      <c r="V247" s="848">
        <f t="shared" si="155"/>
        <v>0</v>
      </c>
      <c r="W247" s="848">
        <f t="shared" si="155"/>
        <v>0</v>
      </c>
      <c r="X247" s="848">
        <f t="shared" si="155"/>
        <v>0</v>
      </c>
      <c r="Y247" s="848">
        <f t="shared" si="155"/>
        <v>0</v>
      </c>
      <c r="Z247" s="848">
        <f t="shared" si="155"/>
        <v>0</v>
      </c>
      <c r="AA247" s="848">
        <f t="shared" si="155"/>
        <v>0</v>
      </c>
      <c r="AB247" s="848">
        <f t="shared" si="155"/>
        <v>0</v>
      </c>
      <c r="AC247" s="949">
        <f t="shared" si="155"/>
        <v>0</v>
      </c>
      <c r="AD247" s="1"/>
    </row>
    <row r="248" spans="9:46" ht="15.75" outlineLevel="1" x14ac:dyDescent="0.25">
      <c r="I248" s="316"/>
      <c r="J248" s="322" t="s">
        <v>199</v>
      </c>
      <c r="K248" s="318"/>
      <c r="L248" s="848">
        <f>SUM(N248:AC248)</f>
        <v>0</v>
      </c>
      <c r="M248" s="750"/>
      <c r="N248" s="950">
        <f>-IFERROR(N279,)</f>
        <v>0</v>
      </c>
      <c r="O248" s="848">
        <f t="shared" ref="O248:AC248" si="156">-IFERROR(O279-N279,)</f>
        <v>0</v>
      </c>
      <c r="P248" s="848">
        <f t="shared" si="156"/>
        <v>0</v>
      </c>
      <c r="Q248" s="848">
        <f t="shared" si="156"/>
        <v>0</v>
      </c>
      <c r="R248" s="848">
        <f t="shared" si="156"/>
        <v>0</v>
      </c>
      <c r="S248" s="848">
        <f t="shared" si="156"/>
        <v>0</v>
      </c>
      <c r="T248" s="848">
        <f t="shared" si="156"/>
        <v>0</v>
      </c>
      <c r="U248" s="848">
        <f t="shared" si="156"/>
        <v>0</v>
      </c>
      <c r="V248" s="848">
        <f t="shared" si="156"/>
        <v>0</v>
      </c>
      <c r="W248" s="848">
        <f t="shared" si="156"/>
        <v>0</v>
      </c>
      <c r="X248" s="848">
        <f t="shared" si="156"/>
        <v>0</v>
      </c>
      <c r="Y248" s="848">
        <f t="shared" si="156"/>
        <v>0</v>
      </c>
      <c r="Z248" s="848">
        <f t="shared" si="156"/>
        <v>0</v>
      </c>
      <c r="AA248" s="848">
        <f t="shared" si="156"/>
        <v>0</v>
      </c>
      <c r="AB248" s="848">
        <f t="shared" si="156"/>
        <v>0</v>
      </c>
      <c r="AC248" s="949">
        <f t="shared" si="156"/>
        <v>0</v>
      </c>
      <c r="AD248" s="1"/>
    </row>
    <row r="249" spans="9:46" ht="15.75" outlineLevel="1" x14ac:dyDescent="0.25">
      <c r="I249" s="316"/>
      <c r="J249" s="324" t="s">
        <v>200</v>
      </c>
      <c r="K249" s="318"/>
      <c r="L249" s="839">
        <f>SUM(L247:L248)</f>
        <v>0</v>
      </c>
      <c r="M249" s="750"/>
      <c r="N249" s="839">
        <f>SUM(N247:N248)</f>
        <v>0</v>
      </c>
      <c r="O249" s="839">
        <f t="shared" ref="O249:AC249" si="157">SUM(O247:O248)</f>
        <v>0</v>
      </c>
      <c r="P249" s="839">
        <f t="shared" si="157"/>
        <v>0</v>
      </c>
      <c r="Q249" s="839">
        <f t="shared" si="157"/>
        <v>0</v>
      </c>
      <c r="R249" s="839">
        <f t="shared" si="157"/>
        <v>0</v>
      </c>
      <c r="S249" s="839">
        <f t="shared" si="157"/>
        <v>0</v>
      </c>
      <c r="T249" s="839">
        <f t="shared" si="157"/>
        <v>0</v>
      </c>
      <c r="U249" s="839">
        <f t="shared" si="157"/>
        <v>0</v>
      </c>
      <c r="V249" s="839">
        <f t="shared" si="157"/>
        <v>0</v>
      </c>
      <c r="W249" s="839">
        <f t="shared" si="157"/>
        <v>0</v>
      </c>
      <c r="X249" s="839">
        <f t="shared" si="157"/>
        <v>0</v>
      </c>
      <c r="Y249" s="839">
        <f t="shared" si="157"/>
        <v>0</v>
      </c>
      <c r="Z249" s="839">
        <f t="shared" si="157"/>
        <v>0</v>
      </c>
      <c r="AA249" s="839">
        <f t="shared" si="157"/>
        <v>0</v>
      </c>
      <c r="AB249" s="839">
        <f t="shared" si="157"/>
        <v>0</v>
      </c>
      <c r="AC249" s="849">
        <f t="shared" si="157"/>
        <v>0</v>
      </c>
      <c r="AD249" s="1"/>
    </row>
    <row r="250" spans="9:46" ht="15.75" outlineLevel="1" x14ac:dyDescent="0.25">
      <c r="I250" s="316"/>
      <c r="J250" s="317" t="s">
        <v>201</v>
      </c>
      <c r="K250" s="318"/>
      <c r="L250" s="850"/>
      <c r="M250" s="750"/>
      <c r="N250" s="850"/>
      <c r="O250" s="850"/>
      <c r="P250" s="850"/>
      <c r="Q250" s="850"/>
      <c r="R250" s="850"/>
      <c r="S250" s="850"/>
      <c r="T250" s="850"/>
      <c r="U250" s="850"/>
      <c r="V250" s="850"/>
      <c r="W250" s="850"/>
      <c r="X250" s="850"/>
      <c r="Y250" s="850"/>
      <c r="Z250" s="850"/>
      <c r="AA250" s="850"/>
      <c r="AB250" s="850"/>
      <c r="AC250" s="851"/>
      <c r="AD250" s="1"/>
    </row>
    <row r="251" spans="9:46" ht="15.75" outlineLevel="1" x14ac:dyDescent="0.25">
      <c r="I251" s="316"/>
      <c r="J251" s="322" t="s">
        <v>202</v>
      </c>
      <c r="K251" s="318"/>
      <c r="L251" s="848">
        <f>SUM(N251:AC251)</f>
        <v>0</v>
      </c>
      <c r="M251" s="750"/>
      <c r="N251" s="848">
        <f>IFERROR(SUM(N119:N123,N126:N130,N134:N137,N140,N141,N170,N167,N132,N148:N150,N152,N156:N158,N161,N168),)</f>
        <v>0</v>
      </c>
      <c r="O251" s="848">
        <f t="shared" ref="O251:AC251" si="158">IFERROR(SUM(O119:O123,O126:O130,O134:O137,O140,O141,O170,O167,O132,O148:O150,O152,O156:O158,O161,O168),)</f>
        <v>0</v>
      </c>
      <c r="P251" s="848">
        <f t="shared" si="158"/>
        <v>0</v>
      </c>
      <c r="Q251" s="848">
        <f t="shared" si="158"/>
        <v>0</v>
      </c>
      <c r="R251" s="848">
        <f t="shared" si="158"/>
        <v>0</v>
      </c>
      <c r="S251" s="848">
        <f t="shared" si="158"/>
        <v>0</v>
      </c>
      <c r="T251" s="848">
        <f t="shared" si="158"/>
        <v>0</v>
      </c>
      <c r="U251" s="848">
        <f t="shared" si="158"/>
        <v>0</v>
      </c>
      <c r="V251" s="848">
        <f t="shared" si="158"/>
        <v>0</v>
      </c>
      <c r="W251" s="848">
        <f t="shared" si="158"/>
        <v>0</v>
      </c>
      <c r="X251" s="848">
        <f t="shared" si="158"/>
        <v>0</v>
      </c>
      <c r="Y251" s="848">
        <f t="shared" si="158"/>
        <v>0</v>
      </c>
      <c r="Z251" s="848">
        <f t="shared" si="158"/>
        <v>0</v>
      </c>
      <c r="AA251" s="848">
        <f t="shared" si="158"/>
        <v>0</v>
      </c>
      <c r="AB251" s="848">
        <f t="shared" si="158"/>
        <v>0</v>
      </c>
      <c r="AC251" s="949">
        <f t="shared" si="158"/>
        <v>0</v>
      </c>
      <c r="AD251" s="1"/>
    </row>
    <row r="252" spans="9:46" ht="15.75" outlineLevel="1" x14ac:dyDescent="0.25">
      <c r="I252" s="316"/>
      <c r="J252" s="322" t="s">
        <v>203</v>
      </c>
      <c r="K252" s="318"/>
      <c r="L252" s="848">
        <f>SUM(N252:AC252)</f>
        <v>0</v>
      </c>
      <c r="M252" s="750"/>
      <c r="N252" s="950">
        <f>-(SUM(N280:N287))</f>
        <v>0</v>
      </c>
      <c r="O252" s="848">
        <f t="shared" ref="O252:AC252" si="159">-SUM(O280:O287)+SUM(N280:N287)</f>
        <v>0</v>
      </c>
      <c r="P252" s="848">
        <f t="shared" si="159"/>
        <v>0</v>
      </c>
      <c r="Q252" s="848">
        <f t="shared" si="159"/>
        <v>0</v>
      </c>
      <c r="R252" s="848">
        <f t="shared" si="159"/>
        <v>0</v>
      </c>
      <c r="S252" s="848">
        <f t="shared" si="159"/>
        <v>0</v>
      </c>
      <c r="T252" s="848">
        <f t="shared" si="159"/>
        <v>0</v>
      </c>
      <c r="U252" s="848">
        <f t="shared" si="159"/>
        <v>0</v>
      </c>
      <c r="V252" s="848">
        <f t="shared" si="159"/>
        <v>0</v>
      </c>
      <c r="W252" s="848">
        <f t="shared" si="159"/>
        <v>0</v>
      </c>
      <c r="X252" s="848">
        <f t="shared" si="159"/>
        <v>0</v>
      </c>
      <c r="Y252" s="848">
        <f t="shared" si="159"/>
        <v>0</v>
      </c>
      <c r="Z252" s="848">
        <f t="shared" si="159"/>
        <v>0</v>
      </c>
      <c r="AA252" s="848">
        <f t="shared" si="159"/>
        <v>0</v>
      </c>
      <c r="AB252" s="848">
        <f t="shared" si="159"/>
        <v>0</v>
      </c>
      <c r="AC252" s="949">
        <f t="shared" si="159"/>
        <v>0</v>
      </c>
      <c r="AD252" s="1"/>
    </row>
    <row r="253" spans="9:46" ht="15.75" outlineLevel="1" x14ac:dyDescent="0.25">
      <c r="I253" s="316"/>
      <c r="J253" s="324" t="s">
        <v>204</v>
      </c>
      <c r="K253" s="318"/>
      <c r="L253" s="839">
        <f t="shared" ref="L253:AC253" si="160">SUM(L251:L252)</f>
        <v>0</v>
      </c>
      <c r="M253" s="750"/>
      <c r="N253" s="839">
        <f t="shared" si="160"/>
        <v>0</v>
      </c>
      <c r="O253" s="839">
        <f t="shared" si="160"/>
        <v>0</v>
      </c>
      <c r="P253" s="839">
        <f t="shared" si="160"/>
        <v>0</v>
      </c>
      <c r="Q253" s="839">
        <f t="shared" si="160"/>
        <v>0</v>
      </c>
      <c r="R253" s="839">
        <f t="shared" si="160"/>
        <v>0</v>
      </c>
      <c r="S253" s="839">
        <f t="shared" si="160"/>
        <v>0</v>
      </c>
      <c r="T253" s="839">
        <f t="shared" si="160"/>
        <v>0</v>
      </c>
      <c r="U253" s="839">
        <f t="shared" si="160"/>
        <v>0</v>
      </c>
      <c r="V253" s="839">
        <f t="shared" si="160"/>
        <v>0</v>
      </c>
      <c r="W253" s="839">
        <f t="shared" si="160"/>
        <v>0</v>
      </c>
      <c r="X253" s="839">
        <f t="shared" si="160"/>
        <v>0</v>
      </c>
      <c r="Y253" s="839">
        <f t="shared" si="160"/>
        <v>0</v>
      </c>
      <c r="Z253" s="839">
        <f t="shared" si="160"/>
        <v>0</v>
      </c>
      <c r="AA253" s="839">
        <f t="shared" si="160"/>
        <v>0</v>
      </c>
      <c r="AB253" s="839">
        <f t="shared" si="160"/>
        <v>0</v>
      </c>
      <c r="AC253" s="849">
        <f t="shared" si="160"/>
        <v>0</v>
      </c>
      <c r="AD253" s="1"/>
    </row>
    <row r="254" spans="9:46" outlineLevel="1" thickBot="1" x14ac:dyDescent="0.3">
      <c r="I254" s="316"/>
      <c r="J254" s="317" t="s">
        <v>182</v>
      </c>
      <c r="K254" s="318"/>
      <c r="L254" s="837">
        <f>L249+L253</f>
        <v>0</v>
      </c>
      <c r="M254" s="750"/>
      <c r="N254" s="837">
        <f>N249+N253</f>
        <v>0</v>
      </c>
      <c r="O254" s="837">
        <f t="shared" ref="O254:AC254" si="161">O249+O253</f>
        <v>0</v>
      </c>
      <c r="P254" s="837">
        <f t="shared" si="161"/>
        <v>0</v>
      </c>
      <c r="Q254" s="837">
        <f t="shared" si="161"/>
        <v>0</v>
      </c>
      <c r="R254" s="837">
        <f t="shared" si="161"/>
        <v>0</v>
      </c>
      <c r="S254" s="837">
        <f t="shared" si="161"/>
        <v>0</v>
      </c>
      <c r="T254" s="837">
        <f t="shared" si="161"/>
        <v>0</v>
      </c>
      <c r="U254" s="837">
        <f t="shared" si="161"/>
        <v>0</v>
      </c>
      <c r="V254" s="837">
        <f t="shared" si="161"/>
        <v>0</v>
      </c>
      <c r="W254" s="837">
        <f t="shared" si="161"/>
        <v>0</v>
      </c>
      <c r="X254" s="837">
        <f t="shared" si="161"/>
        <v>0</v>
      </c>
      <c r="Y254" s="837">
        <f t="shared" si="161"/>
        <v>0</v>
      </c>
      <c r="Z254" s="837">
        <f t="shared" si="161"/>
        <v>0</v>
      </c>
      <c r="AA254" s="837">
        <f t="shared" si="161"/>
        <v>0</v>
      </c>
      <c r="AB254" s="837">
        <f t="shared" si="161"/>
        <v>0</v>
      </c>
      <c r="AC254" s="852">
        <f t="shared" si="161"/>
        <v>0</v>
      </c>
      <c r="AD254" s="1"/>
      <c r="AE254" s="308"/>
      <c r="AF254" s="308"/>
      <c r="AG254" s="308"/>
      <c r="AH254" s="308"/>
      <c r="AI254" s="308"/>
      <c r="AJ254" s="308"/>
      <c r="AK254" s="308"/>
      <c r="AL254" s="308"/>
      <c r="AM254" s="308"/>
      <c r="AN254" s="308"/>
      <c r="AO254" s="308"/>
      <c r="AP254" s="308"/>
      <c r="AQ254" s="308"/>
      <c r="AR254" s="308"/>
      <c r="AS254" s="308"/>
      <c r="AT254" s="308"/>
    </row>
    <row r="255" spans="9:46" s="308" customFormat="1" ht="18" customHeight="1" outlineLevel="1" thickTop="1" x14ac:dyDescent="0.25">
      <c r="I255" s="316"/>
      <c r="J255" s="326"/>
      <c r="K255" s="305"/>
      <c r="L255" s="327" t="s">
        <v>205</v>
      </c>
      <c r="M255" s="328"/>
      <c r="N255" s="329" t="str">
        <f>IF(N256&lt;1,"OK","Wrong")</f>
        <v>OK</v>
      </c>
      <c r="O255" s="329" t="str">
        <f t="shared" ref="O255:AC255" si="162">IF(O256&lt;1,"OK","Wrong")</f>
        <v>OK</v>
      </c>
      <c r="P255" s="329" t="str">
        <f t="shared" si="162"/>
        <v>OK</v>
      </c>
      <c r="Q255" s="329" t="str">
        <f t="shared" si="162"/>
        <v>OK</v>
      </c>
      <c r="R255" s="329" t="str">
        <f t="shared" si="162"/>
        <v>OK</v>
      </c>
      <c r="S255" s="329" t="str">
        <f t="shared" si="162"/>
        <v>OK</v>
      </c>
      <c r="T255" s="329" t="str">
        <f t="shared" si="162"/>
        <v>OK</v>
      </c>
      <c r="U255" s="329" t="str">
        <f t="shared" si="162"/>
        <v>OK</v>
      </c>
      <c r="V255" s="329" t="str">
        <f t="shared" si="162"/>
        <v>OK</v>
      </c>
      <c r="W255" s="329" t="str">
        <f t="shared" si="162"/>
        <v>OK</v>
      </c>
      <c r="X255" s="329" t="str">
        <f t="shared" si="162"/>
        <v>OK</v>
      </c>
      <c r="Y255" s="329" t="str">
        <f t="shared" si="162"/>
        <v>OK</v>
      </c>
      <c r="Z255" s="329" t="str">
        <f t="shared" si="162"/>
        <v>OK</v>
      </c>
      <c r="AA255" s="329" t="str">
        <f t="shared" si="162"/>
        <v>OK</v>
      </c>
      <c r="AB255" s="329" t="str">
        <f t="shared" si="162"/>
        <v>OK</v>
      </c>
      <c r="AC255" s="330" t="str">
        <f t="shared" si="162"/>
        <v>OK</v>
      </c>
      <c r="AE255" s="339"/>
      <c r="AF255" s="338"/>
      <c r="AG255" s="338"/>
      <c r="AH255" s="338"/>
      <c r="AI255" s="338"/>
      <c r="AJ255" s="338"/>
      <c r="AK255" s="338"/>
      <c r="AL255" s="338"/>
      <c r="AM255" s="338"/>
      <c r="AN255" s="338"/>
      <c r="AO255" s="338"/>
      <c r="AP255" s="338"/>
      <c r="AQ255" s="338"/>
      <c r="AR255" s="338"/>
      <c r="AS255" s="338"/>
      <c r="AT255" s="338"/>
    </row>
    <row r="256" spans="9:46" s="338" customFormat="1" ht="13.5" outlineLevel="1" thickBot="1" x14ac:dyDescent="0.25">
      <c r="I256" s="331"/>
      <c r="J256" s="332"/>
      <c r="K256" s="333"/>
      <c r="L256" s="334" t="s">
        <v>206</v>
      </c>
      <c r="M256" s="335"/>
      <c r="N256" s="336">
        <f>IF(ABS(N254-N228)&lt;0.5,0,N254-N228)</f>
        <v>0</v>
      </c>
      <c r="O256" s="336">
        <f t="shared" ref="O256:AC256" si="163">IF(ABS(O254-O228)&lt;0.5,0,O254-O228)</f>
        <v>0</v>
      </c>
      <c r="P256" s="336">
        <f t="shared" si="163"/>
        <v>0</v>
      </c>
      <c r="Q256" s="336">
        <f t="shared" si="163"/>
        <v>0</v>
      </c>
      <c r="R256" s="336">
        <f t="shared" si="163"/>
        <v>0</v>
      </c>
      <c r="S256" s="336">
        <f t="shared" si="163"/>
        <v>0</v>
      </c>
      <c r="T256" s="336">
        <f t="shared" si="163"/>
        <v>0</v>
      </c>
      <c r="U256" s="336">
        <f t="shared" si="163"/>
        <v>0</v>
      </c>
      <c r="V256" s="336">
        <f t="shared" si="163"/>
        <v>0</v>
      </c>
      <c r="W256" s="336">
        <f t="shared" si="163"/>
        <v>0</v>
      </c>
      <c r="X256" s="336">
        <f t="shared" si="163"/>
        <v>0</v>
      </c>
      <c r="Y256" s="336">
        <f t="shared" si="163"/>
        <v>0</v>
      </c>
      <c r="Z256" s="336">
        <f t="shared" si="163"/>
        <v>0</v>
      </c>
      <c r="AA256" s="336">
        <f t="shared" si="163"/>
        <v>0</v>
      </c>
      <c r="AB256" s="336">
        <f t="shared" si="163"/>
        <v>0</v>
      </c>
      <c r="AC256" s="337">
        <f t="shared" si="163"/>
        <v>0</v>
      </c>
      <c r="AE256" s="345"/>
      <c r="AF256" s="344"/>
      <c r="AG256" s="344"/>
      <c r="AH256" s="344"/>
      <c r="AI256" s="344"/>
      <c r="AJ256" s="344"/>
      <c r="AK256" s="344"/>
      <c r="AL256" s="344"/>
      <c r="AM256" s="344"/>
      <c r="AN256" s="344"/>
      <c r="AO256" s="344"/>
      <c r="AP256" s="344"/>
      <c r="AQ256" s="344"/>
      <c r="AR256" s="344"/>
      <c r="AS256" s="344"/>
      <c r="AT256" s="344"/>
    </row>
    <row r="257" spans="9:31" s="344" customFormat="1" outlineLevel="1" thickBot="1" x14ac:dyDescent="0.3">
      <c r="I257" s="340"/>
      <c r="J257" s="341"/>
      <c r="K257" s="342"/>
      <c r="L257" s="343"/>
      <c r="M257" s="7"/>
      <c r="N257" s="325"/>
      <c r="O257" s="325"/>
      <c r="P257" s="325"/>
      <c r="Q257" s="325"/>
      <c r="R257" s="325"/>
      <c r="S257" s="325"/>
      <c r="T257" s="325"/>
      <c r="U257" s="325"/>
      <c r="V257" s="325"/>
      <c r="W257" s="325"/>
      <c r="X257" s="325"/>
      <c r="Y257" s="325"/>
      <c r="Z257" s="325"/>
      <c r="AA257" s="325"/>
      <c r="AB257" s="325"/>
      <c r="AC257" s="325"/>
      <c r="AE257" s="345"/>
    </row>
    <row r="258" spans="9:31" s="344" customFormat="1" ht="18" outlineLevel="1" x14ac:dyDescent="0.4">
      <c r="I258" s="346"/>
      <c r="J258" s="310" t="s">
        <v>207</v>
      </c>
      <c r="K258" s="347"/>
      <c r="L258" s="348"/>
      <c r="M258" s="349"/>
      <c r="N258" s="107">
        <f>N$11</f>
        <v>2024</v>
      </c>
      <c r="O258" s="107">
        <f t="shared" ref="O258:AC258" si="164">O$11</f>
        <v>2025</v>
      </c>
      <c r="P258" s="107">
        <f t="shared" si="164"/>
        <v>2026</v>
      </c>
      <c r="Q258" s="107">
        <f t="shared" si="164"/>
        <v>2027</v>
      </c>
      <c r="R258" s="107">
        <f t="shared" si="164"/>
        <v>2028</v>
      </c>
      <c r="S258" s="107">
        <f t="shared" si="164"/>
        <v>2029</v>
      </c>
      <c r="T258" s="107">
        <f t="shared" si="164"/>
        <v>2030</v>
      </c>
      <c r="U258" s="107">
        <f t="shared" si="164"/>
        <v>2031</v>
      </c>
      <c r="V258" s="107">
        <f t="shared" si="164"/>
        <v>2032</v>
      </c>
      <c r="W258" s="107">
        <f t="shared" si="164"/>
        <v>2033</v>
      </c>
      <c r="X258" s="107">
        <f t="shared" si="164"/>
        <v>2034</v>
      </c>
      <c r="Y258" s="107">
        <f t="shared" si="164"/>
        <v>2035</v>
      </c>
      <c r="Z258" s="107">
        <f t="shared" si="164"/>
        <v>2036</v>
      </c>
      <c r="AA258" s="107">
        <f t="shared" si="164"/>
        <v>2037</v>
      </c>
      <c r="AB258" s="107">
        <f t="shared" si="164"/>
        <v>2038</v>
      </c>
      <c r="AC258" s="107">
        <f t="shared" si="164"/>
        <v>2039</v>
      </c>
      <c r="AE258" s="345"/>
    </row>
    <row r="259" spans="9:31" s="344" customFormat="1" ht="15.75" outlineLevel="1" x14ac:dyDescent="0.25">
      <c r="I259" s="350"/>
      <c r="J259" s="341"/>
      <c r="K259" s="342"/>
      <c r="L259" s="343"/>
      <c r="M259" s="7"/>
      <c r="N259" s="1"/>
      <c r="O259" s="1"/>
      <c r="P259" s="1"/>
      <c r="Q259" s="1"/>
      <c r="R259" s="1"/>
      <c r="S259" s="1"/>
      <c r="T259" s="1"/>
      <c r="U259" s="1"/>
      <c r="V259" s="1"/>
      <c r="W259" s="1"/>
      <c r="X259" s="1"/>
      <c r="Y259" s="1"/>
      <c r="Z259" s="1"/>
      <c r="AA259" s="1"/>
      <c r="AB259" s="1"/>
      <c r="AC259" s="351"/>
      <c r="AE259" s="345"/>
    </row>
    <row r="260" spans="9:31" s="344" customFormat="1" ht="15.75" outlineLevel="1" x14ac:dyDescent="0.25">
      <c r="I260" s="350"/>
      <c r="J260" s="110" t="s">
        <v>208</v>
      </c>
      <c r="K260" s="110"/>
      <c r="L260" s="343"/>
      <c r="M260" s="7"/>
      <c r="N260" s="352"/>
      <c r="O260" s="352"/>
      <c r="P260" s="352"/>
      <c r="Q260" s="352"/>
      <c r="R260" s="352"/>
      <c r="S260" s="352"/>
      <c r="T260" s="352"/>
      <c r="U260" s="352"/>
      <c r="V260" s="352"/>
      <c r="W260" s="352"/>
      <c r="X260" s="352"/>
      <c r="Y260" s="352"/>
      <c r="Z260" s="352"/>
      <c r="AA260" s="352"/>
      <c r="AB260" s="352"/>
      <c r="AC260" s="353"/>
      <c r="AE260" s="345"/>
    </row>
    <row r="261" spans="9:31" s="344" customFormat="1" ht="15.75" outlineLevel="1" x14ac:dyDescent="0.25">
      <c r="I261" s="350"/>
      <c r="J261" s="110" t="s">
        <v>209</v>
      </c>
      <c r="K261" s="110"/>
      <c r="L261" s="352"/>
      <c r="M261" s="7"/>
      <c r="N261" s="848">
        <f t="shared" ref="N261:AC261" si="165">N253*MAX(N79,60)/365</f>
        <v>0</v>
      </c>
      <c r="O261" s="848">
        <f t="shared" si="165"/>
        <v>0</v>
      </c>
      <c r="P261" s="848">
        <f t="shared" si="165"/>
        <v>0</v>
      </c>
      <c r="Q261" s="848">
        <f t="shared" si="165"/>
        <v>0</v>
      </c>
      <c r="R261" s="848">
        <f t="shared" si="165"/>
        <v>0</v>
      </c>
      <c r="S261" s="848">
        <f t="shared" si="165"/>
        <v>0</v>
      </c>
      <c r="T261" s="848">
        <f t="shared" si="165"/>
        <v>0</v>
      </c>
      <c r="U261" s="848">
        <f t="shared" si="165"/>
        <v>0</v>
      </c>
      <c r="V261" s="848">
        <f t="shared" si="165"/>
        <v>0</v>
      </c>
      <c r="W261" s="848">
        <f t="shared" si="165"/>
        <v>0</v>
      </c>
      <c r="X261" s="848">
        <f t="shared" si="165"/>
        <v>0</v>
      </c>
      <c r="Y261" s="848">
        <f t="shared" si="165"/>
        <v>0</v>
      </c>
      <c r="Z261" s="848">
        <f t="shared" si="165"/>
        <v>0</v>
      </c>
      <c r="AA261" s="848">
        <f t="shared" si="165"/>
        <v>0</v>
      </c>
      <c r="AB261" s="848">
        <f t="shared" si="165"/>
        <v>0</v>
      </c>
      <c r="AC261" s="949">
        <f t="shared" si="165"/>
        <v>0</v>
      </c>
      <c r="AE261" s="345"/>
    </row>
    <row r="262" spans="9:31" s="344" customFormat="1" outlineLevel="1" x14ac:dyDescent="0.3">
      <c r="I262" s="350"/>
      <c r="J262" s="515" t="s">
        <v>348</v>
      </c>
      <c r="K262" s="110"/>
      <c r="L262" s="352"/>
      <c r="M262" s="7"/>
      <c r="N262" s="848">
        <f t="shared" ref="N262" si="166">IF($L$86="Milestone Calculation",_xlfn.XLOOKUP(N258,$AR$72:$AR$87,$AT$72:$AT$87,0),0)</f>
        <v>0</v>
      </c>
      <c r="O262" s="848">
        <f>IF($L$86="Milestone Calculation",_xlfn.XLOOKUP(O258,$AR$72:$AR$87,$AT$72:$AT$87,0),0)</f>
        <v>0</v>
      </c>
      <c r="P262" s="848">
        <f t="shared" ref="P262:AC262" si="167">IF($L$86="Milestone Calculation",_xlfn.XLOOKUP(P258,$AR$72:$AR$87,$AT$72:$AT$87,0),0)</f>
        <v>0</v>
      </c>
      <c r="Q262" s="848">
        <f t="shared" si="167"/>
        <v>0</v>
      </c>
      <c r="R262" s="848">
        <f t="shared" si="167"/>
        <v>0</v>
      </c>
      <c r="S262" s="848">
        <f t="shared" si="167"/>
        <v>0</v>
      </c>
      <c r="T262" s="848">
        <f t="shared" si="167"/>
        <v>0</v>
      </c>
      <c r="U262" s="848">
        <f t="shared" si="167"/>
        <v>0</v>
      </c>
      <c r="V262" s="848">
        <f t="shared" si="167"/>
        <v>0</v>
      </c>
      <c r="W262" s="848">
        <f t="shared" si="167"/>
        <v>0</v>
      </c>
      <c r="X262" s="848">
        <f t="shared" si="167"/>
        <v>0</v>
      </c>
      <c r="Y262" s="848">
        <f t="shared" si="167"/>
        <v>0</v>
      </c>
      <c r="Z262" s="848">
        <f t="shared" si="167"/>
        <v>0</v>
      </c>
      <c r="AA262" s="848">
        <f t="shared" si="167"/>
        <v>0</v>
      </c>
      <c r="AB262" s="848">
        <f t="shared" si="167"/>
        <v>0</v>
      </c>
      <c r="AC262" s="949">
        <f t="shared" si="167"/>
        <v>0</v>
      </c>
      <c r="AE262" s="345"/>
    </row>
    <row r="263" spans="9:31" s="344" customFormat="1" ht="15.75" outlineLevel="1" x14ac:dyDescent="0.25">
      <c r="I263" s="350"/>
      <c r="J263" s="110" t="s">
        <v>210</v>
      </c>
      <c r="K263" s="110"/>
      <c r="L263" s="352"/>
      <c r="M263" s="7"/>
      <c r="N263" s="848">
        <f>-N232</f>
        <v>0</v>
      </c>
      <c r="O263" s="848">
        <f t="shared" ref="O263:AC263" si="168">-O232</f>
        <v>0</v>
      </c>
      <c r="P263" s="848">
        <f t="shared" si="168"/>
        <v>0</v>
      </c>
      <c r="Q263" s="848">
        <f t="shared" si="168"/>
        <v>0</v>
      </c>
      <c r="R263" s="848">
        <f t="shared" si="168"/>
        <v>0</v>
      </c>
      <c r="S263" s="848">
        <f t="shared" si="168"/>
        <v>0</v>
      </c>
      <c r="T263" s="848">
        <f t="shared" si="168"/>
        <v>0</v>
      </c>
      <c r="U263" s="848">
        <f t="shared" si="168"/>
        <v>0</v>
      </c>
      <c r="V263" s="848">
        <f t="shared" si="168"/>
        <v>0</v>
      </c>
      <c r="W263" s="848">
        <f t="shared" si="168"/>
        <v>0</v>
      </c>
      <c r="X263" s="848">
        <f t="shared" si="168"/>
        <v>0</v>
      </c>
      <c r="Y263" s="848">
        <f t="shared" si="168"/>
        <v>0</v>
      </c>
      <c r="Z263" s="848">
        <f t="shared" si="168"/>
        <v>0</v>
      </c>
      <c r="AA263" s="848">
        <f t="shared" si="168"/>
        <v>0</v>
      </c>
      <c r="AB263" s="848">
        <f t="shared" si="168"/>
        <v>0</v>
      </c>
      <c r="AC263" s="949">
        <f t="shared" si="168"/>
        <v>0</v>
      </c>
      <c r="AE263" s="345"/>
    </row>
    <row r="264" spans="9:31" s="344" customFormat="1" ht="15.75" outlineLevel="1" x14ac:dyDescent="0.25">
      <c r="I264" s="350"/>
      <c r="J264" s="210" t="s">
        <v>211</v>
      </c>
      <c r="K264" s="210"/>
      <c r="L264" s="354"/>
      <c r="M264" s="7"/>
      <c r="N264" s="839">
        <f>SUM(N261:N263)</f>
        <v>0</v>
      </c>
      <c r="O264" s="839">
        <f t="shared" ref="O264:AC264" si="169">SUM(O261:O263)</f>
        <v>0</v>
      </c>
      <c r="P264" s="839">
        <f t="shared" si="169"/>
        <v>0</v>
      </c>
      <c r="Q264" s="839">
        <f t="shared" si="169"/>
        <v>0</v>
      </c>
      <c r="R264" s="839">
        <f t="shared" si="169"/>
        <v>0</v>
      </c>
      <c r="S264" s="839">
        <f t="shared" si="169"/>
        <v>0</v>
      </c>
      <c r="T264" s="839">
        <f t="shared" si="169"/>
        <v>0</v>
      </c>
      <c r="U264" s="839">
        <f t="shared" si="169"/>
        <v>0</v>
      </c>
      <c r="V264" s="839">
        <f t="shared" si="169"/>
        <v>0</v>
      </c>
      <c r="W264" s="839">
        <f t="shared" si="169"/>
        <v>0</v>
      </c>
      <c r="X264" s="839">
        <f t="shared" si="169"/>
        <v>0</v>
      </c>
      <c r="Y264" s="839">
        <f t="shared" si="169"/>
        <v>0</v>
      </c>
      <c r="Z264" s="839">
        <f t="shared" si="169"/>
        <v>0</v>
      </c>
      <c r="AA264" s="839">
        <f t="shared" si="169"/>
        <v>0</v>
      </c>
      <c r="AB264" s="839">
        <f t="shared" si="169"/>
        <v>0</v>
      </c>
      <c r="AC264" s="849">
        <f t="shared" si="169"/>
        <v>0</v>
      </c>
      <c r="AE264" s="345"/>
    </row>
    <row r="265" spans="9:31" s="344" customFormat="1" ht="15.75" outlineLevel="1" x14ac:dyDescent="0.25">
      <c r="I265" s="350"/>
      <c r="J265" s="355"/>
      <c r="K265" s="355"/>
      <c r="L265" s="1"/>
      <c r="M265" s="7"/>
      <c r="N265" s="750"/>
      <c r="O265" s="750"/>
      <c r="P265" s="750"/>
      <c r="Q265" s="750"/>
      <c r="R265" s="750"/>
      <c r="S265" s="750"/>
      <c r="T265" s="750"/>
      <c r="U265" s="750"/>
      <c r="V265" s="750"/>
      <c r="W265" s="750"/>
      <c r="X265" s="750"/>
      <c r="Y265" s="750"/>
      <c r="Z265" s="750"/>
      <c r="AA265" s="750"/>
      <c r="AB265" s="750"/>
      <c r="AC265" s="854"/>
      <c r="AE265" s="345"/>
    </row>
    <row r="266" spans="9:31" s="344" customFormat="1" ht="15.75" outlineLevel="1" x14ac:dyDescent="0.25">
      <c r="I266" s="350"/>
      <c r="J266" s="110" t="s">
        <v>212</v>
      </c>
      <c r="K266" s="110"/>
      <c r="L266" s="352"/>
      <c r="M266" s="7"/>
      <c r="N266" s="848">
        <f t="shared" ref="N266:AC266" si="170">-M248</f>
        <v>0</v>
      </c>
      <c r="O266" s="848">
        <f t="shared" si="170"/>
        <v>0</v>
      </c>
      <c r="P266" s="848">
        <f t="shared" si="170"/>
        <v>0</v>
      </c>
      <c r="Q266" s="848">
        <f t="shared" si="170"/>
        <v>0</v>
      </c>
      <c r="R266" s="848">
        <f t="shared" si="170"/>
        <v>0</v>
      </c>
      <c r="S266" s="848">
        <f t="shared" si="170"/>
        <v>0</v>
      </c>
      <c r="T266" s="848">
        <f t="shared" si="170"/>
        <v>0</v>
      </c>
      <c r="U266" s="848">
        <f t="shared" si="170"/>
        <v>0</v>
      </c>
      <c r="V266" s="848">
        <f t="shared" si="170"/>
        <v>0</v>
      </c>
      <c r="W266" s="848">
        <f t="shared" si="170"/>
        <v>0</v>
      </c>
      <c r="X266" s="848">
        <f t="shared" si="170"/>
        <v>0</v>
      </c>
      <c r="Y266" s="848">
        <f t="shared" si="170"/>
        <v>0</v>
      </c>
      <c r="Z266" s="848">
        <f t="shared" si="170"/>
        <v>0</v>
      </c>
      <c r="AA266" s="848">
        <f t="shared" si="170"/>
        <v>0</v>
      </c>
      <c r="AB266" s="848">
        <f t="shared" si="170"/>
        <v>0</v>
      </c>
      <c r="AC266" s="949">
        <f t="shared" si="170"/>
        <v>0</v>
      </c>
      <c r="AE266" s="345"/>
    </row>
    <row r="267" spans="9:31" s="344" customFormat="1" ht="15.75" outlineLevel="1" x14ac:dyDescent="0.25">
      <c r="I267" s="350"/>
      <c r="J267" s="110" t="s">
        <v>213</v>
      </c>
      <c r="K267" s="110"/>
      <c r="L267" s="352"/>
      <c r="M267" s="7"/>
      <c r="N267" s="848">
        <f t="shared" ref="N267:AC267" si="171">+M240</f>
        <v>0</v>
      </c>
      <c r="O267" s="848">
        <f t="shared" si="171"/>
        <v>0</v>
      </c>
      <c r="P267" s="848">
        <f t="shared" si="171"/>
        <v>0</v>
      </c>
      <c r="Q267" s="848">
        <f t="shared" si="171"/>
        <v>0</v>
      </c>
      <c r="R267" s="848">
        <f t="shared" si="171"/>
        <v>0</v>
      </c>
      <c r="S267" s="848">
        <f t="shared" si="171"/>
        <v>0</v>
      </c>
      <c r="T267" s="848">
        <f t="shared" si="171"/>
        <v>0</v>
      </c>
      <c r="U267" s="848">
        <f t="shared" si="171"/>
        <v>0</v>
      </c>
      <c r="V267" s="848">
        <f t="shared" si="171"/>
        <v>0</v>
      </c>
      <c r="W267" s="848">
        <f t="shared" si="171"/>
        <v>0</v>
      </c>
      <c r="X267" s="848">
        <f t="shared" si="171"/>
        <v>0</v>
      </c>
      <c r="Y267" s="848">
        <f t="shared" si="171"/>
        <v>0</v>
      </c>
      <c r="Z267" s="848">
        <f t="shared" si="171"/>
        <v>0</v>
      </c>
      <c r="AA267" s="848">
        <f t="shared" si="171"/>
        <v>0</v>
      </c>
      <c r="AB267" s="848">
        <f t="shared" si="171"/>
        <v>0</v>
      </c>
      <c r="AC267" s="949">
        <f t="shared" si="171"/>
        <v>0</v>
      </c>
      <c r="AE267" s="345"/>
    </row>
    <row r="268" spans="9:31" s="344" customFormat="1" ht="15.75" outlineLevel="1" x14ac:dyDescent="0.25">
      <c r="I268" s="350"/>
      <c r="J268" s="210" t="s">
        <v>214</v>
      </c>
      <c r="K268" s="210"/>
      <c r="L268" s="354"/>
      <c r="M268" s="7"/>
      <c r="N268" s="839">
        <f>SUM(N266:N267)</f>
        <v>0</v>
      </c>
      <c r="O268" s="839">
        <f t="shared" ref="O268:AC268" si="172">SUM(O266:O267)</f>
        <v>0</v>
      </c>
      <c r="P268" s="839">
        <f t="shared" si="172"/>
        <v>0</v>
      </c>
      <c r="Q268" s="839">
        <f t="shared" si="172"/>
        <v>0</v>
      </c>
      <c r="R268" s="839">
        <f t="shared" si="172"/>
        <v>0</v>
      </c>
      <c r="S268" s="839">
        <f t="shared" si="172"/>
        <v>0</v>
      </c>
      <c r="T268" s="839">
        <f t="shared" si="172"/>
        <v>0</v>
      </c>
      <c r="U268" s="839">
        <f t="shared" si="172"/>
        <v>0</v>
      </c>
      <c r="V268" s="839">
        <f t="shared" si="172"/>
        <v>0</v>
      </c>
      <c r="W268" s="839">
        <f t="shared" si="172"/>
        <v>0</v>
      </c>
      <c r="X268" s="839">
        <f t="shared" si="172"/>
        <v>0</v>
      </c>
      <c r="Y268" s="839">
        <f t="shared" si="172"/>
        <v>0</v>
      </c>
      <c r="Z268" s="839">
        <f t="shared" si="172"/>
        <v>0</v>
      </c>
      <c r="AA268" s="839">
        <f t="shared" si="172"/>
        <v>0</v>
      </c>
      <c r="AB268" s="839">
        <f t="shared" si="172"/>
        <v>0</v>
      </c>
      <c r="AC268" s="849">
        <f t="shared" si="172"/>
        <v>0</v>
      </c>
      <c r="AE268" s="345"/>
    </row>
    <row r="269" spans="9:31" s="344" customFormat="1" ht="14.25" outlineLevel="1" x14ac:dyDescent="0.2">
      <c r="I269" s="350"/>
      <c r="J269" s="1"/>
      <c r="K269" s="1"/>
      <c r="L269" s="1"/>
      <c r="M269" s="7"/>
      <c r="N269" s="750"/>
      <c r="O269" s="750"/>
      <c r="P269" s="750"/>
      <c r="Q269" s="750"/>
      <c r="R269" s="750"/>
      <c r="S269" s="750"/>
      <c r="T269" s="750"/>
      <c r="U269" s="750"/>
      <c r="V269" s="750"/>
      <c r="W269" s="750"/>
      <c r="X269" s="750"/>
      <c r="Y269" s="750"/>
      <c r="Z269" s="750"/>
      <c r="AA269" s="750"/>
      <c r="AB269" s="750"/>
      <c r="AC269" s="854"/>
      <c r="AE269" s="345"/>
    </row>
    <row r="270" spans="9:31" s="344" customFormat="1" ht="15.75" outlineLevel="1" x14ac:dyDescent="0.25">
      <c r="I270" s="350"/>
      <c r="J270" s="1" t="s">
        <v>215</v>
      </c>
      <c r="K270" s="1"/>
      <c r="L270" s="1"/>
      <c r="M270" s="7"/>
      <c r="N270" s="855">
        <f>N264+N268</f>
        <v>0</v>
      </c>
      <c r="O270" s="855">
        <f t="shared" ref="O270:AC270" si="173">O264+O268</f>
        <v>0</v>
      </c>
      <c r="P270" s="855">
        <f t="shared" si="173"/>
        <v>0</v>
      </c>
      <c r="Q270" s="855">
        <f t="shared" si="173"/>
        <v>0</v>
      </c>
      <c r="R270" s="855">
        <f t="shared" si="173"/>
        <v>0</v>
      </c>
      <c r="S270" s="855">
        <f t="shared" si="173"/>
        <v>0</v>
      </c>
      <c r="T270" s="855">
        <f t="shared" si="173"/>
        <v>0</v>
      </c>
      <c r="U270" s="855">
        <f t="shared" si="173"/>
        <v>0</v>
      </c>
      <c r="V270" s="855">
        <f t="shared" si="173"/>
        <v>0</v>
      </c>
      <c r="W270" s="855">
        <f t="shared" si="173"/>
        <v>0</v>
      </c>
      <c r="X270" s="855">
        <f t="shared" si="173"/>
        <v>0</v>
      </c>
      <c r="Y270" s="855">
        <f t="shared" si="173"/>
        <v>0</v>
      </c>
      <c r="Z270" s="855">
        <f t="shared" si="173"/>
        <v>0</v>
      </c>
      <c r="AA270" s="855">
        <f t="shared" si="173"/>
        <v>0</v>
      </c>
      <c r="AB270" s="855">
        <f t="shared" si="173"/>
        <v>0</v>
      </c>
      <c r="AC270" s="856">
        <f t="shared" si="173"/>
        <v>0</v>
      </c>
      <c r="AE270" s="345"/>
    </row>
    <row r="271" spans="9:31" s="344" customFormat="1" ht="14.25" outlineLevel="1" x14ac:dyDescent="0.2">
      <c r="I271" s="350"/>
      <c r="J271" s="1"/>
      <c r="K271" s="1"/>
      <c r="L271" s="1"/>
      <c r="M271" s="7"/>
      <c r="N271" s="750"/>
      <c r="O271" s="750"/>
      <c r="P271" s="750"/>
      <c r="Q271" s="750"/>
      <c r="R271" s="750"/>
      <c r="S271" s="750"/>
      <c r="T271" s="750"/>
      <c r="U271" s="750"/>
      <c r="V271" s="750"/>
      <c r="W271" s="750"/>
      <c r="X271" s="750"/>
      <c r="Y271" s="750"/>
      <c r="Z271" s="750"/>
      <c r="AA271" s="750"/>
      <c r="AB271" s="750"/>
      <c r="AC271" s="854"/>
      <c r="AE271" s="345"/>
    </row>
    <row r="272" spans="9:31" s="344" customFormat="1" ht="15.75" outlineLevel="1" x14ac:dyDescent="0.25">
      <c r="I272" s="350"/>
      <c r="J272" s="1" t="s">
        <v>216</v>
      </c>
      <c r="K272" s="1"/>
      <c r="L272" s="1"/>
      <c r="M272" s="7"/>
      <c r="N272" s="855">
        <f>-N237</f>
        <v>0</v>
      </c>
      <c r="O272" s="855">
        <f t="shared" ref="O272:AC272" si="174">-O237</f>
        <v>0</v>
      </c>
      <c r="P272" s="855">
        <f t="shared" si="174"/>
        <v>0</v>
      </c>
      <c r="Q272" s="855">
        <f t="shared" si="174"/>
        <v>0</v>
      </c>
      <c r="R272" s="855">
        <f t="shared" si="174"/>
        <v>0</v>
      </c>
      <c r="S272" s="855">
        <f t="shared" si="174"/>
        <v>0</v>
      </c>
      <c r="T272" s="855">
        <f t="shared" si="174"/>
        <v>0</v>
      </c>
      <c r="U272" s="855">
        <f t="shared" si="174"/>
        <v>0</v>
      </c>
      <c r="V272" s="855">
        <f t="shared" si="174"/>
        <v>0</v>
      </c>
      <c r="W272" s="855">
        <f t="shared" si="174"/>
        <v>0</v>
      </c>
      <c r="X272" s="855">
        <f t="shared" si="174"/>
        <v>0</v>
      </c>
      <c r="Y272" s="855">
        <f t="shared" si="174"/>
        <v>0</v>
      </c>
      <c r="Z272" s="855">
        <f t="shared" si="174"/>
        <v>0</v>
      </c>
      <c r="AA272" s="855">
        <f t="shared" si="174"/>
        <v>0</v>
      </c>
      <c r="AB272" s="855">
        <f t="shared" si="174"/>
        <v>0</v>
      </c>
      <c r="AC272" s="856">
        <f t="shared" si="174"/>
        <v>0</v>
      </c>
      <c r="AE272" s="345"/>
    </row>
    <row r="273" spans="8:58" s="344" customFormat="1" ht="14.25" outlineLevel="1" x14ac:dyDescent="0.2">
      <c r="I273" s="350"/>
      <c r="J273" s="1"/>
      <c r="K273" s="1"/>
      <c r="L273" s="1"/>
      <c r="M273" s="7"/>
      <c r="N273" s="750"/>
      <c r="O273" s="750"/>
      <c r="P273" s="750"/>
      <c r="Q273" s="750"/>
      <c r="R273" s="750"/>
      <c r="S273" s="750"/>
      <c r="T273" s="750"/>
      <c r="U273" s="750"/>
      <c r="V273" s="750"/>
      <c r="W273" s="750"/>
      <c r="X273" s="750"/>
      <c r="Y273" s="750"/>
      <c r="Z273" s="750"/>
      <c r="AA273" s="750"/>
      <c r="AB273" s="750"/>
      <c r="AC273" s="854"/>
      <c r="AE273" s="345"/>
    </row>
    <row r="274" spans="8:58" s="344" customFormat="1" outlineLevel="1" thickBot="1" x14ac:dyDescent="0.3">
      <c r="I274" s="350"/>
      <c r="J274" s="356" t="s">
        <v>217</v>
      </c>
      <c r="K274" s="1"/>
      <c r="L274" s="1"/>
      <c r="M274" s="7"/>
      <c r="N274" s="847">
        <f>MIN(N270,N272)</f>
        <v>0</v>
      </c>
      <c r="O274" s="847">
        <f t="shared" ref="O274:AC274" si="175">MIN(O270,O272)</f>
        <v>0</v>
      </c>
      <c r="P274" s="847">
        <f t="shared" si="175"/>
        <v>0</v>
      </c>
      <c r="Q274" s="847">
        <f t="shared" si="175"/>
        <v>0</v>
      </c>
      <c r="R274" s="847">
        <f t="shared" si="175"/>
        <v>0</v>
      </c>
      <c r="S274" s="847">
        <f t="shared" si="175"/>
        <v>0</v>
      </c>
      <c r="T274" s="847">
        <f t="shared" si="175"/>
        <v>0</v>
      </c>
      <c r="U274" s="847">
        <f t="shared" si="175"/>
        <v>0</v>
      </c>
      <c r="V274" s="847">
        <f t="shared" si="175"/>
        <v>0</v>
      </c>
      <c r="W274" s="847">
        <f t="shared" si="175"/>
        <v>0</v>
      </c>
      <c r="X274" s="847">
        <f t="shared" si="175"/>
        <v>0</v>
      </c>
      <c r="Y274" s="847">
        <f t="shared" si="175"/>
        <v>0</v>
      </c>
      <c r="Z274" s="847">
        <f t="shared" si="175"/>
        <v>0</v>
      </c>
      <c r="AA274" s="847">
        <f t="shared" si="175"/>
        <v>0</v>
      </c>
      <c r="AB274" s="847">
        <f t="shared" si="175"/>
        <v>0</v>
      </c>
      <c r="AC274" s="857">
        <f t="shared" si="175"/>
        <v>0</v>
      </c>
      <c r="AE274" s="345"/>
    </row>
    <row r="275" spans="8:58" s="344" customFormat="1" ht="15.75" outlineLevel="1" thickTop="1" thickBot="1" x14ac:dyDescent="0.25">
      <c r="I275" s="357"/>
      <c r="J275" s="358"/>
      <c r="K275" s="358"/>
      <c r="L275" s="359"/>
      <c r="M275" s="360"/>
      <c r="N275" s="359"/>
      <c r="O275" s="359"/>
      <c r="P275" s="359"/>
      <c r="Q275" s="359"/>
      <c r="R275" s="359"/>
      <c r="S275" s="359"/>
      <c r="T275" s="359"/>
      <c r="U275" s="359"/>
      <c r="V275" s="359"/>
      <c r="W275" s="359"/>
      <c r="X275" s="359"/>
      <c r="Y275" s="359"/>
      <c r="Z275" s="359"/>
      <c r="AA275" s="359"/>
      <c r="AB275" s="359"/>
      <c r="AC275" s="361"/>
      <c r="AE275" s="308"/>
      <c r="AF275" s="308"/>
      <c r="AG275" s="308"/>
      <c r="AH275" s="308"/>
      <c r="AI275" s="308"/>
      <c r="AJ275" s="308"/>
      <c r="AK275" s="308"/>
      <c r="AL275" s="308"/>
      <c r="AM275" s="308"/>
      <c r="AN275" s="308"/>
      <c r="AO275" s="308"/>
      <c r="AP275" s="308"/>
      <c r="AQ275" s="308"/>
      <c r="AR275" s="308"/>
      <c r="AS275" s="308"/>
      <c r="AT275" s="308"/>
    </row>
    <row r="276" spans="8:58" s="308" customFormat="1" ht="12" customHeight="1" outlineLevel="1" x14ac:dyDescent="0.2">
      <c r="I276" s="303"/>
      <c r="J276" s="304"/>
      <c r="K276" s="305"/>
      <c r="L276" s="362"/>
      <c r="M276" s="1"/>
      <c r="N276" s="363"/>
      <c r="O276" s="363"/>
      <c r="P276" s="363"/>
      <c r="Q276" s="363"/>
      <c r="R276" s="363"/>
      <c r="S276" s="363"/>
      <c r="T276" s="363"/>
      <c r="U276" s="363"/>
      <c r="V276" s="363"/>
      <c r="W276" s="363"/>
      <c r="X276" s="363"/>
      <c r="Y276" s="363"/>
      <c r="Z276" s="363"/>
      <c r="AA276" s="363"/>
      <c r="AB276" s="363"/>
      <c r="AC276" s="363"/>
      <c r="AE276" s="1"/>
      <c r="AF276" s="4"/>
      <c r="AG276" s="4"/>
      <c r="AH276" s="4"/>
      <c r="AI276" s="4"/>
      <c r="AJ276" s="4"/>
      <c r="AK276" s="4"/>
      <c r="AL276" s="4"/>
      <c r="AM276" s="4"/>
      <c r="AN276" s="4"/>
      <c r="AO276" s="4"/>
      <c r="AP276" s="4"/>
      <c r="AQ276" s="4"/>
      <c r="AR276" s="4"/>
      <c r="AS276" s="4"/>
      <c r="AT276" s="4"/>
    </row>
    <row r="277" spans="8:58" s="4" customFormat="1" ht="18" x14ac:dyDescent="0.2">
      <c r="H277" s="1"/>
      <c r="I277" s="132" t="s">
        <v>218</v>
      </c>
      <c r="J277" s="33" t="s">
        <v>219</v>
      </c>
      <c r="K277" s="33"/>
      <c r="L277" s="364"/>
      <c r="M277" s="364"/>
      <c r="N277" s="133">
        <f>N$11</f>
        <v>2024</v>
      </c>
      <c r="O277" s="133">
        <f t="shared" ref="O277:AC277" si="176">O$11</f>
        <v>2025</v>
      </c>
      <c r="P277" s="133">
        <f t="shared" si="176"/>
        <v>2026</v>
      </c>
      <c r="Q277" s="133">
        <f t="shared" si="176"/>
        <v>2027</v>
      </c>
      <c r="R277" s="133">
        <f t="shared" si="176"/>
        <v>2028</v>
      </c>
      <c r="S277" s="133">
        <f t="shared" si="176"/>
        <v>2029</v>
      </c>
      <c r="T277" s="133">
        <f t="shared" si="176"/>
        <v>2030</v>
      </c>
      <c r="U277" s="133">
        <f t="shared" si="176"/>
        <v>2031</v>
      </c>
      <c r="V277" s="133">
        <f t="shared" si="176"/>
        <v>2032</v>
      </c>
      <c r="W277" s="133">
        <f t="shared" si="176"/>
        <v>2033</v>
      </c>
      <c r="X277" s="133">
        <f t="shared" si="176"/>
        <v>2034</v>
      </c>
      <c r="Y277" s="133">
        <f t="shared" si="176"/>
        <v>2035</v>
      </c>
      <c r="Z277" s="133">
        <f t="shared" si="176"/>
        <v>2036</v>
      </c>
      <c r="AA277" s="133">
        <f t="shared" si="176"/>
        <v>2037</v>
      </c>
      <c r="AB277" s="133">
        <f t="shared" si="176"/>
        <v>2038</v>
      </c>
      <c r="AC277" s="133">
        <f t="shared" si="176"/>
        <v>2039</v>
      </c>
      <c r="AD277" s="1"/>
      <c r="AE277" s="1"/>
      <c r="AF277" s="1"/>
      <c r="AG277" s="1"/>
      <c r="AH277" s="1"/>
      <c r="AI277" s="1"/>
      <c r="AJ277" s="1"/>
      <c r="AK277" s="1"/>
      <c r="AL277" s="1"/>
      <c r="AM277" s="1"/>
      <c r="AN277" s="1"/>
      <c r="AO277" s="1"/>
      <c r="AP277" s="1"/>
      <c r="AQ277" s="1"/>
      <c r="AR277" s="1"/>
      <c r="AS277" s="1"/>
      <c r="AT277" s="1"/>
      <c r="AV277" s="1"/>
      <c r="AW277" s="1"/>
      <c r="AX277" s="1"/>
      <c r="AY277" s="1"/>
      <c r="AZ277" s="1"/>
      <c r="BA277" s="1"/>
      <c r="BB277" s="1"/>
      <c r="BC277" s="1"/>
      <c r="BD277" s="1"/>
      <c r="BE277" s="1"/>
      <c r="BF277" s="1"/>
    </row>
    <row r="278" spans="8:58" s="4" customFormat="1" ht="15.75" outlineLevel="1" x14ac:dyDescent="0.25">
      <c r="H278" s="1"/>
      <c r="I278" s="99">
        <v>1</v>
      </c>
      <c r="J278" s="67" t="s">
        <v>220</v>
      </c>
      <c r="K278" s="31"/>
      <c r="L278" s="169"/>
      <c r="M278" s="1"/>
      <c r="N278" s="31"/>
      <c r="O278" s="31"/>
      <c r="P278" s="31"/>
      <c r="Q278" s="31"/>
      <c r="R278" s="31"/>
      <c r="S278" s="31"/>
      <c r="T278" s="31"/>
      <c r="U278" s="31"/>
      <c r="V278" s="31"/>
      <c r="W278" s="31"/>
      <c r="X278" s="31"/>
      <c r="Y278" s="31"/>
      <c r="Z278" s="31"/>
      <c r="AA278" s="31"/>
      <c r="AB278" s="31"/>
      <c r="AC278" s="3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row>
    <row r="279" spans="8:58" s="4" customFormat="1" ht="15.75" outlineLevel="1" x14ac:dyDescent="0.25">
      <c r="H279" s="1"/>
      <c r="I279" s="99"/>
      <c r="J279" s="31" t="s">
        <v>30</v>
      </c>
      <c r="K279" s="31"/>
      <c r="L279" s="289"/>
      <c r="M279" s="1"/>
      <c r="N279" s="844">
        <f t="shared" ref="N279:AC283" si="177">N200</f>
        <v>0</v>
      </c>
      <c r="O279" s="844">
        <f t="shared" si="177"/>
        <v>0</v>
      </c>
      <c r="P279" s="844">
        <f t="shared" si="177"/>
        <v>0</v>
      </c>
      <c r="Q279" s="844">
        <f t="shared" si="177"/>
        <v>0</v>
      </c>
      <c r="R279" s="844">
        <f t="shared" si="177"/>
        <v>0</v>
      </c>
      <c r="S279" s="844">
        <f t="shared" si="177"/>
        <v>0</v>
      </c>
      <c r="T279" s="844">
        <f t="shared" si="177"/>
        <v>0</v>
      </c>
      <c r="U279" s="844">
        <f t="shared" si="177"/>
        <v>0</v>
      </c>
      <c r="V279" s="844">
        <f t="shared" si="177"/>
        <v>0</v>
      </c>
      <c r="W279" s="844">
        <f t="shared" si="177"/>
        <v>0</v>
      </c>
      <c r="X279" s="844">
        <f t="shared" si="177"/>
        <v>0</v>
      </c>
      <c r="Y279" s="844">
        <f t="shared" si="177"/>
        <v>0</v>
      </c>
      <c r="Z279" s="844">
        <f t="shared" si="177"/>
        <v>0</v>
      </c>
      <c r="AA279" s="844">
        <f t="shared" si="177"/>
        <v>0</v>
      </c>
      <c r="AB279" s="844">
        <f t="shared" si="177"/>
        <v>0</v>
      </c>
      <c r="AC279" s="844">
        <f t="shared" si="177"/>
        <v>0</v>
      </c>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row>
    <row r="280" spans="8:58" s="4" customFormat="1" ht="15.75" outlineLevel="1" x14ac:dyDescent="0.25">
      <c r="H280" s="1"/>
      <c r="I280" s="99"/>
      <c r="J280" s="31" t="s">
        <v>295</v>
      </c>
      <c r="K280" s="31"/>
      <c r="L280" s="289"/>
      <c r="M280" s="1"/>
      <c r="N280" s="844">
        <f t="shared" si="177"/>
        <v>0</v>
      </c>
      <c r="O280" s="844">
        <f t="shared" si="177"/>
        <v>0</v>
      </c>
      <c r="P280" s="844">
        <f t="shared" si="177"/>
        <v>0</v>
      </c>
      <c r="Q280" s="844">
        <f t="shared" si="177"/>
        <v>0</v>
      </c>
      <c r="R280" s="844">
        <f t="shared" si="177"/>
        <v>0</v>
      </c>
      <c r="S280" s="844">
        <f t="shared" si="177"/>
        <v>0</v>
      </c>
      <c r="T280" s="844">
        <f t="shared" si="177"/>
        <v>0</v>
      </c>
      <c r="U280" s="844">
        <f t="shared" si="177"/>
        <v>0</v>
      </c>
      <c r="V280" s="844">
        <f t="shared" si="177"/>
        <v>0</v>
      </c>
      <c r="W280" s="844">
        <f t="shared" si="177"/>
        <v>0</v>
      </c>
      <c r="X280" s="844">
        <f t="shared" si="177"/>
        <v>0</v>
      </c>
      <c r="Y280" s="844">
        <f t="shared" si="177"/>
        <v>0</v>
      </c>
      <c r="Z280" s="844">
        <f t="shared" si="177"/>
        <v>0</v>
      </c>
      <c r="AA280" s="844">
        <f t="shared" si="177"/>
        <v>0</v>
      </c>
      <c r="AB280" s="844">
        <f t="shared" si="177"/>
        <v>0</v>
      </c>
      <c r="AC280" s="844">
        <f t="shared" si="177"/>
        <v>0</v>
      </c>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row>
    <row r="281" spans="8:58" s="4" customFormat="1" ht="15.75" outlineLevel="1" x14ac:dyDescent="0.25">
      <c r="H281" s="1"/>
      <c r="I281" s="99"/>
      <c r="J281" s="31" t="s">
        <v>296</v>
      </c>
      <c r="K281" s="31"/>
      <c r="L281" s="289"/>
      <c r="M281" s="1"/>
      <c r="N281" s="844">
        <f t="shared" si="177"/>
        <v>0</v>
      </c>
      <c r="O281" s="844">
        <f t="shared" si="177"/>
        <v>0</v>
      </c>
      <c r="P281" s="844">
        <f t="shared" si="177"/>
        <v>0</v>
      </c>
      <c r="Q281" s="844">
        <f t="shared" si="177"/>
        <v>0</v>
      </c>
      <c r="R281" s="844">
        <f t="shared" si="177"/>
        <v>0</v>
      </c>
      <c r="S281" s="844">
        <f t="shared" si="177"/>
        <v>0</v>
      </c>
      <c r="T281" s="844">
        <f t="shared" si="177"/>
        <v>0</v>
      </c>
      <c r="U281" s="844">
        <f t="shared" si="177"/>
        <v>0</v>
      </c>
      <c r="V281" s="844">
        <f t="shared" si="177"/>
        <v>0</v>
      </c>
      <c r="W281" s="844">
        <f t="shared" si="177"/>
        <v>0</v>
      </c>
      <c r="X281" s="844">
        <f t="shared" si="177"/>
        <v>0</v>
      </c>
      <c r="Y281" s="844">
        <f t="shared" si="177"/>
        <v>0</v>
      </c>
      <c r="Z281" s="844">
        <f t="shared" si="177"/>
        <v>0</v>
      </c>
      <c r="AA281" s="844">
        <f t="shared" si="177"/>
        <v>0</v>
      </c>
      <c r="AB281" s="844">
        <f t="shared" si="177"/>
        <v>0</v>
      </c>
      <c r="AC281" s="844">
        <f t="shared" si="177"/>
        <v>0</v>
      </c>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row>
    <row r="282" spans="8:58" s="4" customFormat="1" ht="15.75" outlineLevel="1" x14ac:dyDescent="0.25">
      <c r="H282" s="1"/>
      <c r="I282" s="99"/>
      <c r="J282" s="31" t="s">
        <v>458</v>
      </c>
      <c r="K282" s="31"/>
      <c r="L282" s="289"/>
      <c r="M282" s="1"/>
      <c r="N282" s="844">
        <f>N203</f>
        <v>0</v>
      </c>
      <c r="O282" s="844">
        <f t="shared" si="177"/>
        <v>0</v>
      </c>
      <c r="P282" s="844">
        <f t="shared" si="177"/>
        <v>0</v>
      </c>
      <c r="Q282" s="844">
        <f t="shared" si="177"/>
        <v>0</v>
      </c>
      <c r="R282" s="844">
        <f t="shared" si="177"/>
        <v>0</v>
      </c>
      <c r="S282" s="844">
        <f t="shared" si="177"/>
        <v>0</v>
      </c>
      <c r="T282" s="844">
        <f t="shared" si="177"/>
        <v>0</v>
      </c>
      <c r="U282" s="844">
        <f t="shared" si="177"/>
        <v>0</v>
      </c>
      <c r="V282" s="844">
        <f t="shared" si="177"/>
        <v>0</v>
      </c>
      <c r="W282" s="844">
        <f t="shared" si="177"/>
        <v>0</v>
      </c>
      <c r="X282" s="844">
        <f t="shared" si="177"/>
        <v>0</v>
      </c>
      <c r="Y282" s="844">
        <f t="shared" si="177"/>
        <v>0</v>
      </c>
      <c r="Z282" s="844">
        <f t="shared" si="177"/>
        <v>0</v>
      </c>
      <c r="AA282" s="844">
        <f t="shared" si="177"/>
        <v>0</v>
      </c>
      <c r="AB282" s="844">
        <f t="shared" si="177"/>
        <v>0</v>
      </c>
      <c r="AC282" s="844">
        <f t="shared" si="177"/>
        <v>0</v>
      </c>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row>
    <row r="283" spans="8:58" s="4" customFormat="1" ht="15.75" outlineLevel="1" x14ac:dyDescent="0.25">
      <c r="H283" s="1"/>
      <c r="I283" s="99"/>
      <c r="J283" s="31" t="s">
        <v>298</v>
      </c>
      <c r="K283" s="31"/>
      <c r="L283" s="289"/>
      <c r="M283" s="1"/>
      <c r="N283" s="844">
        <f>N204</f>
        <v>0</v>
      </c>
      <c r="O283" s="844">
        <f t="shared" si="177"/>
        <v>0</v>
      </c>
      <c r="P283" s="844">
        <f t="shared" si="177"/>
        <v>0</v>
      </c>
      <c r="Q283" s="844">
        <f t="shared" si="177"/>
        <v>0</v>
      </c>
      <c r="R283" s="844">
        <f t="shared" si="177"/>
        <v>0</v>
      </c>
      <c r="S283" s="844">
        <f t="shared" si="177"/>
        <v>0</v>
      </c>
      <c r="T283" s="844">
        <f t="shared" si="177"/>
        <v>0</v>
      </c>
      <c r="U283" s="844">
        <f t="shared" si="177"/>
        <v>0</v>
      </c>
      <c r="V283" s="844">
        <f t="shared" si="177"/>
        <v>0</v>
      </c>
      <c r="W283" s="844">
        <f t="shared" si="177"/>
        <v>0</v>
      </c>
      <c r="X283" s="844">
        <f t="shared" si="177"/>
        <v>0</v>
      </c>
      <c r="Y283" s="844">
        <f t="shared" si="177"/>
        <v>0</v>
      </c>
      <c r="Z283" s="844">
        <f t="shared" si="177"/>
        <v>0</v>
      </c>
      <c r="AA283" s="844">
        <f t="shared" si="177"/>
        <v>0</v>
      </c>
      <c r="AB283" s="844">
        <f t="shared" si="177"/>
        <v>0</v>
      </c>
      <c r="AC283" s="844">
        <f t="shared" si="177"/>
        <v>0</v>
      </c>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row>
    <row r="284" spans="8:58" s="4" customFormat="1" ht="15.75" outlineLevel="1" x14ac:dyDescent="0.25">
      <c r="H284" s="1"/>
      <c r="I284" s="99"/>
      <c r="J284" s="31" t="s">
        <v>162</v>
      </c>
      <c r="K284" s="31"/>
      <c r="L284" s="289"/>
      <c r="M284" s="1"/>
      <c r="N284" s="844">
        <f t="shared" ref="N284:AC285" si="178">N205</f>
        <v>0</v>
      </c>
      <c r="O284" s="844">
        <f t="shared" si="178"/>
        <v>0</v>
      </c>
      <c r="P284" s="844">
        <f t="shared" si="178"/>
        <v>0</v>
      </c>
      <c r="Q284" s="844">
        <f t="shared" si="178"/>
        <v>0</v>
      </c>
      <c r="R284" s="844">
        <f t="shared" si="178"/>
        <v>0</v>
      </c>
      <c r="S284" s="844">
        <f t="shared" si="178"/>
        <v>0</v>
      </c>
      <c r="T284" s="844">
        <f t="shared" si="178"/>
        <v>0</v>
      </c>
      <c r="U284" s="844">
        <f t="shared" si="178"/>
        <v>0</v>
      </c>
      <c r="V284" s="844">
        <f t="shared" si="178"/>
        <v>0</v>
      </c>
      <c r="W284" s="844">
        <f t="shared" si="178"/>
        <v>0</v>
      </c>
      <c r="X284" s="844">
        <f t="shared" si="178"/>
        <v>0</v>
      </c>
      <c r="Y284" s="844">
        <f t="shared" si="178"/>
        <v>0</v>
      </c>
      <c r="Z284" s="844">
        <f t="shared" si="178"/>
        <v>0</v>
      </c>
      <c r="AA284" s="844">
        <f t="shared" si="178"/>
        <v>0</v>
      </c>
      <c r="AB284" s="844">
        <f t="shared" si="178"/>
        <v>0</v>
      </c>
      <c r="AC284" s="844">
        <f t="shared" si="178"/>
        <v>0</v>
      </c>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row>
    <row r="285" spans="8:58" s="4" customFormat="1" ht="15.75" outlineLevel="1" x14ac:dyDescent="0.25">
      <c r="H285" s="1"/>
      <c r="I285" s="99"/>
      <c r="J285" s="31" t="s">
        <v>221</v>
      </c>
      <c r="K285" s="31"/>
      <c r="L285" s="289"/>
      <c r="M285" s="1"/>
      <c r="N285" s="844">
        <f t="shared" si="178"/>
        <v>0</v>
      </c>
      <c r="O285" s="844">
        <f t="shared" si="178"/>
        <v>0</v>
      </c>
      <c r="P285" s="844">
        <f t="shared" si="178"/>
        <v>0</v>
      </c>
      <c r="Q285" s="844">
        <f t="shared" si="178"/>
        <v>0</v>
      </c>
      <c r="R285" s="844">
        <f t="shared" si="178"/>
        <v>0</v>
      </c>
      <c r="S285" s="844">
        <f t="shared" si="178"/>
        <v>0</v>
      </c>
      <c r="T285" s="844">
        <f t="shared" si="178"/>
        <v>0</v>
      </c>
      <c r="U285" s="844">
        <f t="shared" si="178"/>
        <v>0</v>
      </c>
      <c r="V285" s="844">
        <f t="shared" si="178"/>
        <v>0</v>
      </c>
      <c r="W285" s="844">
        <f t="shared" si="178"/>
        <v>0</v>
      </c>
      <c r="X285" s="844">
        <f t="shared" si="178"/>
        <v>0</v>
      </c>
      <c r="Y285" s="844">
        <f t="shared" si="178"/>
        <v>0</v>
      </c>
      <c r="Z285" s="844">
        <f t="shared" si="178"/>
        <v>0</v>
      </c>
      <c r="AA285" s="844">
        <f t="shared" si="178"/>
        <v>0</v>
      </c>
      <c r="AB285" s="844">
        <f t="shared" si="178"/>
        <v>0</v>
      </c>
      <c r="AC285" s="844">
        <f t="shared" si="178"/>
        <v>0</v>
      </c>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row>
    <row r="286" spans="8:58" s="4" customFormat="1" ht="15.75" outlineLevel="1" x14ac:dyDescent="0.25">
      <c r="H286" s="1"/>
      <c r="I286" s="99"/>
      <c r="J286" s="31" t="s">
        <v>168</v>
      </c>
      <c r="K286" s="31"/>
      <c r="L286" s="289"/>
      <c r="M286" s="1"/>
      <c r="N286" s="844">
        <f t="shared" ref="N286:AC287" si="179">-N211</f>
        <v>0</v>
      </c>
      <c r="O286" s="844">
        <f t="shared" si="179"/>
        <v>0</v>
      </c>
      <c r="P286" s="844">
        <f t="shared" si="179"/>
        <v>0</v>
      </c>
      <c r="Q286" s="844">
        <f t="shared" si="179"/>
        <v>0</v>
      </c>
      <c r="R286" s="844">
        <f t="shared" si="179"/>
        <v>0</v>
      </c>
      <c r="S286" s="844">
        <f t="shared" si="179"/>
        <v>0</v>
      </c>
      <c r="T286" s="844">
        <f t="shared" si="179"/>
        <v>0</v>
      </c>
      <c r="U286" s="844">
        <f t="shared" si="179"/>
        <v>0</v>
      </c>
      <c r="V286" s="844">
        <f t="shared" si="179"/>
        <v>0</v>
      </c>
      <c r="W286" s="844">
        <f t="shared" si="179"/>
        <v>0</v>
      </c>
      <c r="X286" s="844">
        <f t="shared" si="179"/>
        <v>0</v>
      </c>
      <c r="Y286" s="844">
        <f t="shared" si="179"/>
        <v>0</v>
      </c>
      <c r="Z286" s="844">
        <f t="shared" si="179"/>
        <v>0</v>
      </c>
      <c r="AA286" s="844">
        <f t="shared" si="179"/>
        <v>0</v>
      </c>
      <c r="AB286" s="844">
        <f t="shared" si="179"/>
        <v>0</v>
      </c>
      <c r="AC286" s="844">
        <f t="shared" si="179"/>
        <v>0</v>
      </c>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row>
    <row r="287" spans="8:58" s="4" customFormat="1" ht="15.75" outlineLevel="1" x14ac:dyDescent="0.25">
      <c r="H287" s="1"/>
      <c r="I287" s="99"/>
      <c r="J287" s="31" t="s">
        <v>222</v>
      </c>
      <c r="K287" s="31"/>
      <c r="L287" s="289"/>
      <c r="M287" s="1"/>
      <c r="N287" s="844">
        <f t="shared" si="179"/>
        <v>0</v>
      </c>
      <c r="O287" s="844">
        <f t="shared" si="179"/>
        <v>0</v>
      </c>
      <c r="P287" s="844">
        <f t="shared" si="179"/>
        <v>0</v>
      </c>
      <c r="Q287" s="844">
        <f t="shared" si="179"/>
        <v>0</v>
      </c>
      <c r="R287" s="844">
        <f t="shared" si="179"/>
        <v>0</v>
      </c>
      <c r="S287" s="844">
        <f t="shared" si="179"/>
        <v>0</v>
      </c>
      <c r="T287" s="844">
        <f t="shared" si="179"/>
        <v>0</v>
      </c>
      <c r="U287" s="844">
        <f t="shared" si="179"/>
        <v>0</v>
      </c>
      <c r="V287" s="844">
        <f t="shared" si="179"/>
        <v>0</v>
      </c>
      <c r="W287" s="844">
        <f t="shared" si="179"/>
        <v>0</v>
      </c>
      <c r="X287" s="844">
        <f t="shared" si="179"/>
        <v>0</v>
      </c>
      <c r="Y287" s="844">
        <f t="shared" si="179"/>
        <v>0</v>
      </c>
      <c r="Z287" s="844">
        <f t="shared" si="179"/>
        <v>0</v>
      </c>
      <c r="AA287" s="844">
        <f t="shared" si="179"/>
        <v>0</v>
      </c>
      <c r="AB287" s="844">
        <f t="shared" si="179"/>
        <v>0</v>
      </c>
      <c r="AC287" s="844">
        <f t="shared" si="179"/>
        <v>0</v>
      </c>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row>
    <row r="288" spans="8:58" s="4" customFormat="1" ht="15.75" outlineLevel="1" x14ac:dyDescent="0.25">
      <c r="H288" s="1"/>
      <c r="I288" s="99"/>
      <c r="J288" s="102" t="s">
        <v>223</v>
      </c>
      <c r="K288" s="102"/>
      <c r="L288" s="365"/>
      <c r="M288" s="1"/>
      <c r="N288" s="860">
        <f t="shared" ref="N288:AC288" si="180">SUM(N279:N287)</f>
        <v>0</v>
      </c>
      <c r="O288" s="860">
        <f t="shared" si="180"/>
        <v>0</v>
      </c>
      <c r="P288" s="860">
        <f t="shared" si="180"/>
        <v>0</v>
      </c>
      <c r="Q288" s="860">
        <f t="shared" si="180"/>
        <v>0</v>
      </c>
      <c r="R288" s="860">
        <f t="shared" si="180"/>
        <v>0</v>
      </c>
      <c r="S288" s="860">
        <f t="shared" si="180"/>
        <v>0</v>
      </c>
      <c r="T288" s="860">
        <f t="shared" si="180"/>
        <v>0</v>
      </c>
      <c r="U288" s="860">
        <f t="shared" si="180"/>
        <v>0</v>
      </c>
      <c r="V288" s="860">
        <f t="shared" si="180"/>
        <v>0</v>
      </c>
      <c r="W288" s="860">
        <f t="shared" si="180"/>
        <v>0</v>
      </c>
      <c r="X288" s="860">
        <f t="shared" si="180"/>
        <v>0</v>
      </c>
      <c r="Y288" s="860">
        <f t="shared" si="180"/>
        <v>0</v>
      </c>
      <c r="Z288" s="860">
        <f t="shared" si="180"/>
        <v>0</v>
      </c>
      <c r="AA288" s="860">
        <f t="shared" si="180"/>
        <v>0</v>
      </c>
      <c r="AB288" s="860">
        <f t="shared" si="180"/>
        <v>0</v>
      </c>
      <c r="AC288" s="860">
        <f t="shared" si="180"/>
        <v>0</v>
      </c>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row>
    <row r="289" spans="8:58" s="4" customFormat="1" ht="15.75" outlineLevel="1" x14ac:dyDescent="0.25">
      <c r="H289" s="1"/>
      <c r="I289" s="99"/>
      <c r="J289" s="31" t="s">
        <v>224</v>
      </c>
      <c r="K289" s="31"/>
      <c r="L289" s="289"/>
      <c r="M289" s="1"/>
      <c r="N289" s="861">
        <f>N288</f>
        <v>0</v>
      </c>
      <c r="O289" s="844">
        <f t="shared" ref="O289:AC289" si="181">O288-N288</f>
        <v>0</v>
      </c>
      <c r="P289" s="844">
        <f t="shared" si="181"/>
        <v>0</v>
      </c>
      <c r="Q289" s="844">
        <f t="shared" si="181"/>
        <v>0</v>
      </c>
      <c r="R289" s="844">
        <f t="shared" si="181"/>
        <v>0</v>
      </c>
      <c r="S289" s="844">
        <f t="shared" si="181"/>
        <v>0</v>
      </c>
      <c r="T289" s="844">
        <f t="shared" si="181"/>
        <v>0</v>
      </c>
      <c r="U289" s="844">
        <f t="shared" si="181"/>
        <v>0</v>
      </c>
      <c r="V289" s="844">
        <f t="shared" si="181"/>
        <v>0</v>
      </c>
      <c r="W289" s="844">
        <f t="shared" si="181"/>
        <v>0</v>
      </c>
      <c r="X289" s="844">
        <f t="shared" si="181"/>
        <v>0</v>
      </c>
      <c r="Y289" s="844">
        <f t="shared" si="181"/>
        <v>0</v>
      </c>
      <c r="Z289" s="844">
        <f t="shared" si="181"/>
        <v>0</v>
      </c>
      <c r="AA289" s="844">
        <f t="shared" si="181"/>
        <v>0</v>
      </c>
      <c r="AB289" s="844">
        <f t="shared" si="181"/>
        <v>0</v>
      </c>
      <c r="AC289" s="844">
        <f t="shared" si="181"/>
        <v>0</v>
      </c>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row>
    <row r="290" spans="8:58" s="4" customFormat="1" ht="15.75" outlineLevel="1" x14ac:dyDescent="0.25">
      <c r="H290" s="1"/>
      <c r="I290" s="99">
        <v>2</v>
      </c>
      <c r="J290" s="67" t="s">
        <v>225</v>
      </c>
      <c r="K290" s="31"/>
      <c r="L290" s="169"/>
      <c r="M290" s="1"/>
      <c r="N290" s="838"/>
      <c r="O290" s="838"/>
      <c r="P290" s="838"/>
      <c r="Q290" s="838"/>
      <c r="R290" s="838"/>
      <c r="S290" s="838"/>
      <c r="T290" s="838"/>
      <c r="U290" s="838"/>
      <c r="V290" s="838"/>
      <c r="W290" s="838"/>
      <c r="X290" s="838"/>
      <c r="Y290" s="838"/>
      <c r="Z290" s="838"/>
      <c r="AA290" s="838"/>
      <c r="AB290" s="838"/>
      <c r="AC290" s="838"/>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row>
    <row r="291" spans="8:58" s="4" customFormat="1" ht="15.75" outlineLevel="1" x14ac:dyDescent="0.25">
      <c r="H291" s="1"/>
      <c r="I291" s="99"/>
      <c r="J291" s="31" t="s">
        <v>226</v>
      </c>
      <c r="K291" s="31"/>
      <c r="L291" s="289"/>
      <c r="M291" s="1"/>
      <c r="N291" s="864"/>
      <c r="O291" s="844">
        <f t="shared" ref="O291:AC291" si="182">N293</f>
        <v>0</v>
      </c>
      <c r="P291" s="844">
        <f t="shared" si="182"/>
        <v>0</v>
      </c>
      <c r="Q291" s="844">
        <f t="shared" si="182"/>
        <v>0</v>
      </c>
      <c r="R291" s="844">
        <f t="shared" si="182"/>
        <v>0</v>
      </c>
      <c r="S291" s="844">
        <f t="shared" si="182"/>
        <v>0</v>
      </c>
      <c r="T291" s="844">
        <f t="shared" si="182"/>
        <v>0</v>
      </c>
      <c r="U291" s="844">
        <f t="shared" si="182"/>
        <v>0</v>
      </c>
      <c r="V291" s="844">
        <f t="shared" si="182"/>
        <v>0</v>
      </c>
      <c r="W291" s="844">
        <f t="shared" si="182"/>
        <v>0</v>
      </c>
      <c r="X291" s="844">
        <f t="shared" si="182"/>
        <v>0</v>
      </c>
      <c r="Y291" s="844">
        <f t="shared" si="182"/>
        <v>0</v>
      </c>
      <c r="Z291" s="844">
        <f t="shared" si="182"/>
        <v>0</v>
      </c>
      <c r="AA291" s="844">
        <f t="shared" si="182"/>
        <v>0</v>
      </c>
      <c r="AB291" s="844">
        <f t="shared" si="182"/>
        <v>0</v>
      </c>
      <c r="AC291" s="844">
        <f t="shared" si="182"/>
        <v>0</v>
      </c>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row>
    <row r="292" spans="8:58" s="4" customFormat="1" ht="15.75" outlineLevel="1" x14ac:dyDescent="0.25">
      <c r="H292" s="1"/>
      <c r="I292" s="99"/>
      <c r="J292" s="31" t="s">
        <v>227</v>
      </c>
      <c r="K292" s="31"/>
      <c r="L292" s="289"/>
      <c r="M292" s="1"/>
      <c r="N292" s="844">
        <f t="shared" ref="N292:AC292" si="183">+N70+N75</f>
        <v>0</v>
      </c>
      <c r="O292" s="844">
        <f t="shared" si="183"/>
        <v>0</v>
      </c>
      <c r="P292" s="844">
        <f t="shared" si="183"/>
        <v>0</v>
      </c>
      <c r="Q292" s="844">
        <f t="shared" si="183"/>
        <v>0</v>
      </c>
      <c r="R292" s="844">
        <f t="shared" si="183"/>
        <v>0</v>
      </c>
      <c r="S292" s="844">
        <f t="shared" si="183"/>
        <v>0</v>
      </c>
      <c r="T292" s="844">
        <f t="shared" si="183"/>
        <v>0</v>
      </c>
      <c r="U292" s="844">
        <f t="shared" si="183"/>
        <v>0</v>
      </c>
      <c r="V292" s="844">
        <f t="shared" si="183"/>
        <v>0</v>
      </c>
      <c r="W292" s="844">
        <f t="shared" si="183"/>
        <v>0</v>
      </c>
      <c r="X292" s="844">
        <f t="shared" si="183"/>
        <v>0</v>
      </c>
      <c r="Y292" s="844">
        <f t="shared" si="183"/>
        <v>0</v>
      </c>
      <c r="Z292" s="844">
        <f t="shared" si="183"/>
        <v>0</v>
      </c>
      <c r="AA292" s="844">
        <f t="shared" si="183"/>
        <v>0</v>
      </c>
      <c r="AB292" s="844">
        <f t="shared" si="183"/>
        <v>0</v>
      </c>
      <c r="AC292" s="844">
        <f t="shared" si="183"/>
        <v>0</v>
      </c>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row>
    <row r="293" spans="8:58" s="4" customFormat="1" ht="15.75" outlineLevel="1" x14ac:dyDescent="0.25">
      <c r="H293" s="1"/>
      <c r="I293" s="99"/>
      <c r="J293" s="102" t="s">
        <v>228</v>
      </c>
      <c r="K293" s="102"/>
      <c r="L293" s="365"/>
      <c r="M293" s="1"/>
      <c r="N293" s="860">
        <f t="shared" ref="N293:AC293" si="184">SUM(N291:N292)</f>
        <v>0</v>
      </c>
      <c r="O293" s="860">
        <f t="shared" si="184"/>
        <v>0</v>
      </c>
      <c r="P293" s="860">
        <f t="shared" si="184"/>
        <v>0</v>
      </c>
      <c r="Q293" s="860">
        <f t="shared" si="184"/>
        <v>0</v>
      </c>
      <c r="R293" s="860">
        <f t="shared" si="184"/>
        <v>0</v>
      </c>
      <c r="S293" s="860">
        <f t="shared" si="184"/>
        <v>0</v>
      </c>
      <c r="T293" s="860">
        <f t="shared" si="184"/>
        <v>0</v>
      </c>
      <c r="U293" s="860">
        <f t="shared" si="184"/>
        <v>0</v>
      </c>
      <c r="V293" s="860">
        <f t="shared" si="184"/>
        <v>0</v>
      </c>
      <c r="W293" s="860">
        <f t="shared" si="184"/>
        <v>0</v>
      </c>
      <c r="X293" s="860">
        <f t="shared" si="184"/>
        <v>0</v>
      </c>
      <c r="Y293" s="860">
        <f t="shared" si="184"/>
        <v>0</v>
      </c>
      <c r="Z293" s="860">
        <f t="shared" si="184"/>
        <v>0</v>
      </c>
      <c r="AA293" s="860">
        <f t="shared" si="184"/>
        <v>0</v>
      </c>
      <c r="AB293" s="860">
        <f t="shared" si="184"/>
        <v>0</v>
      </c>
      <c r="AC293" s="860">
        <f t="shared" si="184"/>
        <v>0</v>
      </c>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row>
    <row r="294" spans="8:58" s="4" customFormat="1" ht="15.75" outlineLevel="1" x14ac:dyDescent="0.25">
      <c r="H294" s="1"/>
      <c r="I294" s="99"/>
      <c r="J294" s="31" t="s">
        <v>229</v>
      </c>
      <c r="K294" s="31"/>
      <c r="L294" s="287"/>
      <c r="M294" s="1"/>
      <c r="N294" s="1062">
        <f>IF(N94=1,-N292,IF(N118=0,0,-SLN(N292,0,MAX(N94,1))*(13-$L$12)/12))</f>
        <v>0</v>
      </c>
      <c r="O294" s="1061">
        <f>IF(AND(SUM($N118:N118)=0,O118=0),0,IF(AND(N295&gt;0,N295&lt;=ABS(N294)),-N295,IF(N295&lt;=0,-SLN(O292,0,MAX(O94,1))*(13-$L$12)/12,-SLN(O291,0,MAX(O94,1))-SLN(O292,0,MAX(O94,1)))))</f>
        <v>0</v>
      </c>
      <c r="P294" s="1061">
        <f>IF(AND(SUM($N118:O118)=0,P118=0),0,IF(AND(O295&gt;0,O295&lt;=ABS(O294)),-O295,IF(O295&lt;=0,-SLN(P292,0,MAX(P94,1))*(13-$L$12)/12,-SLN(P291,0,MAX(P94,1))-SLN(P292,0,MAX(P94,1)))))</f>
        <v>0</v>
      </c>
      <c r="Q294" s="844">
        <f>IF(AND(SUM($N118:P118)=0,Q118=0),0,IF(AND(P295&gt;0,P295&lt;=ABS(P294)),-P295,IF(P295&lt;=0,-SLN(Q292,0,MAX(Q94,1))*(13-$L$12)/12,-SLN(Q291,0,MAX(Q94,1))-SLN(Q292,0,MAX(Q94,1)))))</f>
        <v>0</v>
      </c>
      <c r="R294" s="844">
        <f>IF(AND(SUM($N118:Q118)=0,R118=0),0,IF(AND(Q295&gt;0,Q295&lt;=ABS(Q294)),-Q295,IF(Q295&lt;=0,-SLN(R292,0,MAX(R94,1))*(13-$L$12)/12,-SLN(R291,0,MAX(R94,1))-SLN(R292,0,MAX(R94,1)))))</f>
        <v>0</v>
      </c>
      <c r="S294" s="844">
        <f>IF(AND(SUM($N118:R118)=0,S118=0),0,IF(AND(R295&gt;0,R295&lt;=ABS(R294)),-R295,IF(R295&lt;=0,-SLN(S292,0,MAX(S94,1))*(13-$L$12)/12,-SLN(S291,0,MAX(S94,1))-SLN(S292,0,MAX(S94,1)))))</f>
        <v>0</v>
      </c>
      <c r="T294" s="844">
        <f>IF(AND(SUM($N118:S118)=0,T118=0),0,IF(AND(S295&gt;0,S295&lt;=ABS(S294)),-S295,IF(S295&lt;=0,-SLN(T292,0,MAX(T94,1))*(13-$L$12)/12,-SLN(T291,0,MAX(T94,1))-SLN(T292,0,MAX(T94,1)))))</f>
        <v>0</v>
      </c>
      <c r="U294" s="844">
        <f>IF(AND(SUM($N118:T118)=0,U118=0),0,IF(AND(T295&gt;0,T295&lt;=ABS(T294)),-T295,IF(T295&lt;=0,-SLN(U292,0,MAX(U94,1))*(13-$L$12)/12,-SLN(U291,0,MAX(U94,1))-SLN(U292,0,MAX(U94,1)))))</f>
        <v>0</v>
      </c>
      <c r="V294" s="844">
        <f>IF(AND(SUM($N118:U118)=0,V118=0),0,IF(AND(U295&gt;0,U295&lt;=ABS(U294)),-U295,IF(U295&lt;=0,-SLN(V292,0,MAX(V94,1))*(13-$L$12)/12,-SLN(V291,0,MAX(V94,1))-SLN(V292,0,MAX(V94,1)))))</f>
        <v>0</v>
      </c>
      <c r="W294" s="844">
        <f>IF(AND(SUM($N118:V118)=0,W118=0),0,IF(AND(V295&gt;0,V295&lt;=ABS(V294)),-V295,IF(V295&lt;=0,-SLN(W292,0,MAX(W94,1))*(13-$L$12)/12,-SLN(W291,0,MAX(W94,1))-SLN(W292,0,MAX(W94,1)))))</f>
        <v>0</v>
      </c>
      <c r="X294" s="844">
        <f>IF(AND(SUM($N118:W118)=0,X118=0),0,IF(AND(W295&gt;0,W295&lt;=ABS(W294)),-W295,IF(W295&lt;=0,-SLN(X292,0,MAX(X94,1))*(13-$L$12)/12,-SLN(X291,0,MAX(X94,1))-SLN(X292,0,MAX(X94,1)))))</f>
        <v>0</v>
      </c>
      <c r="Y294" s="844">
        <f>IF(AND(SUM($N118:X118)=0,Y118=0),0,IF(AND(X295&gt;0,X295&lt;=ABS(X294)),-X295,IF(X295&lt;=0,-SLN(Y292,0,MAX(Y94,1))*(13-$L$12)/12,-SLN(Y291,0,MAX(Y94,1))-SLN(Y292,0,MAX(Y94,1)))))</f>
        <v>0</v>
      </c>
      <c r="Z294" s="844">
        <f>IF(AND(SUM($N118:Y118)=0,Z118=0),0,IF(AND(Y295&gt;0,Y295&lt;=ABS(Y294)),-Y295,IF(Y295&lt;=0,-SLN(Z292,0,MAX(Z94,1))*(13-$L$12)/12,-SLN(Z291,0,MAX(Z94,1))-SLN(Z292,0,MAX(Z94,1)))))</f>
        <v>0</v>
      </c>
      <c r="AA294" s="844">
        <f>IF(AND(SUM($N118:Z118)=0,AA118=0),0,IF(AND(Z295&gt;0,Z295&lt;=ABS(Z294)),-Z295,IF(Z295&lt;=0,-SLN(AA292,0,MAX(AA94,1))*(13-$L$12)/12,-SLN(AA291,0,MAX(AA94,1))-SLN(AA292,0,MAX(AA94,1)))))</f>
        <v>0</v>
      </c>
      <c r="AB294" s="844">
        <f>IF(AND(SUM($N118:AA118)=0,AB118=0),0,IF(AND(AA295&gt;0,AA295&lt;=ABS(AA294)),-AA295,IF(AA295&lt;=0,-SLN(AB292,0,MAX(AB94,1))*(13-$L$12)/12,-SLN(AB291,0,MAX(AB94,1))-SLN(AB292,0,MAX(AB94,1)))))</f>
        <v>0</v>
      </c>
      <c r="AC294" s="844">
        <f>IF(AND(SUM($N118:AB118)=0,AC118=0),0,IF(AND(AB295&gt;0,AB295&lt;=ABS(AB294)),-AB295,IF(AB295&lt;=0,-SLN(AC292,0,MAX(AC94,1))*(13-$L$12)/12,-SLN(AC291,0,MAX(AC94,1))-SLN(AC292,0,MAX(AC94,1)))))</f>
        <v>0</v>
      </c>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row>
    <row r="295" spans="8:58" s="4" customFormat="1" ht="15.75" outlineLevel="1" x14ac:dyDescent="0.25">
      <c r="H295" s="1"/>
      <c r="I295" s="99"/>
      <c r="J295" s="102" t="s">
        <v>230</v>
      </c>
      <c r="K295" s="102"/>
      <c r="L295" s="365"/>
      <c r="M295" s="1"/>
      <c r="N295" s="860">
        <f>N293+SUM($N294:N294)</f>
        <v>0</v>
      </c>
      <c r="O295" s="860">
        <f>O293+SUM($N294:O294)</f>
        <v>0</v>
      </c>
      <c r="P295" s="860">
        <f>P293+SUM($N294:P294)</f>
        <v>0</v>
      </c>
      <c r="Q295" s="860">
        <f>Q293+SUM($N294:Q294)</f>
        <v>0</v>
      </c>
      <c r="R295" s="860">
        <f>R293+SUM($N294:R294)</f>
        <v>0</v>
      </c>
      <c r="S295" s="860">
        <f>S293+SUM($N294:S294)</f>
        <v>0</v>
      </c>
      <c r="T295" s="860">
        <f>T293+SUM($N294:T294)</f>
        <v>0</v>
      </c>
      <c r="U295" s="860">
        <f>U293+SUM($N294:U294)</f>
        <v>0</v>
      </c>
      <c r="V295" s="860">
        <f>V293+SUM($N294:V294)</f>
        <v>0</v>
      </c>
      <c r="W295" s="860">
        <f>W293+SUM($N294:W294)</f>
        <v>0</v>
      </c>
      <c r="X295" s="860">
        <f>X293+SUM($N294:X294)</f>
        <v>0</v>
      </c>
      <c r="Y295" s="860">
        <f>Y293+SUM($N294:Y294)</f>
        <v>0</v>
      </c>
      <c r="Z295" s="860">
        <f>Z293+SUM($N294:Z294)</f>
        <v>0</v>
      </c>
      <c r="AA295" s="860">
        <f>AA293+SUM($N294:AA294)</f>
        <v>0</v>
      </c>
      <c r="AB295" s="860">
        <f>AB293+SUM($N294:AB294)</f>
        <v>0</v>
      </c>
      <c r="AC295" s="860">
        <f>AC293+SUM($N294:AC294)</f>
        <v>0</v>
      </c>
      <c r="AD295" s="1"/>
      <c r="AE295" s="366"/>
      <c r="AF295" s="366"/>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row>
    <row r="296" spans="8:58" s="4" customFormat="1" ht="15.75" outlineLevel="1" x14ac:dyDescent="0.25">
      <c r="H296" s="1"/>
      <c r="I296" s="99">
        <v>3</v>
      </c>
      <c r="J296" s="67" t="s">
        <v>461</v>
      </c>
      <c r="K296" s="110"/>
      <c r="L296" s="366"/>
      <c r="M296" s="366"/>
      <c r="N296" s="863"/>
      <c r="O296" s="863"/>
      <c r="P296" s="863"/>
      <c r="Q296" s="863"/>
      <c r="R296" s="863"/>
      <c r="S296" s="863"/>
      <c r="T296" s="863"/>
      <c r="U296" s="863"/>
      <c r="V296" s="863"/>
      <c r="W296" s="863"/>
      <c r="X296" s="863"/>
      <c r="Y296" s="863"/>
      <c r="Z296" s="863"/>
      <c r="AA296" s="863"/>
      <c r="AB296" s="863"/>
      <c r="AC296" s="863"/>
      <c r="AD296" s="366"/>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row>
    <row r="297" spans="8:58" s="4" customFormat="1" ht="15.75" outlineLevel="1" x14ac:dyDescent="0.25">
      <c r="H297" s="1"/>
      <c r="I297" s="99"/>
      <c r="J297" s="110" t="s">
        <v>462</v>
      </c>
      <c r="K297" s="367" t="str">
        <f>IF(ABS(K298)&lt;1,"OK,Fully Amortized","Error, Not full amortized")</f>
        <v>OK,Fully Amortized</v>
      </c>
      <c r="L297" s="323">
        <f>MAX(N297:AC297)</f>
        <v>0</v>
      </c>
      <c r="M297" s="1"/>
      <c r="N297" s="848">
        <f>+SUM($N74:N74)</f>
        <v>0</v>
      </c>
      <c r="O297" s="848">
        <f>+SUM($N74:O74)</f>
        <v>0</v>
      </c>
      <c r="P297" s="848">
        <f>+SUM($N74:P74)</f>
        <v>0</v>
      </c>
      <c r="Q297" s="848">
        <f>+SUM($N74:Q74)</f>
        <v>0</v>
      </c>
      <c r="R297" s="848">
        <f>+SUM($N74:R74)</f>
        <v>0</v>
      </c>
      <c r="S297" s="848">
        <f>+SUM($N74:S74)</f>
        <v>0</v>
      </c>
      <c r="T297" s="848">
        <f>+SUM($N74:T74)</f>
        <v>0</v>
      </c>
      <c r="U297" s="848">
        <f>+SUM($N74:U74)</f>
        <v>0</v>
      </c>
      <c r="V297" s="848">
        <f>+SUM($N74:V74)</f>
        <v>0</v>
      </c>
      <c r="W297" s="848">
        <f>+SUM($N74:W74)</f>
        <v>0</v>
      </c>
      <c r="X297" s="848">
        <f>+SUM($N74:X74)</f>
        <v>0</v>
      </c>
      <c r="Y297" s="848">
        <f>+SUM($N74:Y74)</f>
        <v>0</v>
      </c>
      <c r="Z297" s="848">
        <f>+SUM($N74:Z74)</f>
        <v>0</v>
      </c>
      <c r="AA297" s="848">
        <f>+SUM($N74:AA74)</f>
        <v>0</v>
      </c>
      <c r="AB297" s="848">
        <f>+SUM($N74:AB74)</f>
        <v>0</v>
      </c>
      <c r="AC297" s="848">
        <f>+SUM($N74:AC74)</f>
        <v>0</v>
      </c>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row>
    <row r="298" spans="8:58" s="4" customFormat="1" ht="15.75" outlineLevel="1" x14ac:dyDescent="0.25">
      <c r="H298" s="1"/>
      <c r="I298" s="99"/>
      <c r="J298" s="110" t="s">
        <v>231</v>
      </c>
      <c r="K298" s="323">
        <f>SUM(L297:L298)</f>
        <v>0</v>
      </c>
      <c r="L298" s="323">
        <f>SUM(N298:AC298)</f>
        <v>0</v>
      </c>
      <c r="M298" s="1"/>
      <c r="N298" s="848">
        <f t="shared" ref="N298:AC298" si="185">N131+N151</f>
        <v>0</v>
      </c>
      <c r="O298" s="848">
        <f t="shared" si="185"/>
        <v>0</v>
      </c>
      <c r="P298" s="848">
        <f t="shared" si="185"/>
        <v>0</v>
      </c>
      <c r="Q298" s="848">
        <f t="shared" si="185"/>
        <v>0</v>
      </c>
      <c r="R298" s="848">
        <f t="shared" si="185"/>
        <v>0</v>
      </c>
      <c r="S298" s="848">
        <f t="shared" si="185"/>
        <v>0</v>
      </c>
      <c r="T298" s="848">
        <f t="shared" si="185"/>
        <v>0</v>
      </c>
      <c r="U298" s="848">
        <f t="shared" si="185"/>
        <v>0</v>
      </c>
      <c r="V298" s="848">
        <f t="shared" si="185"/>
        <v>0</v>
      </c>
      <c r="W298" s="848">
        <f t="shared" si="185"/>
        <v>0</v>
      </c>
      <c r="X298" s="848">
        <f t="shared" si="185"/>
        <v>0</v>
      </c>
      <c r="Y298" s="848">
        <f t="shared" si="185"/>
        <v>0</v>
      </c>
      <c r="Z298" s="848">
        <f t="shared" si="185"/>
        <v>0</v>
      </c>
      <c r="AA298" s="848">
        <f t="shared" si="185"/>
        <v>0</v>
      </c>
      <c r="AB298" s="848">
        <f t="shared" si="185"/>
        <v>0</v>
      </c>
      <c r="AC298" s="848">
        <f t="shared" si="185"/>
        <v>0</v>
      </c>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row>
    <row r="299" spans="8:58" s="4" customFormat="1" ht="15.75" outlineLevel="1" x14ac:dyDescent="0.25">
      <c r="H299" s="1"/>
      <c r="I299" s="99"/>
      <c r="J299" s="210" t="s">
        <v>232</v>
      </c>
      <c r="K299" s="210"/>
      <c r="L299" s="292"/>
      <c r="M299" s="1"/>
      <c r="N299" s="860">
        <f>N297+SUM($N298:N298)</f>
        <v>0</v>
      </c>
      <c r="O299" s="860">
        <f>O297+SUM($N298:O298)</f>
        <v>0</v>
      </c>
      <c r="P299" s="860">
        <f>P297+SUM($N298:P298)</f>
        <v>0</v>
      </c>
      <c r="Q299" s="860">
        <f>Q297+SUM($N298:Q298)</f>
        <v>0</v>
      </c>
      <c r="R299" s="860">
        <f>R297+SUM($N298:R298)</f>
        <v>0</v>
      </c>
      <c r="S299" s="860">
        <f>S297+SUM($N298:S298)</f>
        <v>0</v>
      </c>
      <c r="T299" s="860">
        <f>T297+SUM($N298:T298)</f>
        <v>0</v>
      </c>
      <c r="U299" s="860">
        <f>U297+SUM($N298:U298)</f>
        <v>0</v>
      </c>
      <c r="V299" s="860">
        <f>V297+SUM($N298:V298)</f>
        <v>0</v>
      </c>
      <c r="W299" s="860">
        <f>W297+SUM($N298:W298)</f>
        <v>0</v>
      </c>
      <c r="X299" s="860">
        <f>X297+SUM($N298:X298)</f>
        <v>0</v>
      </c>
      <c r="Y299" s="860">
        <f>Y297+SUM($N298:Y298)</f>
        <v>0</v>
      </c>
      <c r="Z299" s="860">
        <f>Z297+SUM($N298:Z298)</f>
        <v>0</v>
      </c>
      <c r="AA299" s="860">
        <f>AA297+SUM($N298:AA298)</f>
        <v>0</v>
      </c>
      <c r="AB299" s="860">
        <f>AB297+SUM($N298:AB298)</f>
        <v>0</v>
      </c>
      <c r="AC299" s="860">
        <f>AC297+SUM($N298:AC298)</f>
        <v>0</v>
      </c>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row>
    <row r="300" spans="8:58" ht="15.75" outlineLevel="1" x14ac:dyDescent="0.25">
      <c r="I300" s="99">
        <v>4</v>
      </c>
      <c r="J300" s="67" t="s">
        <v>233</v>
      </c>
      <c r="K300" s="31"/>
      <c r="L300" s="289"/>
      <c r="N300" s="838"/>
      <c r="O300" s="838"/>
      <c r="P300" s="838"/>
      <c r="Q300" s="838"/>
      <c r="R300" s="838"/>
      <c r="S300" s="838"/>
      <c r="T300" s="838"/>
      <c r="U300" s="838"/>
      <c r="V300" s="838"/>
      <c r="W300" s="838"/>
      <c r="X300" s="838"/>
      <c r="Y300" s="838"/>
      <c r="Z300" s="838"/>
      <c r="AA300" s="838"/>
      <c r="AB300" s="838"/>
      <c r="AC300" s="838"/>
      <c r="AD300" s="1"/>
      <c r="AE300" s="1"/>
    </row>
    <row r="301" spans="8:58" ht="15.75" outlineLevel="1" x14ac:dyDescent="0.25">
      <c r="I301" s="99"/>
      <c r="J301" s="31" t="s">
        <v>234</v>
      </c>
      <c r="K301" s="31"/>
      <c r="L301" s="289"/>
      <c r="N301" s="864">
        <v>0</v>
      </c>
      <c r="O301" s="844">
        <f t="shared" ref="O301:AC301" si="186">N303</f>
        <v>0</v>
      </c>
      <c r="P301" s="844">
        <f t="shared" si="186"/>
        <v>0</v>
      </c>
      <c r="Q301" s="844">
        <f t="shared" si="186"/>
        <v>0</v>
      </c>
      <c r="R301" s="844">
        <f t="shared" si="186"/>
        <v>0</v>
      </c>
      <c r="S301" s="844">
        <f t="shared" si="186"/>
        <v>0</v>
      </c>
      <c r="T301" s="844">
        <f t="shared" si="186"/>
        <v>0</v>
      </c>
      <c r="U301" s="844">
        <f t="shared" si="186"/>
        <v>0</v>
      </c>
      <c r="V301" s="844">
        <f t="shared" si="186"/>
        <v>0</v>
      </c>
      <c r="W301" s="844">
        <f t="shared" si="186"/>
        <v>0</v>
      </c>
      <c r="X301" s="844">
        <f t="shared" si="186"/>
        <v>0</v>
      </c>
      <c r="Y301" s="844">
        <f t="shared" si="186"/>
        <v>0</v>
      </c>
      <c r="Z301" s="844">
        <f t="shared" si="186"/>
        <v>0</v>
      </c>
      <c r="AA301" s="844">
        <f t="shared" si="186"/>
        <v>0</v>
      </c>
      <c r="AB301" s="844">
        <f t="shared" si="186"/>
        <v>0</v>
      </c>
      <c r="AC301" s="844">
        <f t="shared" si="186"/>
        <v>0</v>
      </c>
      <c r="AD301" s="1"/>
      <c r="AE301" s="1"/>
    </row>
    <row r="302" spans="8:58" ht="15.75" outlineLevel="1" x14ac:dyDescent="0.25">
      <c r="I302" s="99"/>
      <c r="J302" s="31" t="s">
        <v>235</v>
      </c>
      <c r="K302" s="31"/>
      <c r="L302" s="289"/>
      <c r="N302" s="844">
        <f t="shared" ref="N302:AC302" si="187">+N101</f>
        <v>0</v>
      </c>
      <c r="O302" s="844">
        <f t="shared" si="187"/>
        <v>0</v>
      </c>
      <c r="P302" s="844">
        <f t="shared" si="187"/>
        <v>0</v>
      </c>
      <c r="Q302" s="844">
        <f t="shared" si="187"/>
        <v>0</v>
      </c>
      <c r="R302" s="844">
        <f t="shared" si="187"/>
        <v>0</v>
      </c>
      <c r="S302" s="844">
        <f t="shared" si="187"/>
        <v>0</v>
      </c>
      <c r="T302" s="844">
        <f t="shared" si="187"/>
        <v>0</v>
      </c>
      <c r="U302" s="844">
        <f t="shared" si="187"/>
        <v>0</v>
      </c>
      <c r="V302" s="844">
        <f t="shared" si="187"/>
        <v>0</v>
      </c>
      <c r="W302" s="844">
        <f t="shared" si="187"/>
        <v>0</v>
      </c>
      <c r="X302" s="844">
        <f t="shared" si="187"/>
        <v>0</v>
      </c>
      <c r="Y302" s="844">
        <f t="shared" si="187"/>
        <v>0</v>
      </c>
      <c r="Z302" s="844">
        <f t="shared" si="187"/>
        <v>0</v>
      </c>
      <c r="AA302" s="844">
        <f t="shared" si="187"/>
        <v>0</v>
      </c>
      <c r="AB302" s="844">
        <f t="shared" si="187"/>
        <v>0</v>
      </c>
      <c r="AC302" s="844">
        <f t="shared" si="187"/>
        <v>0</v>
      </c>
      <c r="AD302" s="1"/>
      <c r="AE302" s="1"/>
    </row>
    <row r="303" spans="8:58" ht="15.75" outlineLevel="1" x14ac:dyDescent="0.25">
      <c r="I303" s="99"/>
      <c r="J303" s="102" t="s">
        <v>236</v>
      </c>
      <c r="K303" s="102"/>
      <c r="L303" s="365"/>
      <c r="N303" s="860">
        <f t="shared" ref="N303:V303" si="188">SUM(N301:N302)</f>
        <v>0</v>
      </c>
      <c r="O303" s="860">
        <f t="shared" si="188"/>
        <v>0</v>
      </c>
      <c r="P303" s="860">
        <f t="shared" si="188"/>
        <v>0</v>
      </c>
      <c r="Q303" s="860">
        <f t="shared" si="188"/>
        <v>0</v>
      </c>
      <c r="R303" s="860">
        <f t="shared" si="188"/>
        <v>0</v>
      </c>
      <c r="S303" s="860">
        <f t="shared" si="188"/>
        <v>0</v>
      </c>
      <c r="T303" s="860">
        <f t="shared" si="188"/>
        <v>0</v>
      </c>
      <c r="U303" s="860">
        <f t="shared" si="188"/>
        <v>0</v>
      </c>
      <c r="V303" s="860">
        <f t="shared" si="188"/>
        <v>0</v>
      </c>
      <c r="W303" s="860">
        <f t="shared" ref="W303:AC303" si="189">SUM(W301:W302)</f>
        <v>0</v>
      </c>
      <c r="X303" s="860">
        <f t="shared" si="189"/>
        <v>0</v>
      </c>
      <c r="Y303" s="860">
        <f t="shared" si="189"/>
        <v>0</v>
      </c>
      <c r="Z303" s="860">
        <f t="shared" si="189"/>
        <v>0</v>
      </c>
      <c r="AA303" s="860">
        <f t="shared" si="189"/>
        <v>0</v>
      </c>
      <c r="AB303" s="860">
        <f t="shared" si="189"/>
        <v>0</v>
      </c>
      <c r="AC303" s="860">
        <f t="shared" si="189"/>
        <v>0</v>
      </c>
      <c r="AD303" s="1"/>
      <c r="AE303" s="1"/>
    </row>
    <row r="304" spans="8:58" ht="15.75" outlineLevel="1" x14ac:dyDescent="0.25">
      <c r="I304" s="99"/>
      <c r="J304" s="31" t="s">
        <v>237</v>
      </c>
      <c r="K304" s="31"/>
      <c r="L304" s="287"/>
      <c r="N304" s="844">
        <f t="shared" ref="N304:AC304" si="190">AVERAGE(N301,N303)*N100</f>
        <v>0</v>
      </c>
      <c r="O304" s="844">
        <f t="shared" si="190"/>
        <v>0</v>
      </c>
      <c r="P304" s="844">
        <f t="shared" si="190"/>
        <v>0</v>
      </c>
      <c r="Q304" s="844">
        <f t="shared" si="190"/>
        <v>0</v>
      </c>
      <c r="R304" s="844">
        <f t="shared" si="190"/>
        <v>0</v>
      </c>
      <c r="S304" s="844">
        <f t="shared" si="190"/>
        <v>0</v>
      </c>
      <c r="T304" s="844">
        <f t="shared" si="190"/>
        <v>0</v>
      </c>
      <c r="U304" s="844">
        <f t="shared" si="190"/>
        <v>0</v>
      </c>
      <c r="V304" s="844">
        <f t="shared" si="190"/>
        <v>0</v>
      </c>
      <c r="W304" s="844">
        <f t="shared" si="190"/>
        <v>0</v>
      </c>
      <c r="X304" s="844">
        <f t="shared" si="190"/>
        <v>0</v>
      </c>
      <c r="Y304" s="844">
        <f t="shared" si="190"/>
        <v>0</v>
      </c>
      <c r="Z304" s="844">
        <f t="shared" si="190"/>
        <v>0</v>
      </c>
      <c r="AA304" s="844">
        <f t="shared" si="190"/>
        <v>0</v>
      </c>
      <c r="AB304" s="844">
        <f t="shared" si="190"/>
        <v>0</v>
      </c>
      <c r="AC304" s="844">
        <f t="shared" si="190"/>
        <v>0</v>
      </c>
      <c r="AD304" s="1"/>
      <c r="AE304" s="1"/>
    </row>
    <row r="305" spans="8:58" ht="15.75" outlineLevel="1" x14ac:dyDescent="0.25">
      <c r="I305" s="99"/>
      <c r="J305" s="31" t="s">
        <v>238</v>
      </c>
      <c r="K305" s="31"/>
      <c r="L305" s="169"/>
      <c r="N305" s="368" t="str">
        <f t="shared" ref="N305:AC305" si="191">IF(ABS(SUM((N304+N168),(N303-N213),(N295-N208),(N294-N164),N288-SUM(N200:N206)+SUM(N211:N212)))&lt;=1,"OK","Wrong")</f>
        <v>OK</v>
      </c>
      <c r="O305" s="368" t="str">
        <f t="shared" si="191"/>
        <v>OK</v>
      </c>
      <c r="P305" s="368" t="str">
        <f t="shared" si="191"/>
        <v>OK</v>
      </c>
      <c r="Q305" s="368" t="str">
        <f t="shared" si="191"/>
        <v>OK</v>
      </c>
      <c r="R305" s="368" t="str">
        <f t="shared" si="191"/>
        <v>OK</v>
      </c>
      <c r="S305" s="368" t="str">
        <f t="shared" si="191"/>
        <v>OK</v>
      </c>
      <c r="T305" s="368" t="str">
        <f t="shared" si="191"/>
        <v>OK</v>
      </c>
      <c r="U305" s="368" t="str">
        <f t="shared" si="191"/>
        <v>OK</v>
      </c>
      <c r="V305" s="368" t="str">
        <f t="shared" si="191"/>
        <v>OK</v>
      </c>
      <c r="W305" s="368" t="str">
        <f t="shared" si="191"/>
        <v>OK</v>
      </c>
      <c r="X305" s="368" t="str">
        <f t="shared" si="191"/>
        <v>OK</v>
      </c>
      <c r="Y305" s="368" t="str">
        <f t="shared" si="191"/>
        <v>OK</v>
      </c>
      <c r="Z305" s="368" t="str">
        <f t="shared" si="191"/>
        <v>OK</v>
      </c>
      <c r="AA305" s="368" t="str">
        <f t="shared" si="191"/>
        <v>OK</v>
      </c>
      <c r="AB305" s="368" t="str">
        <f t="shared" si="191"/>
        <v>OK</v>
      </c>
      <c r="AC305" s="368" t="str">
        <f t="shared" si="191"/>
        <v>OK</v>
      </c>
      <c r="AD305" s="1"/>
    </row>
    <row r="306" spans="8:58" ht="15.75" outlineLevel="1" x14ac:dyDescent="0.25">
      <c r="I306" s="99"/>
      <c r="J306" s="31"/>
      <c r="K306" s="31"/>
      <c r="L306" s="169"/>
      <c r="N306" s="31"/>
      <c r="O306" s="31"/>
      <c r="P306" s="31"/>
      <c r="Q306" s="31"/>
      <c r="R306" s="31"/>
      <c r="S306" s="31"/>
      <c r="T306" s="31"/>
      <c r="U306" s="31"/>
      <c r="V306" s="31"/>
      <c r="W306" s="31"/>
      <c r="X306" s="31"/>
      <c r="Y306" s="31"/>
      <c r="Z306" s="31"/>
      <c r="AA306" s="31"/>
      <c r="AB306" s="31"/>
      <c r="AC306" s="31"/>
      <c r="AD306" s="1"/>
      <c r="AE306" s="1"/>
      <c r="AF306" s="4"/>
      <c r="AG306" s="4"/>
      <c r="AH306" s="4"/>
      <c r="AI306" s="4"/>
      <c r="AJ306" s="4"/>
      <c r="AK306" s="4"/>
      <c r="AL306" s="4"/>
      <c r="AM306" s="4"/>
      <c r="AN306" s="4"/>
      <c r="AO306" s="4"/>
      <c r="AP306" s="4"/>
      <c r="AQ306" s="4"/>
      <c r="AR306" s="4"/>
      <c r="AS306" s="4"/>
      <c r="AT306" s="4"/>
    </row>
    <row r="307" spans="8:58" s="4" customFormat="1" ht="18" x14ac:dyDescent="0.2">
      <c r="H307" s="1"/>
      <c r="I307" s="132" t="s">
        <v>239</v>
      </c>
      <c r="J307" s="33" t="s">
        <v>240</v>
      </c>
      <c r="K307" s="33"/>
      <c r="L307" s="364"/>
      <c r="M307" s="364"/>
      <c r="N307" s="133">
        <f>N$11</f>
        <v>2024</v>
      </c>
      <c r="O307" s="133">
        <f t="shared" ref="O307:AC307" si="192">O$11</f>
        <v>2025</v>
      </c>
      <c r="P307" s="133">
        <f t="shared" si="192"/>
        <v>2026</v>
      </c>
      <c r="Q307" s="133">
        <f t="shared" si="192"/>
        <v>2027</v>
      </c>
      <c r="R307" s="133">
        <f t="shared" si="192"/>
        <v>2028</v>
      </c>
      <c r="S307" s="133">
        <f t="shared" si="192"/>
        <v>2029</v>
      </c>
      <c r="T307" s="133">
        <f t="shared" si="192"/>
        <v>2030</v>
      </c>
      <c r="U307" s="133">
        <f t="shared" si="192"/>
        <v>2031</v>
      </c>
      <c r="V307" s="133">
        <f t="shared" si="192"/>
        <v>2032</v>
      </c>
      <c r="W307" s="133">
        <f t="shared" si="192"/>
        <v>2033</v>
      </c>
      <c r="X307" s="133">
        <f t="shared" si="192"/>
        <v>2034</v>
      </c>
      <c r="Y307" s="133">
        <f t="shared" si="192"/>
        <v>2035</v>
      </c>
      <c r="Z307" s="133">
        <f t="shared" si="192"/>
        <v>2036</v>
      </c>
      <c r="AA307" s="133">
        <f t="shared" si="192"/>
        <v>2037</v>
      </c>
      <c r="AB307" s="133">
        <f t="shared" si="192"/>
        <v>2038</v>
      </c>
      <c r="AC307" s="133">
        <f t="shared" si="192"/>
        <v>2039</v>
      </c>
      <c r="AD307" s="1"/>
      <c r="AF307" s="1"/>
      <c r="AG307" s="1"/>
      <c r="AH307" s="1"/>
      <c r="AI307" s="1"/>
      <c r="AJ307" s="1"/>
      <c r="AK307" s="1"/>
      <c r="AL307" s="1"/>
      <c r="AM307" s="1"/>
      <c r="AN307" s="1"/>
      <c r="AO307" s="1"/>
      <c r="AP307" s="1"/>
      <c r="AQ307" s="1"/>
      <c r="AR307" s="1"/>
      <c r="AS307" s="1"/>
      <c r="AT307" s="1"/>
      <c r="AV307" s="1"/>
      <c r="AW307" s="1"/>
      <c r="AX307" s="1"/>
      <c r="AY307" s="1"/>
      <c r="AZ307" s="1"/>
      <c r="BA307" s="1"/>
      <c r="BB307" s="1"/>
      <c r="BC307" s="1"/>
      <c r="BD307" s="1"/>
      <c r="BE307" s="1"/>
      <c r="BF307" s="1"/>
    </row>
    <row r="308" spans="8:58" ht="15.4" customHeight="1" x14ac:dyDescent="0.3">
      <c r="I308" s="99"/>
      <c r="J308" s="369" t="s">
        <v>241</v>
      </c>
      <c r="K308" s="370"/>
      <c r="L308" s="371"/>
      <c r="N308" s="371"/>
      <c r="O308" s="371"/>
      <c r="P308" s="371"/>
      <c r="Q308" s="371"/>
      <c r="R308" s="371"/>
      <c r="S308" s="371"/>
      <c r="T308" s="371"/>
      <c r="U308" s="371"/>
      <c r="V308" s="371"/>
      <c r="W308" s="371"/>
      <c r="X308" s="371"/>
      <c r="Y308" s="371"/>
      <c r="Z308" s="371"/>
      <c r="AA308" s="371"/>
      <c r="AB308" s="371"/>
      <c r="AC308" s="371"/>
      <c r="AD308" s="1"/>
    </row>
    <row r="309" spans="8:58" ht="15.4" customHeight="1" x14ac:dyDescent="0.3">
      <c r="I309" s="99"/>
      <c r="J309" s="372" t="s">
        <v>242</v>
      </c>
      <c r="K309" s="46"/>
      <c r="L309" s="373"/>
      <c r="N309" s="951">
        <f t="shared" ref="N309:AC309" si="193">SUM(N213)</f>
        <v>0</v>
      </c>
      <c r="O309" s="951">
        <f t="shared" si="193"/>
        <v>0</v>
      </c>
      <c r="P309" s="951">
        <f t="shared" si="193"/>
        <v>0</v>
      </c>
      <c r="Q309" s="951">
        <f t="shared" si="193"/>
        <v>0</v>
      </c>
      <c r="R309" s="951">
        <f t="shared" si="193"/>
        <v>0</v>
      </c>
      <c r="S309" s="951">
        <f t="shared" si="193"/>
        <v>0</v>
      </c>
      <c r="T309" s="951">
        <f t="shared" si="193"/>
        <v>0</v>
      </c>
      <c r="U309" s="951">
        <f t="shared" si="193"/>
        <v>0</v>
      </c>
      <c r="V309" s="951">
        <f t="shared" si="193"/>
        <v>0</v>
      </c>
      <c r="W309" s="951">
        <f t="shared" si="193"/>
        <v>0</v>
      </c>
      <c r="X309" s="951">
        <f t="shared" si="193"/>
        <v>0</v>
      </c>
      <c r="Y309" s="951">
        <f t="shared" si="193"/>
        <v>0</v>
      </c>
      <c r="Z309" s="951">
        <f t="shared" si="193"/>
        <v>0</v>
      </c>
      <c r="AA309" s="951">
        <f t="shared" si="193"/>
        <v>0</v>
      </c>
      <c r="AB309" s="951">
        <f t="shared" si="193"/>
        <v>0</v>
      </c>
      <c r="AC309" s="951">
        <f t="shared" si="193"/>
        <v>0</v>
      </c>
      <c r="AD309" s="1"/>
    </row>
    <row r="310" spans="8:58" ht="15.4" customHeight="1" x14ac:dyDescent="0.3">
      <c r="I310" s="99"/>
      <c r="J310" s="372" t="s">
        <v>243</v>
      </c>
      <c r="K310" s="46"/>
      <c r="L310" s="373"/>
      <c r="N310" s="951">
        <f t="shared" ref="N310:AC310" si="194">N209-N214</f>
        <v>0</v>
      </c>
      <c r="O310" s="951">
        <f t="shared" si="194"/>
        <v>0</v>
      </c>
      <c r="P310" s="951">
        <f t="shared" si="194"/>
        <v>0</v>
      </c>
      <c r="Q310" s="951">
        <f t="shared" si="194"/>
        <v>0</v>
      </c>
      <c r="R310" s="951">
        <f t="shared" si="194"/>
        <v>0</v>
      </c>
      <c r="S310" s="951">
        <f t="shared" si="194"/>
        <v>0</v>
      </c>
      <c r="T310" s="951">
        <f t="shared" si="194"/>
        <v>0</v>
      </c>
      <c r="U310" s="951">
        <f t="shared" si="194"/>
        <v>0</v>
      </c>
      <c r="V310" s="951">
        <f t="shared" si="194"/>
        <v>0</v>
      </c>
      <c r="W310" s="951">
        <f t="shared" si="194"/>
        <v>0</v>
      </c>
      <c r="X310" s="951">
        <f t="shared" si="194"/>
        <v>0</v>
      </c>
      <c r="Y310" s="951">
        <f t="shared" si="194"/>
        <v>0</v>
      </c>
      <c r="Z310" s="951">
        <f t="shared" si="194"/>
        <v>0</v>
      </c>
      <c r="AA310" s="951">
        <f t="shared" si="194"/>
        <v>0</v>
      </c>
      <c r="AB310" s="951">
        <f t="shared" si="194"/>
        <v>0</v>
      </c>
      <c r="AC310" s="951">
        <f t="shared" si="194"/>
        <v>0</v>
      </c>
      <c r="AD310" s="1"/>
      <c r="AE310" s="376"/>
      <c r="AF310" s="66"/>
      <c r="AG310" s="66"/>
      <c r="AH310" s="66"/>
      <c r="AI310" s="66"/>
      <c r="AJ310" s="66"/>
      <c r="AK310" s="66"/>
      <c r="AL310" s="66"/>
      <c r="AM310" s="66"/>
      <c r="AN310" s="66"/>
      <c r="AO310" s="66"/>
      <c r="AP310" s="66"/>
      <c r="AQ310" s="66"/>
      <c r="AR310" s="66"/>
      <c r="AS310" s="66"/>
      <c r="AT310" s="66"/>
    </row>
    <row r="311" spans="8:58" s="66" customFormat="1" ht="15.4" customHeight="1" x14ac:dyDescent="0.3">
      <c r="I311" s="99"/>
      <c r="J311" s="372" t="s">
        <v>244</v>
      </c>
      <c r="K311" s="46"/>
      <c r="L311" s="373"/>
      <c r="N311" s="952"/>
      <c r="O311" s="952"/>
      <c r="P311" s="952"/>
      <c r="Q311" s="952"/>
      <c r="R311" s="952"/>
      <c r="S311" s="952"/>
      <c r="T311" s="952"/>
      <c r="U311" s="952"/>
      <c r="V311" s="952"/>
      <c r="W311" s="952"/>
      <c r="X311" s="952"/>
      <c r="Y311" s="952"/>
      <c r="Z311" s="952"/>
      <c r="AA311" s="952"/>
      <c r="AB311" s="952"/>
      <c r="AC311" s="952"/>
      <c r="AE311" s="4"/>
      <c r="AF311" s="1"/>
      <c r="AG311" s="1"/>
      <c r="AH311" s="1"/>
      <c r="AI311" s="1"/>
      <c r="AJ311" s="1"/>
      <c r="AK311" s="1"/>
      <c r="AL311" s="1"/>
      <c r="AM311" s="1"/>
      <c r="AN311" s="1"/>
      <c r="AO311" s="1"/>
      <c r="AP311" s="1"/>
      <c r="AQ311" s="1"/>
      <c r="AR311" s="1"/>
      <c r="AS311" s="1"/>
      <c r="AT311" s="1"/>
    </row>
    <row r="312" spans="8:58" ht="15.4" customHeight="1" x14ac:dyDescent="0.3">
      <c r="I312" s="99"/>
      <c r="J312" s="372" t="s">
        <v>245</v>
      </c>
      <c r="K312" s="46"/>
      <c r="L312" s="377"/>
      <c r="N312" s="953"/>
      <c r="O312" s="953"/>
      <c r="P312" s="953"/>
      <c r="Q312" s="953"/>
      <c r="R312" s="953"/>
      <c r="S312" s="953"/>
      <c r="T312" s="953"/>
      <c r="U312" s="953"/>
      <c r="V312" s="953"/>
      <c r="W312" s="953"/>
      <c r="X312" s="953"/>
      <c r="Y312" s="953"/>
      <c r="Z312" s="953"/>
      <c r="AA312" s="953"/>
      <c r="AB312" s="953"/>
      <c r="AC312" s="953"/>
      <c r="AD312" s="17"/>
    </row>
    <row r="313" spans="8:58" ht="15.4" customHeight="1" x14ac:dyDescent="0.3">
      <c r="I313" s="99"/>
      <c r="J313" s="372" t="s">
        <v>246</v>
      </c>
      <c r="K313" s="46"/>
      <c r="L313" s="377"/>
      <c r="N313" s="951">
        <f t="shared" ref="N313:AC313" si="195">N199</f>
        <v>0</v>
      </c>
      <c r="O313" s="951">
        <f t="shared" si="195"/>
        <v>0</v>
      </c>
      <c r="P313" s="951">
        <f t="shared" si="195"/>
        <v>0</v>
      </c>
      <c r="Q313" s="951">
        <f t="shared" si="195"/>
        <v>0</v>
      </c>
      <c r="R313" s="951">
        <f t="shared" si="195"/>
        <v>0</v>
      </c>
      <c r="S313" s="951">
        <f t="shared" si="195"/>
        <v>0</v>
      </c>
      <c r="T313" s="951">
        <f t="shared" si="195"/>
        <v>0</v>
      </c>
      <c r="U313" s="951">
        <f t="shared" si="195"/>
        <v>0</v>
      </c>
      <c r="V313" s="951">
        <f t="shared" si="195"/>
        <v>0</v>
      </c>
      <c r="W313" s="951">
        <f t="shared" si="195"/>
        <v>0</v>
      </c>
      <c r="X313" s="951">
        <f t="shared" si="195"/>
        <v>0</v>
      </c>
      <c r="Y313" s="951">
        <f t="shared" si="195"/>
        <v>0</v>
      </c>
      <c r="Z313" s="951">
        <f t="shared" si="195"/>
        <v>0</v>
      </c>
      <c r="AA313" s="951">
        <f t="shared" si="195"/>
        <v>0</v>
      </c>
      <c r="AB313" s="951">
        <f t="shared" si="195"/>
        <v>0</v>
      </c>
      <c r="AC313" s="951">
        <f t="shared" si="195"/>
        <v>0</v>
      </c>
      <c r="AD313" s="1"/>
      <c r="AE313" s="376"/>
      <c r="AF313" s="66"/>
      <c r="AG313" s="66"/>
      <c r="AH313" s="66"/>
      <c r="AI313" s="66"/>
      <c r="AJ313" s="66"/>
      <c r="AK313" s="66"/>
      <c r="AL313" s="66"/>
      <c r="AM313" s="66"/>
      <c r="AN313" s="66"/>
      <c r="AO313" s="66"/>
      <c r="AP313" s="66"/>
      <c r="AQ313" s="66"/>
      <c r="AR313" s="66"/>
      <c r="AS313" s="66"/>
      <c r="AT313" s="66"/>
    </row>
    <row r="314" spans="8:58" s="66" customFormat="1" ht="15.4" customHeight="1" x14ac:dyDescent="0.3">
      <c r="I314" s="99"/>
      <c r="J314" s="379" t="s">
        <v>247</v>
      </c>
      <c r="K314" s="47" t="s">
        <v>248</v>
      </c>
      <c r="L314" s="374">
        <f>IFERROR(AVERAGEIF(N314:AC314,"&gt;0"),)</f>
        <v>0</v>
      </c>
      <c r="N314" s="951">
        <f>N309+N310+N311-N312-N313</f>
        <v>0</v>
      </c>
      <c r="O314" s="951">
        <f t="shared" ref="O314:AC314" si="196">O309+O310+O311-O312-O313</f>
        <v>0</v>
      </c>
      <c r="P314" s="951">
        <f t="shared" si="196"/>
        <v>0</v>
      </c>
      <c r="Q314" s="951">
        <f t="shared" si="196"/>
        <v>0</v>
      </c>
      <c r="R314" s="951">
        <f t="shared" si="196"/>
        <v>0</v>
      </c>
      <c r="S314" s="951">
        <f t="shared" si="196"/>
        <v>0</v>
      </c>
      <c r="T314" s="951">
        <f t="shared" si="196"/>
        <v>0</v>
      </c>
      <c r="U314" s="951">
        <f t="shared" si="196"/>
        <v>0</v>
      </c>
      <c r="V314" s="951">
        <f t="shared" si="196"/>
        <v>0</v>
      </c>
      <c r="W314" s="951">
        <f t="shared" si="196"/>
        <v>0</v>
      </c>
      <c r="X314" s="951">
        <f t="shared" si="196"/>
        <v>0</v>
      </c>
      <c r="Y314" s="951">
        <f t="shared" si="196"/>
        <v>0</v>
      </c>
      <c r="Z314" s="951">
        <f t="shared" si="196"/>
        <v>0</v>
      </c>
      <c r="AA314" s="951">
        <f t="shared" si="196"/>
        <v>0</v>
      </c>
      <c r="AB314" s="951">
        <f t="shared" si="196"/>
        <v>0</v>
      </c>
      <c r="AC314" s="951">
        <f t="shared" si="196"/>
        <v>0</v>
      </c>
      <c r="AE314" s="4"/>
      <c r="AF314" s="1"/>
      <c r="AG314" s="1"/>
      <c r="AH314" s="1"/>
      <c r="AI314" s="1"/>
      <c r="AJ314" s="1"/>
      <c r="AK314" s="1"/>
      <c r="AL314" s="1"/>
      <c r="AM314" s="1"/>
      <c r="AN314" s="1"/>
      <c r="AO314" s="1"/>
      <c r="AP314" s="1"/>
      <c r="AQ314" s="1"/>
      <c r="AR314" s="1"/>
      <c r="AS314" s="1"/>
      <c r="AT314" s="1"/>
    </row>
    <row r="315" spans="8:58" ht="15.4" customHeight="1" x14ac:dyDescent="0.3">
      <c r="I315" s="99"/>
      <c r="J315" s="379"/>
      <c r="K315" s="47" t="s">
        <v>249</v>
      </c>
      <c r="L315" s="380">
        <f>COUNTIF(N16:AC16,"&gt;0")</f>
        <v>0</v>
      </c>
      <c r="N315" s="954"/>
      <c r="O315" s="954"/>
      <c r="P315" s="954"/>
      <c r="Q315" s="954"/>
      <c r="R315" s="954"/>
      <c r="S315" s="954"/>
      <c r="T315" s="954"/>
      <c r="U315" s="954"/>
      <c r="V315" s="954"/>
      <c r="W315" s="954"/>
      <c r="X315" s="954"/>
      <c r="Y315" s="954"/>
      <c r="Z315" s="954"/>
      <c r="AA315" s="954"/>
      <c r="AB315" s="954"/>
      <c r="AC315" s="954"/>
      <c r="AD315" s="1"/>
    </row>
    <row r="316" spans="8:58" ht="15.4" customHeight="1" x14ac:dyDescent="0.3">
      <c r="I316" s="99"/>
      <c r="J316" s="379" t="s">
        <v>250</v>
      </c>
      <c r="K316" s="46"/>
      <c r="L316" s="377"/>
      <c r="N316" s="951">
        <f t="shared" ref="N316:AC316" si="197">IFERROR((N143+N164)*(1+N170/N169),0)</f>
        <v>0</v>
      </c>
      <c r="O316" s="951">
        <f t="shared" si="197"/>
        <v>0</v>
      </c>
      <c r="P316" s="951">
        <f t="shared" si="197"/>
        <v>0</v>
      </c>
      <c r="Q316" s="951">
        <f t="shared" si="197"/>
        <v>0</v>
      </c>
      <c r="R316" s="951">
        <f t="shared" si="197"/>
        <v>0</v>
      </c>
      <c r="S316" s="951">
        <f t="shared" si="197"/>
        <v>0</v>
      </c>
      <c r="T316" s="951">
        <f t="shared" si="197"/>
        <v>0</v>
      </c>
      <c r="U316" s="951">
        <f t="shared" si="197"/>
        <v>0</v>
      </c>
      <c r="V316" s="951">
        <f t="shared" si="197"/>
        <v>0</v>
      </c>
      <c r="W316" s="951">
        <f t="shared" si="197"/>
        <v>0</v>
      </c>
      <c r="X316" s="951">
        <f t="shared" si="197"/>
        <v>0</v>
      </c>
      <c r="Y316" s="951">
        <f t="shared" si="197"/>
        <v>0</v>
      </c>
      <c r="Z316" s="951">
        <f t="shared" si="197"/>
        <v>0</v>
      </c>
      <c r="AA316" s="951">
        <f t="shared" si="197"/>
        <v>0</v>
      </c>
      <c r="AB316" s="951">
        <f t="shared" si="197"/>
        <v>0</v>
      </c>
      <c r="AC316" s="951">
        <f t="shared" si="197"/>
        <v>0</v>
      </c>
      <c r="AD316" s="1"/>
    </row>
    <row r="317" spans="8:58" ht="15.4" customHeight="1" x14ac:dyDescent="0.3">
      <c r="I317" s="99"/>
      <c r="J317" s="382"/>
      <c r="K317" s="383"/>
      <c r="L317" s="384"/>
      <c r="N317" s="31"/>
      <c r="O317" s="31"/>
      <c r="P317" s="31"/>
      <c r="Q317" s="31"/>
      <c r="R317" s="31"/>
      <c r="S317" s="31"/>
      <c r="T317" s="31"/>
      <c r="U317" s="31"/>
      <c r="V317" s="31"/>
      <c r="W317" s="31"/>
      <c r="X317" s="31"/>
      <c r="Y317" s="31"/>
      <c r="Z317" s="31"/>
      <c r="AA317" s="31"/>
      <c r="AB317" s="31"/>
      <c r="AC317" s="31"/>
      <c r="AD317" s="1"/>
      <c r="AE317" s="1"/>
    </row>
    <row r="318" spans="8:58" ht="18" outlineLevel="1" x14ac:dyDescent="0.2">
      <c r="I318" s="104" t="s">
        <v>251</v>
      </c>
      <c r="J318" s="105" t="s">
        <v>252</v>
      </c>
      <c r="K318" s="105"/>
      <c r="L318" s="105"/>
      <c r="M318" s="106"/>
      <c r="N318" s="107"/>
      <c r="O318" s="107"/>
      <c r="P318" s="107"/>
      <c r="Q318" s="107"/>
      <c r="R318" s="107"/>
      <c r="S318" s="107"/>
      <c r="T318" s="107"/>
      <c r="U318" s="107"/>
      <c r="V318" s="107"/>
      <c r="W318" s="107"/>
      <c r="X318" s="107"/>
      <c r="Y318" s="107"/>
      <c r="Z318" s="107"/>
      <c r="AA318" s="107"/>
      <c r="AB318" s="107"/>
      <c r="AC318" s="107"/>
      <c r="AD318" s="1"/>
    </row>
    <row r="319" spans="8:58" ht="15.4" customHeight="1" outlineLevel="1" x14ac:dyDescent="0.3">
      <c r="I319" s="99"/>
      <c r="J319" s="385"/>
      <c r="K319" s="31"/>
      <c r="L319" s="169"/>
      <c r="N319" s="31"/>
      <c r="O319" s="31"/>
      <c r="P319" s="31"/>
      <c r="Q319" s="31"/>
      <c r="R319" s="31"/>
      <c r="S319" s="31"/>
      <c r="T319" s="31"/>
      <c r="U319" s="31"/>
      <c r="V319" s="31"/>
      <c r="W319" s="31"/>
      <c r="X319" s="31"/>
      <c r="Y319" s="31"/>
      <c r="Z319" s="31"/>
      <c r="AA319" s="31"/>
      <c r="AB319" s="31"/>
      <c r="AC319" s="31"/>
      <c r="AD319" s="1"/>
    </row>
    <row r="320" spans="8:58" ht="18.75" outlineLevel="1" x14ac:dyDescent="0.3">
      <c r="I320" s="99"/>
      <c r="J320" s="386" t="s">
        <v>253</v>
      </c>
      <c r="K320" s="387"/>
      <c r="L320" s="388" t="s">
        <v>11</v>
      </c>
      <c r="N320" s="386">
        <v>0</v>
      </c>
      <c r="O320" s="386">
        <f t="shared" ref="O320:AC320" si="198">N320+1</f>
        <v>1</v>
      </c>
      <c r="P320" s="386">
        <f t="shared" si="198"/>
        <v>2</v>
      </c>
      <c r="Q320" s="386">
        <f t="shared" si="198"/>
        <v>3</v>
      </c>
      <c r="R320" s="386">
        <f t="shared" si="198"/>
        <v>4</v>
      </c>
      <c r="S320" s="386">
        <f t="shared" si="198"/>
        <v>5</v>
      </c>
      <c r="T320" s="386">
        <f t="shared" si="198"/>
        <v>6</v>
      </c>
      <c r="U320" s="386">
        <f t="shared" si="198"/>
        <v>7</v>
      </c>
      <c r="V320" s="386">
        <f t="shared" si="198"/>
        <v>8</v>
      </c>
      <c r="W320" s="386">
        <f t="shared" si="198"/>
        <v>9</v>
      </c>
      <c r="X320" s="386">
        <f t="shared" si="198"/>
        <v>10</v>
      </c>
      <c r="Y320" s="386">
        <f t="shared" si="198"/>
        <v>11</v>
      </c>
      <c r="Z320" s="386">
        <f t="shared" si="198"/>
        <v>12</v>
      </c>
      <c r="AA320" s="386">
        <f t="shared" si="198"/>
        <v>13</v>
      </c>
      <c r="AB320" s="386">
        <f t="shared" si="198"/>
        <v>14</v>
      </c>
      <c r="AC320" s="386">
        <f t="shared" si="198"/>
        <v>15</v>
      </c>
      <c r="AD320" s="1"/>
    </row>
    <row r="321" spans="9:54" ht="15.4" customHeight="1" outlineLevel="1" x14ac:dyDescent="0.3">
      <c r="I321" s="99"/>
      <c r="J321" s="385" t="s">
        <v>254</v>
      </c>
      <c r="K321" s="31"/>
      <c r="L321" s="289"/>
      <c r="N321" s="389">
        <f t="shared" ref="N321:AC321" si="199">1/(1+$L$98)^N320</f>
        <v>1</v>
      </c>
      <c r="O321" s="389">
        <f t="shared" si="199"/>
        <v>0.86956521739130443</v>
      </c>
      <c r="P321" s="389">
        <f t="shared" si="199"/>
        <v>0.7561436672967865</v>
      </c>
      <c r="Q321" s="389">
        <f t="shared" si="199"/>
        <v>0.65751623243198831</v>
      </c>
      <c r="R321" s="389">
        <f t="shared" si="199"/>
        <v>0.57175324559303342</v>
      </c>
      <c r="S321" s="389">
        <f t="shared" si="199"/>
        <v>0.49717673529828987</v>
      </c>
      <c r="T321" s="389">
        <f t="shared" si="199"/>
        <v>0.43232759591155645</v>
      </c>
      <c r="U321" s="389">
        <f t="shared" si="199"/>
        <v>0.37593703992309269</v>
      </c>
      <c r="V321" s="389">
        <f t="shared" si="199"/>
        <v>0.32690177384616753</v>
      </c>
      <c r="W321" s="389">
        <f t="shared" si="199"/>
        <v>0.28426241204014574</v>
      </c>
      <c r="X321" s="389">
        <f t="shared" si="199"/>
        <v>0.24718470612186585</v>
      </c>
      <c r="Y321" s="389">
        <f t="shared" si="199"/>
        <v>0.21494322271466598</v>
      </c>
      <c r="Z321" s="389">
        <f t="shared" si="199"/>
        <v>0.18690715018666609</v>
      </c>
      <c r="AA321" s="389">
        <f t="shared" si="199"/>
        <v>0.16252795668405748</v>
      </c>
      <c r="AB321" s="389">
        <f t="shared" si="199"/>
        <v>0.14132865798613695</v>
      </c>
      <c r="AC321" s="389">
        <f t="shared" si="199"/>
        <v>0.1228944852053365</v>
      </c>
      <c r="AD321" s="1"/>
    </row>
    <row r="322" spans="9:54" ht="15.4" customHeight="1" outlineLevel="1" x14ac:dyDescent="0.3">
      <c r="I322" s="99"/>
      <c r="J322" s="385" t="s">
        <v>255</v>
      </c>
      <c r="K322" s="31"/>
      <c r="L322" s="955">
        <f>SUM(N322:AC322)</f>
        <v>0</v>
      </c>
      <c r="N322" s="844">
        <f t="shared" ref="N322:AC322" si="200">N228</f>
        <v>0</v>
      </c>
      <c r="O322" s="844">
        <f t="shared" si="200"/>
        <v>0</v>
      </c>
      <c r="P322" s="844">
        <f t="shared" si="200"/>
        <v>0</v>
      </c>
      <c r="Q322" s="844">
        <f t="shared" si="200"/>
        <v>0</v>
      </c>
      <c r="R322" s="844">
        <f t="shared" si="200"/>
        <v>0</v>
      </c>
      <c r="S322" s="844">
        <f t="shared" si="200"/>
        <v>0</v>
      </c>
      <c r="T322" s="844">
        <f t="shared" si="200"/>
        <v>0</v>
      </c>
      <c r="U322" s="844">
        <f t="shared" si="200"/>
        <v>0</v>
      </c>
      <c r="V322" s="844">
        <f t="shared" si="200"/>
        <v>0</v>
      </c>
      <c r="W322" s="844">
        <f t="shared" si="200"/>
        <v>0</v>
      </c>
      <c r="X322" s="844">
        <f t="shared" si="200"/>
        <v>0</v>
      </c>
      <c r="Y322" s="844">
        <f t="shared" si="200"/>
        <v>0</v>
      </c>
      <c r="Z322" s="844">
        <f t="shared" si="200"/>
        <v>0</v>
      </c>
      <c r="AA322" s="844">
        <f t="shared" si="200"/>
        <v>0</v>
      </c>
      <c r="AB322" s="844">
        <f t="shared" si="200"/>
        <v>0</v>
      </c>
      <c r="AC322" s="844">
        <f t="shared" si="200"/>
        <v>0</v>
      </c>
      <c r="AD322" s="1"/>
      <c r="AO322" s="391"/>
      <c r="AP322" s="391"/>
      <c r="AQ322" s="391"/>
      <c r="AR322" s="391"/>
      <c r="AS322" s="391"/>
      <c r="AT322" s="391"/>
    </row>
    <row r="323" spans="9:54" ht="15.4" customHeight="1" outlineLevel="1" x14ac:dyDescent="0.3">
      <c r="I323" s="99"/>
      <c r="J323" s="385" t="s">
        <v>256</v>
      </c>
      <c r="K323" s="31"/>
      <c r="L323" s="955">
        <f>SUM(N323:AC323)</f>
        <v>0</v>
      </c>
      <c r="N323" s="844">
        <f t="shared" ref="N323:AC323" si="201">-N230+IF($L$99="No",0,-N231)</f>
        <v>0</v>
      </c>
      <c r="O323" s="844">
        <f t="shared" si="201"/>
        <v>0</v>
      </c>
      <c r="P323" s="844">
        <f t="shared" si="201"/>
        <v>0</v>
      </c>
      <c r="Q323" s="844">
        <f t="shared" si="201"/>
        <v>0</v>
      </c>
      <c r="R323" s="844">
        <f t="shared" si="201"/>
        <v>0</v>
      </c>
      <c r="S323" s="844">
        <f t="shared" si="201"/>
        <v>0</v>
      </c>
      <c r="T323" s="844">
        <f t="shared" si="201"/>
        <v>0</v>
      </c>
      <c r="U323" s="844">
        <f t="shared" si="201"/>
        <v>0</v>
      </c>
      <c r="V323" s="844">
        <f t="shared" si="201"/>
        <v>0</v>
      </c>
      <c r="W323" s="844">
        <f t="shared" si="201"/>
        <v>0</v>
      </c>
      <c r="X323" s="844">
        <f t="shared" si="201"/>
        <v>0</v>
      </c>
      <c r="Y323" s="844">
        <f t="shared" si="201"/>
        <v>0</v>
      </c>
      <c r="Z323" s="844">
        <f t="shared" si="201"/>
        <v>0</v>
      </c>
      <c r="AA323" s="844">
        <f t="shared" si="201"/>
        <v>0</v>
      </c>
      <c r="AB323" s="844">
        <f t="shared" si="201"/>
        <v>0</v>
      </c>
      <c r="AC323" s="844">
        <f t="shared" si="201"/>
        <v>0</v>
      </c>
      <c r="AD323" s="1"/>
      <c r="AO323" s="391"/>
      <c r="AP323" s="391"/>
      <c r="AQ323" s="391"/>
      <c r="AR323" s="391"/>
      <c r="AS323" s="391"/>
      <c r="AT323" s="391"/>
      <c r="AU323" s="391"/>
      <c r="AV323" s="391"/>
      <c r="AW323" s="391"/>
      <c r="AX323" s="391"/>
      <c r="AY323" s="391"/>
      <c r="AZ323" s="391"/>
      <c r="BA323" s="391"/>
      <c r="BB323" s="391"/>
    </row>
    <row r="324" spans="9:54" ht="15.4" customHeight="1" outlineLevel="1" x14ac:dyDescent="0.3">
      <c r="I324" s="99"/>
      <c r="J324" s="385" t="s">
        <v>257</v>
      </c>
      <c r="K324" s="31"/>
      <c r="L324" s="955">
        <f>SUM(N324:AC324)</f>
        <v>0</v>
      </c>
      <c r="N324" s="844">
        <f>N322+N323</f>
        <v>0</v>
      </c>
      <c r="O324" s="844">
        <f t="shared" ref="O324:AC324" si="202">O322+O323</f>
        <v>0</v>
      </c>
      <c r="P324" s="844">
        <f t="shared" si="202"/>
        <v>0</v>
      </c>
      <c r="Q324" s="844">
        <f t="shared" si="202"/>
        <v>0</v>
      </c>
      <c r="R324" s="844">
        <f t="shared" si="202"/>
        <v>0</v>
      </c>
      <c r="S324" s="844">
        <f t="shared" si="202"/>
        <v>0</v>
      </c>
      <c r="T324" s="844">
        <f t="shared" si="202"/>
        <v>0</v>
      </c>
      <c r="U324" s="844">
        <f t="shared" si="202"/>
        <v>0</v>
      </c>
      <c r="V324" s="844">
        <f t="shared" si="202"/>
        <v>0</v>
      </c>
      <c r="W324" s="844">
        <f t="shared" si="202"/>
        <v>0</v>
      </c>
      <c r="X324" s="844">
        <f t="shared" si="202"/>
        <v>0</v>
      </c>
      <c r="Y324" s="844">
        <f t="shared" si="202"/>
        <v>0</v>
      </c>
      <c r="Z324" s="844">
        <f t="shared" si="202"/>
        <v>0</v>
      </c>
      <c r="AA324" s="844">
        <f t="shared" si="202"/>
        <v>0</v>
      </c>
      <c r="AB324" s="844">
        <f t="shared" si="202"/>
        <v>0</v>
      </c>
      <c r="AC324" s="844">
        <f t="shared" si="202"/>
        <v>0</v>
      </c>
      <c r="AD324" s="1"/>
      <c r="AO324" s="391"/>
      <c r="AP324" s="391"/>
      <c r="AQ324" s="391"/>
      <c r="AR324" s="391"/>
      <c r="AS324" s="391"/>
      <c r="AT324" s="391"/>
      <c r="AU324" s="391"/>
      <c r="AV324" s="391"/>
      <c r="AW324" s="391"/>
      <c r="AX324" s="391"/>
      <c r="AY324" s="391"/>
      <c r="AZ324" s="391"/>
      <c r="BA324" s="391"/>
      <c r="BB324" s="391"/>
    </row>
    <row r="325" spans="9:54" ht="15.4" customHeight="1" outlineLevel="1" x14ac:dyDescent="0.3">
      <c r="I325" s="99"/>
      <c r="J325" s="385" t="s">
        <v>258</v>
      </c>
      <c r="K325" s="31"/>
      <c r="L325" s="956"/>
      <c r="N325" s="844">
        <f>SUM($N324:N324)</f>
        <v>0</v>
      </c>
      <c r="O325" s="844">
        <f>SUM($N324:O324)</f>
        <v>0</v>
      </c>
      <c r="P325" s="844">
        <f>SUM($N324:P324)</f>
        <v>0</v>
      </c>
      <c r="Q325" s="844">
        <f>SUM($N324:Q324)</f>
        <v>0</v>
      </c>
      <c r="R325" s="844">
        <f>SUM($N324:R324)</f>
        <v>0</v>
      </c>
      <c r="S325" s="844">
        <f>SUM($N324:S324)</f>
        <v>0</v>
      </c>
      <c r="T325" s="844">
        <f>SUM($N324:T324)</f>
        <v>0</v>
      </c>
      <c r="U325" s="844">
        <f>SUM($N324:U324)</f>
        <v>0</v>
      </c>
      <c r="V325" s="844">
        <f>SUM($N324:V324)</f>
        <v>0</v>
      </c>
      <c r="W325" s="844">
        <f>SUM($N324:W324)</f>
        <v>0</v>
      </c>
      <c r="X325" s="844">
        <f>SUM($N324:X324)</f>
        <v>0</v>
      </c>
      <c r="Y325" s="844">
        <f>SUM($N324:Y324)</f>
        <v>0</v>
      </c>
      <c r="Z325" s="844">
        <f>SUM($N324:Z324)</f>
        <v>0</v>
      </c>
      <c r="AA325" s="844">
        <f>SUM($N324:AA324)</f>
        <v>0</v>
      </c>
      <c r="AB325" s="844">
        <f>SUM($N324:AB324)</f>
        <v>0</v>
      </c>
      <c r="AC325" s="844">
        <f>SUM($N324:AC324)</f>
        <v>0</v>
      </c>
      <c r="AD325" s="1"/>
      <c r="AO325" s="391"/>
      <c r="AP325" s="391"/>
      <c r="AQ325" s="391"/>
      <c r="AR325" s="391"/>
      <c r="AS325" s="391"/>
      <c r="AT325" s="391"/>
      <c r="AU325" s="391"/>
      <c r="AV325" s="391"/>
      <c r="AW325" s="391"/>
      <c r="AX325" s="391"/>
      <c r="AY325" s="391"/>
      <c r="AZ325" s="391"/>
      <c r="BA325" s="391"/>
      <c r="BB325" s="391"/>
    </row>
    <row r="326" spans="9:54" ht="15.4" customHeight="1" outlineLevel="1" x14ac:dyDescent="0.3">
      <c r="I326" s="99"/>
      <c r="J326" s="385" t="s">
        <v>259</v>
      </c>
      <c r="K326" s="31"/>
      <c r="L326" s="957">
        <f>SUM(N326:AC326)</f>
        <v>0</v>
      </c>
      <c r="N326" s="394">
        <f>IFERROR(IF(N325&lt;-L16*0.05%,$P$348,-N323/N322),)</f>
        <v>0</v>
      </c>
      <c r="O326" s="395">
        <f>IFERROR(IF(O325&lt;-$L$16*0.05%,1,IF(N325&gt;0,0,(O324-O325)/O324)),)</f>
        <v>0</v>
      </c>
      <c r="P326" s="395">
        <f>IFERROR(IF(P325&lt;-$L$16*0.05%,1,IF(O325&gt;0,0,(P324-P325)/P324)),)</f>
        <v>0</v>
      </c>
      <c r="Q326" s="395">
        <f t="shared" ref="Q326:AC326" si="203">IFERROR(IF(Q325&lt;-$L$16*0.05%,1,IF(P325&gt;0,0,(Q324-Q325)/Q324)),)</f>
        <v>0</v>
      </c>
      <c r="R326" s="395">
        <f t="shared" si="203"/>
        <v>0</v>
      </c>
      <c r="S326" s="395">
        <f t="shared" si="203"/>
        <v>0</v>
      </c>
      <c r="T326" s="395">
        <f t="shared" si="203"/>
        <v>0</v>
      </c>
      <c r="U326" s="395">
        <f t="shared" si="203"/>
        <v>0</v>
      </c>
      <c r="V326" s="395">
        <f t="shared" si="203"/>
        <v>0</v>
      </c>
      <c r="W326" s="395">
        <f t="shared" si="203"/>
        <v>0</v>
      </c>
      <c r="X326" s="395">
        <f t="shared" si="203"/>
        <v>0</v>
      </c>
      <c r="Y326" s="395">
        <f t="shared" si="203"/>
        <v>0</v>
      </c>
      <c r="Z326" s="395">
        <f t="shared" si="203"/>
        <v>0</v>
      </c>
      <c r="AA326" s="395">
        <f t="shared" si="203"/>
        <v>0</v>
      </c>
      <c r="AB326" s="395">
        <f t="shared" si="203"/>
        <v>0</v>
      </c>
      <c r="AC326" s="395">
        <f t="shared" si="203"/>
        <v>0</v>
      </c>
      <c r="AD326" s="1"/>
      <c r="AO326" s="391"/>
      <c r="AP326" s="391"/>
      <c r="AQ326" s="391"/>
      <c r="AR326" s="391"/>
      <c r="AS326" s="391"/>
      <c r="AT326" s="391"/>
      <c r="AU326" s="391"/>
      <c r="AV326" s="391"/>
      <c r="AW326" s="391"/>
      <c r="AX326" s="391"/>
      <c r="AY326" s="391"/>
      <c r="AZ326" s="391"/>
      <c r="BA326" s="391"/>
      <c r="BB326" s="391"/>
    </row>
    <row r="327" spans="9:54" ht="15.4" customHeight="1" outlineLevel="1" x14ac:dyDescent="0.3">
      <c r="I327" s="99"/>
      <c r="J327" s="385" t="s">
        <v>260</v>
      </c>
      <c r="K327" s="31"/>
      <c r="L327" s="955">
        <f>SUM(N327:AC327)</f>
        <v>0</v>
      </c>
      <c r="N327" s="844">
        <f t="shared" ref="N327:AC327" si="204">N324*N321</f>
        <v>0</v>
      </c>
      <c r="O327" s="844">
        <f t="shared" si="204"/>
        <v>0</v>
      </c>
      <c r="P327" s="844">
        <f t="shared" si="204"/>
        <v>0</v>
      </c>
      <c r="Q327" s="844">
        <f t="shared" si="204"/>
        <v>0</v>
      </c>
      <c r="R327" s="844">
        <f t="shared" si="204"/>
        <v>0</v>
      </c>
      <c r="S327" s="844">
        <f t="shared" si="204"/>
        <v>0</v>
      </c>
      <c r="T327" s="844">
        <f t="shared" si="204"/>
        <v>0</v>
      </c>
      <c r="U327" s="844">
        <f t="shared" si="204"/>
        <v>0</v>
      </c>
      <c r="V327" s="844">
        <f t="shared" si="204"/>
        <v>0</v>
      </c>
      <c r="W327" s="844">
        <f t="shared" si="204"/>
        <v>0</v>
      </c>
      <c r="X327" s="844">
        <f t="shared" si="204"/>
        <v>0</v>
      </c>
      <c r="Y327" s="844">
        <f t="shared" si="204"/>
        <v>0</v>
      </c>
      <c r="Z327" s="844">
        <f t="shared" si="204"/>
        <v>0</v>
      </c>
      <c r="AA327" s="844">
        <f t="shared" si="204"/>
        <v>0</v>
      </c>
      <c r="AB327" s="844">
        <f t="shared" si="204"/>
        <v>0</v>
      </c>
      <c r="AC327" s="844">
        <f t="shared" si="204"/>
        <v>0</v>
      </c>
      <c r="AD327" s="1"/>
      <c r="AO327" s="391"/>
      <c r="AP327" s="391"/>
      <c r="AQ327" s="391"/>
      <c r="AR327" s="391"/>
      <c r="AS327" s="391"/>
      <c r="AT327" s="391"/>
      <c r="AU327" s="391"/>
      <c r="AV327" s="391"/>
      <c r="AW327" s="391"/>
      <c r="AX327" s="391"/>
      <c r="AY327" s="391"/>
      <c r="AZ327" s="391"/>
      <c r="BA327" s="391"/>
      <c r="BB327" s="391"/>
    </row>
    <row r="328" spans="9:54" ht="13.5" customHeight="1" outlineLevel="1" x14ac:dyDescent="0.3">
      <c r="I328" s="99"/>
      <c r="J328" s="385" t="s">
        <v>261</v>
      </c>
      <c r="K328" s="31"/>
      <c r="L328" s="956"/>
      <c r="N328" s="844">
        <f>SUM($N327:N327)</f>
        <v>0</v>
      </c>
      <c r="O328" s="844">
        <f>SUM($N327:O327)</f>
        <v>0</v>
      </c>
      <c r="P328" s="844">
        <f>SUM($N327:P327)</f>
        <v>0</v>
      </c>
      <c r="Q328" s="844">
        <f>SUM($N327:Q327)</f>
        <v>0</v>
      </c>
      <c r="R328" s="844">
        <f>SUM($N327:R327)</f>
        <v>0</v>
      </c>
      <c r="S328" s="844">
        <f>SUM($N327:S327)</f>
        <v>0</v>
      </c>
      <c r="T328" s="844">
        <f>SUM($N327:T327)</f>
        <v>0</v>
      </c>
      <c r="U328" s="844">
        <f>SUM($N327:U327)</f>
        <v>0</v>
      </c>
      <c r="V328" s="844">
        <f>SUM($N327:V327)</f>
        <v>0</v>
      </c>
      <c r="W328" s="844">
        <f>SUM($N327:W327)</f>
        <v>0</v>
      </c>
      <c r="X328" s="844">
        <f>SUM($N327:X327)</f>
        <v>0</v>
      </c>
      <c r="Y328" s="844">
        <f>SUM($N327:Y327)</f>
        <v>0</v>
      </c>
      <c r="Z328" s="844">
        <f>SUM($N327:Z327)</f>
        <v>0</v>
      </c>
      <c r="AA328" s="844">
        <f>SUM($N327:AA327)</f>
        <v>0</v>
      </c>
      <c r="AB328" s="844">
        <f>SUM($N327:AB327)</f>
        <v>0</v>
      </c>
      <c r="AC328" s="844">
        <f>SUM($N327:AC327)</f>
        <v>0</v>
      </c>
      <c r="AD328" s="1"/>
      <c r="AO328" s="391"/>
      <c r="AP328" s="391"/>
      <c r="AQ328" s="391"/>
      <c r="AR328" s="391"/>
      <c r="AS328" s="391"/>
      <c r="AT328" s="391"/>
      <c r="AU328" s="391"/>
      <c r="AV328" s="391"/>
      <c r="AW328" s="391"/>
      <c r="AX328" s="391"/>
      <c r="AY328" s="391"/>
      <c r="AZ328" s="391"/>
      <c r="BA328" s="391"/>
      <c r="BB328" s="391"/>
    </row>
    <row r="329" spans="9:54" ht="15.4" customHeight="1" outlineLevel="1" x14ac:dyDescent="0.3">
      <c r="I329" s="99"/>
      <c r="J329" s="385" t="s">
        <v>262</v>
      </c>
      <c r="K329" s="31"/>
      <c r="L329" s="957">
        <f>SUM(N329:AC329)</f>
        <v>0</v>
      </c>
      <c r="N329" s="394">
        <f>IFERROR(IF(N325&lt;-L16*0.05%,$P$348,-N323/N322),)</f>
        <v>0</v>
      </c>
      <c r="O329" s="395">
        <f t="shared" ref="O329:AC329" si="205">IFERROR(IF(O328=N328,0,IF(O328&lt;0,1,IF(N328&gt;0,0,(O327-O328)/O327))),)</f>
        <v>0</v>
      </c>
      <c r="P329" s="395">
        <f t="shared" si="205"/>
        <v>0</v>
      </c>
      <c r="Q329" s="395">
        <f t="shared" si="205"/>
        <v>0</v>
      </c>
      <c r="R329" s="395">
        <f t="shared" si="205"/>
        <v>0</v>
      </c>
      <c r="S329" s="395">
        <f t="shared" si="205"/>
        <v>0</v>
      </c>
      <c r="T329" s="395">
        <f t="shared" si="205"/>
        <v>0</v>
      </c>
      <c r="U329" s="395">
        <f t="shared" si="205"/>
        <v>0</v>
      </c>
      <c r="V329" s="395">
        <f t="shared" si="205"/>
        <v>0</v>
      </c>
      <c r="W329" s="395">
        <f t="shared" si="205"/>
        <v>0</v>
      </c>
      <c r="X329" s="395">
        <f t="shared" si="205"/>
        <v>0</v>
      </c>
      <c r="Y329" s="395">
        <f t="shared" si="205"/>
        <v>0</v>
      </c>
      <c r="Z329" s="395">
        <f t="shared" si="205"/>
        <v>0</v>
      </c>
      <c r="AA329" s="395">
        <f t="shared" si="205"/>
        <v>0</v>
      </c>
      <c r="AB329" s="395">
        <f t="shared" si="205"/>
        <v>0</v>
      </c>
      <c r="AC329" s="395">
        <f t="shared" si="205"/>
        <v>0</v>
      </c>
      <c r="AD329" s="1"/>
      <c r="AO329" s="391"/>
      <c r="AP329" s="391"/>
      <c r="AQ329" s="391"/>
      <c r="AR329" s="391"/>
      <c r="AS329" s="391"/>
      <c r="AT329" s="391"/>
      <c r="AU329" s="391"/>
      <c r="AV329" s="391"/>
      <c r="AW329" s="391"/>
      <c r="AX329" s="391"/>
      <c r="AY329" s="391"/>
      <c r="AZ329" s="391"/>
      <c r="BA329" s="391"/>
      <c r="BB329" s="391"/>
    </row>
    <row r="330" spans="9:54" ht="15.4" customHeight="1" outlineLevel="1" x14ac:dyDescent="0.3">
      <c r="I330" s="99"/>
      <c r="J330" s="385" t="s">
        <v>263</v>
      </c>
      <c r="K330" s="31"/>
      <c r="L330" s="958">
        <f>L324-L327</f>
        <v>0</v>
      </c>
      <c r="N330" s="959">
        <f t="shared" ref="N330:AC330" si="206">N324-N327</f>
        <v>0</v>
      </c>
      <c r="O330" s="959">
        <f t="shared" si="206"/>
        <v>0</v>
      </c>
      <c r="P330" s="959">
        <f t="shared" si="206"/>
        <v>0</v>
      </c>
      <c r="Q330" s="959">
        <f t="shared" si="206"/>
        <v>0</v>
      </c>
      <c r="R330" s="959">
        <f t="shared" si="206"/>
        <v>0</v>
      </c>
      <c r="S330" s="959">
        <f t="shared" si="206"/>
        <v>0</v>
      </c>
      <c r="T330" s="959">
        <f t="shared" si="206"/>
        <v>0</v>
      </c>
      <c r="U330" s="959">
        <f t="shared" si="206"/>
        <v>0</v>
      </c>
      <c r="V330" s="959">
        <f t="shared" si="206"/>
        <v>0</v>
      </c>
      <c r="W330" s="959">
        <f t="shared" si="206"/>
        <v>0</v>
      </c>
      <c r="X330" s="959">
        <f t="shared" si="206"/>
        <v>0</v>
      </c>
      <c r="Y330" s="959">
        <f t="shared" si="206"/>
        <v>0</v>
      </c>
      <c r="Z330" s="959">
        <f t="shared" si="206"/>
        <v>0</v>
      </c>
      <c r="AA330" s="959">
        <f t="shared" si="206"/>
        <v>0</v>
      </c>
      <c r="AB330" s="959">
        <f t="shared" si="206"/>
        <v>0</v>
      </c>
      <c r="AC330" s="959">
        <f t="shared" si="206"/>
        <v>0</v>
      </c>
      <c r="AD330" s="1"/>
      <c r="AO330" s="391"/>
      <c r="AP330" s="391"/>
      <c r="AQ330" s="391"/>
      <c r="AR330" s="391"/>
      <c r="AS330" s="391"/>
      <c r="AT330" s="391"/>
      <c r="AU330" s="391"/>
      <c r="AV330" s="391"/>
      <c r="AW330" s="391"/>
      <c r="AX330" s="391"/>
      <c r="AY330" s="391"/>
      <c r="AZ330" s="391"/>
      <c r="BA330" s="391"/>
      <c r="BB330" s="391"/>
    </row>
    <row r="331" spans="9:54" outlineLevel="1" x14ac:dyDescent="0.3">
      <c r="I331" s="99"/>
      <c r="J331" s="385"/>
      <c r="K331" s="31"/>
      <c r="L331" s="398"/>
      <c r="N331" s="399"/>
      <c r="O331" s="399"/>
      <c r="P331" s="399"/>
      <c r="Q331" s="399"/>
      <c r="R331" s="399"/>
      <c r="S331" s="399"/>
      <c r="T331" s="399"/>
      <c r="U331" s="399"/>
      <c r="V331" s="399"/>
      <c r="W331" s="399"/>
      <c r="X331" s="399"/>
      <c r="Y331" s="399"/>
      <c r="Z331" s="399"/>
      <c r="AA331" s="399"/>
      <c r="AB331" s="399"/>
      <c r="AC331" s="399"/>
      <c r="AD331" s="399"/>
      <c r="AO331" s="391"/>
      <c r="AP331" s="391"/>
      <c r="AQ331" s="391"/>
      <c r="AR331" s="391"/>
      <c r="AS331" s="391"/>
      <c r="AT331" s="391"/>
      <c r="AU331" s="391"/>
      <c r="AV331" s="391"/>
      <c r="AW331" s="391"/>
      <c r="AX331" s="391"/>
      <c r="AY331" s="391"/>
      <c r="AZ331" s="391"/>
      <c r="BA331" s="391"/>
      <c r="BB331" s="391"/>
    </row>
    <row r="332" spans="9:54" outlineLevel="1" x14ac:dyDescent="0.3">
      <c r="I332" s="99"/>
      <c r="J332" s="385"/>
      <c r="K332" s="31"/>
      <c r="L332" s="169"/>
      <c r="O332" s="400" t="s">
        <v>371</v>
      </c>
      <c r="P332" s="31"/>
      <c r="Q332" s="31"/>
      <c r="R332" s="31"/>
      <c r="S332" s="31"/>
      <c r="T332" s="31"/>
      <c r="U332" s="31"/>
      <c r="V332" s="31"/>
      <c r="W332" s="31"/>
      <c r="X332" s="31"/>
      <c r="Y332" s="31"/>
      <c r="Z332" s="31"/>
      <c r="AA332" s="31"/>
      <c r="AB332" s="31"/>
      <c r="AC332" s="31"/>
      <c r="AD332" s="1"/>
      <c r="AO332" s="391"/>
      <c r="AP332" s="391"/>
      <c r="AQ332" s="391"/>
      <c r="AR332" s="391"/>
      <c r="AS332" s="391"/>
      <c r="AT332" s="391"/>
      <c r="AU332" s="391"/>
      <c r="AV332" s="391"/>
      <c r="AW332" s="391"/>
      <c r="AX332" s="391"/>
      <c r="AY332" s="391"/>
      <c r="AZ332" s="391"/>
      <c r="BA332" s="391"/>
      <c r="BB332" s="391"/>
    </row>
    <row r="333" spans="9:54" outlineLevel="1" x14ac:dyDescent="0.3">
      <c r="I333" s="99"/>
      <c r="J333" s="401" t="s">
        <v>264</v>
      </c>
      <c r="K333" s="402"/>
      <c r="L333" s="960">
        <f>SUM(M327:AC327)</f>
        <v>0</v>
      </c>
      <c r="N333" s="31"/>
      <c r="O333" s="404" t="s">
        <v>265</v>
      </c>
      <c r="P333" s="405" t="s">
        <v>372</v>
      </c>
      <c r="Q333" s="406"/>
      <c r="R333" s="407"/>
      <c r="S333" s="407"/>
      <c r="T333" s="407"/>
      <c r="U333" s="408"/>
      <c r="V333" s="31"/>
      <c r="AD333" s="1"/>
      <c r="AO333" s="391"/>
      <c r="AP333" s="391"/>
      <c r="AQ333" s="391"/>
      <c r="AR333" s="391"/>
      <c r="AS333" s="391"/>
      <c r="AT333" s="391"/>
      <c r="AU333" s="391"/>
      <c r="AV333" s="391"/>
      <c r="AW333" s="391"/>
      <c r="AX333" s="391"/>
      <c r="AY333" s="391"/>
      <c r="AZ333" s="391"/>
      <c r="BA333" s="391"/>
      <c r="BB333" s="391"/>
    </row>
    <row r="334" spans="9:54" outlineLevel="1" x14ac:dyDescent="0.3">
      <c r="I334" s="99"/>
      <c r="J334" s="401" t="s">
        <v>267</v>
      </c>
      <c r="K334" s="402"/>
      <c r="L334" s="409">
        <f>IFERROR(IRR(N324:AC324,12%),0)</f>
        <v>0</v>
      </c>
      <c r="N334" s="31"/>
      <c r="O334" s="410">
        <v>1</v>
      </c>
      <c r="P334" s="467">
        <f>ROUND(10/12,1)</f>
        <v>0.8</v>
      </c>
      <c r="Q334" s="468" t="s">
        <v>268</v>
      </c>
      <c r="R334" s="411"/>
      <c r="S334" s="411"/>
      <c r="T334" s="411"/>
      <c r="U334" s="412"/>
      <c r="V334" s="31"/>
      <c r="AD334" s="1"/>
      <c r="AO334" s="391"/>
      <c r="AP334" s="391"/>
      <c r="AQ334" s="391"/>
      <c r="AR334" s="391"/>
      <c r="AS334" s="391"/>
      <c r="AT334" s="391"/>
      <c r="AU334" s="391"/>
      <c r="AV334" s="391"/>
      <c r="AW334" s="391"/>
      <c r="AX334" s="391"/>
      <c r="AY334" s="391"/>
      <c r="AZ334" s="391"/>
      <c r="BA334" s="391"/>
      <c r="BB334" s="391"/>
    </row>
    <row r="335" spans="9:54" outlineLevel="1" x14ac:dyDescent="0.3">
      <c r="I335" s="99"/>
      <c r="J335" s="401" t="s">
        <v>269</v>
      </c>
      <c r="K335" s="402"/>
      <c r="L335" s="961">
        <f>IF(AC325&lt;0,"No Full Recovery",SUM(N326:AC326))</f>
        <v>0</v>
      </c>
      <c r="N335" s="31"/>
      <c r="O335" s="469">
        <v>2</v>
      </c>
      <c r="P335" s="467">
        <f>ROUND(9/12,1)</f>
        <v>0.8</v>
      </c>
      <c r="Q335" s="468" t="s">
        <v>268</v>
      </c>
      <c r="R335" s="411"/>
      <c r="S335" s="411"/>
      <c r="T335" s="411"/>
      <c r="U335" s="412"/>
      <c r="V335" s="31"/>
      <c r="AD335" s="1"/>
      <c r="AO335" s="391"/>
      <c r="AP335" s="391"/>
      <c r="AQ335" s="391"/>
      <c r="AR335" s="391"/>
      <c r="AS335" s="391"/>
      <c r="AT335" s="391"/>
      <c r="AU335" s="391"/>
      <c r="AV335" s="391"/>
      <c r="AW335" s="391"/>
      <c r="AX335" s="391"/>
      <c r="AY335" s="391"/>
      <c r="AZ335" s="391"/>
      <c r="BA335" s="391"/>
      <c r="BB335" s="391"/>
    </row>
    <row r="336" spans="9:54" ht="15.75" outlineLevel="1" x14ac:dyDescent="0.25">
      <c r="I336" s="99"/>
      <c r="J336" s="31"/>
      <c r="K336" s="31"/>
      <c r="L336" s="31"/>
      <c r="M336" s="31"/>
      <c r="N336" s="31"/>
      <c r="O336" s="410">
        <v>3</v>
      </c>
      <c r="P336" s="467">
        <f>ROUND(8/12,1)</f>
        <v>0.7</v>
      </c>
      <c r="Q336" s="468" t="s">
        <v>268</v>
      </c>
      <c r="R336" s="411"/>
      <c r="S336" s="411"/>
      <c r="T336" s="411"/>
      <c r="U336" s="412"/>
      <c r="V336" s="31"/>
      <c r="AD336" s="1"/>
      <c r="AO336" s="391"/>
      <c r="AP336" s="391"/>
      <c r="AQ336" s="391"/>
      <c r="AR336" s="391"/>
      <c r="AS336" s="391"/>
      <c r="AT336" s="391"/>
      <c r="AU336" s="391"/>
      <c r="AV336" s="391"/>
      <c r="AW336" s="391"/>
      <c r="AX336" s="391"/>
      <c r="AY336" s="391"/>
      <c r="AZ336" s="391"/>
      <c r="BA336" s="391"/>
      <c r="BB336" s="391"/>
    </row>
    <row r="337" spans="9:54" ht="15.75" outlineLevel="1" x14ac:dyDescent="0.25">
      <c r="I337" s="99"/>
      <c r="J337" s="31"/>
      <c r="K337" s="31"/>
      <c r="L337" s="31"/>
      <c r="M337" s="31"/>
      <c r="N337" s="31"/>
      <c r="O337" s="410">
        <v>4</v>
      </c>
      <c r="P337" s="467">
        <f>ROUND(7/12,1)</f>
        <v>0.6</v>
      </c>
      <c r="Q337" s="468" t="s">
        <v>270</v>
      </c>
      <c r="R337" s="414"/>
      <c r="S337" s="411"/>
      <c r="T337" s="411"/>
      <c r="U337" s="412"/>
      <c r="V337" s="31"/>
      <c r="AD337" s="1"/>
      <c r="AO337" s="391"/>
      <c r="AP337" s="391"/>
      <c r="AQ337" s="391"/>
      <c r="AR337" s="391"/>
      <c r="AS337" s="391"/>
      <c r="AT337" s="391"/>
      <c r="AU337" s="391"/>
      <c r="AV337" s="391"/>
      <c r="AW337" s="391"/>
      <c r="AX337" s="391"/>
      <c r="AY337" s="391"/>
      <c r="AZ337" s="391"/>
      <c r="BA337" s="391"/>
      <c r="BB337" s="391"/>
    </row>
    <row r="338" spans="9:54" ht="15.75" outlineLevel="1" x14ac:dyDescent="0.25">
      <c r="I338" s="99"/>
      <c r="J338" s="31"/>
      <c r="K338" s="31"/>
      <c r="L338" s="31"/>
      <c r="M338" s="31"/>
      <c r="N338" s="31"/>
      <c r="O338" s="469">
        <v>5</v>
      </c>
      <c r="P338" s="467">
        <f>ROUND(7/12,1)</f>
        <v>0.6</v>
      </c>
      <c r="Q338" s="468" t="s">
        <v>270</v>
      </c>
      <c r="R338" s="414"/>
      <c r="S338" s="411"/>
      <c r="T338" s="411"/>
      <c r="U338" s="412"/>
      <c r="V338" s="31"/>
      <c r="AD338" s="1"/>
      <c r="AO338" s="391"/>
      <c r="AP338" s="391"/>
      <c r="AQ338" s="391"/>
      <c r="AR338" s="391"/>
      <c r="AS338" s="391"/>
      <c r="AT338" s="391"/>
      <c r="AU338" s="391"/>
      <c r="AV338" s="391"/>
      <c r="AW338" s="391"/>
      <c r="AX338" s="391"/>
      <c r="AY338" s="391"/>
      <c r="AZ338" s="391"/>
      <c r="BA338" s="391"/>
      <c r="BB338" s="391"/>
    </row>
    <row r="339" spans="9:54" ht="15.75" outlineLevel="1" x14ac:dyDescent="0.25">
      <c r="I339" s="99"/>
      <c r="J339" s="31"/>
      <c r="K339" s="31"/>
      <c r="L339" s="31"/>
      <c r="M339" s="31"/>
      <c r="N339" s="31"/>
      <c r="O339" s="410">
        <v>6</v>
      </c>
      <c r="P339" s="467">
        <f>ROUND(6/12,1)</f>
        <v>0.5</v>
      </c>
      <c r="Q339" s="468" t="s">
        <v>270</v>
      </c>
      <c r="R339" s="414"/>
      <c r="S339" s="411"/>
      <c r="T339" s="411"/>
      <c r="U339" s="412"/>
      <c r="V339" s="31"/>
      <c r="AD339" s="1"/>
      <c r="AO339" s="391"/>
      <c r="AP339" s="391"/>
      <c r="AQ339" s="391"/>
      <c r="AR339" s="391"/>
      <c r="AS339" s="391"/>
      <c r="AT339" s="391"/>
      <c r="AU339" s="391"/>
      <c r="AV339" s="391"/>
      <c r="AW339" s="391"/>
      <c r="AX339" s="391"/>
      <c r="AY339" s="391"/>
      <c r="AZ339" s="391"/>
      <c r="BA339" s="391"/>
      <c r="BB339" s="391"/>
    </row>
    <row r="340" spans="9:54" ht="15.75" outlineLevel="1" x14ac:dyDescent="0.25">
      <c r="I340" s="99"/>
      <c r="J340" s="31"/>
      <c r="K340" s="1"/>
      <c r="L340" s="31"/>
      <c r="M340" s="31"/>
      <c r="N340" s="31"/>
      <c r="O340" s="410">
        <v>7</v>
      </c>
      <c r="P340" s="467">
        <f>ROUND(6/12,1)</f>
        <v>0.5</v>
      </c>
      <c r="Q340" s="468" t="s">
        <v>270</v>
      </c>
      <c r="R340" s="414"/>
      <c r="S340" s="411"/>
      <c r="T340" s="411"/>
      <c r="U340" s="412"/>
      <c r="V340" s="31"/>
      <c r="AD340" s="1"/>
      <c r="AO340" s="391"/>
      <c r="AP340" s="391"/>
      <c r="AQ340" s="391"/>
      <c r="AR340" s="391"/>
      <c r="AS340" s="391"/>
      <c r="AT340" s="391"/>
      <c r="AU340" s="391"/>
      <c r="AV340" s="391"/>
      <c r="AW340" s="391"/>
      <c r="AX340" s="391"/>
      <c r="AY340" s="391"/>
      <c r="AZ340" s="391"/>
      <c r="BA340" s="391"/>
      <c r="BB340" s="391"/>
    </row>
    <row r="341" spans="9:54" ht="15.75" outlineLevel="1" x14ac:dyDescent="0.25">
      <c r="I341" s="99"/>
      <c r="K341" s="1"/>
      <c r="N341" s="31"/>
      <c r="O341" s="469">
        <v>8</v>
      </c>
      <c r="P341" s="467">
        <f>ROUND(5/12,1)</f>
        <v>0.4</v>
      </c>
      <c r="Q341" s="468" t="s">
        <v>270</v>
      </c>
      <c r="R341" s="414"/>
      <c r="S341" s="411"/>
      <c r="T341" s="411"/>
      <c r="U341" s="412"/>
      <c r="V341" s="31"/>
      <c r="AD341" s="1"/>
      <c r="AO341" s="391"/>
      <c r="AP341" s="391"/>
      <c r="AQ341" s="391"/>
      <c r="AR341" s="391"/>
      <c r="AS341" s="391"/>
      <c r="AT341" s="391"/>
      <c r="AU341" s="391"/>
      <c r="AV341" s="391"/>
      <c r="AW341" s="391"/>
      <c r="AX341" s="391"/>
      <c r="AY341" s="391"/>
      <c r="AZ341" s="391"/>
      <c r="BA341" s="391"/>
      <c r="BB341" s="391"/>
    </row>
    <row r="342" spans="9:54" ht="15.75" outlineLevel="1" x14ac:dyDescent="0.25">
      <c r="I342" s="99"/>
      <c r="K342" s="1"/>
      <c r="N342" s="31"/>
      <c r="O342" s="410">
        <v>9</v>
      </c>
      <c r="P342" s="467">
        <f>ROUND(4/12,1)</f>
        <v>0.3</v>
      </c>
      <c r="Q342" s="468" t="s">
        <v>270</v>
      </c>
      <c r="R342" s="414"/>
      <c r="S342" s="411"/>
      <c r="T342" s="411"/>
      <c r="U342" s="412"/>
      <c r="V342" s="31"/>
      <c r="AD342" s="1"/>
      <c r="AO342" s="391"/>
      <c r="AP342" s="391"/>
      <c r="AQ342" s="391"/>
      <c r="AR342" s="391"/>
      <c r="AS342" s="391"/>
      <c r="AT342" s="391"/>
      <c r="AU342" s="391"/>
      <c r="AV342" s="391"/>
      <c r="AW342" s="391"/>
      <c r="AX342" s="391"/>
      <c r="AY342" s="391"/>
      <c r="AZ342" s="391"/>
      <c r="BA342" s="391"/>
      <c r="BB342" s="391"/>
    </row>
    <row r="343" spans="9:54" ht="15.75" outlineLevel="1" x14ac:dyDescent="0.25">
      <c r="I343" s="99"/>
      <c r="K343" s="1"/>
      <c r="N343" s="31"/>
      <c r="O343" s="410">
        <v>10</v>
      </c>
      <c r="P343" s="467">
        <f>ROUND(3/12,1)</f>
        <v>0.3</v>
      </c>
      <c r="Q343" s="468" t="s">
        <v>271</v>
      </c>
      <c r="R343" s="414"/>
      <c r="S343" s="411"/>
      <c r="T343" s="411"/>
      <c r="U343" s="412"/>
      <c r="V343" s="31"/>
      <c r="AD343" s="1"/>
      <c r="AO343" s="391"/>
      <c r="AP343" s="391"/>
      <c r="AQ343" s="391"/>
      <c r="AR343" s="391"/>
      <c r="AS343" s="391"/>
      <c r="AT343" s="391"/>
      <c r="AU343" s="391"/>
      <c r="AV343" s="391"/>
      <c r="AW343" s="391"/>
      <c r="AX343" s="391"/>
      <c r="AY343" s="391"/>
      <c r="AZ343" s="391"/>
      <c r="BA343" s="391"/>
      <c r="BB343" s="391"/>
    </row>
    <row r="344" spans="9:54" ht="15.75" outlineLevel="1" x14ac:dyDescent="0.25">
      <c r="I344" s="99"/>
      <c r="K344" s="1"/>
      <c r="N344" s="31"/>
      <c r="O344" s="469">
        <v>11</v>
      </c>
      <c r="P344" s="467">
        <f>ROUND(2/12,1)</f>
        <v>0.2</v>
      </c>
      <c r="Q344" s="468" t="s">
        <v>271</v>
      </c>
      <c r="R344" s="414"/>
      <c r="S344" s="411"/>
      <c r="T344" s="411"/>
      <c r="U344" s="412"/>
      <c r="V344" s="31"/>
      <c r="AD344" s="1"/>
      <c r="AO344" s="391"/>
      <c r="AP344" s="391"/>
      <c r="AQ344" s="391"/>
      <c r="AR344" s="391"/>
      <c r="AS344" s="391"/>
      <c r="AT344" s="391"/>
      <c r="AU344" s="391"/>
      <c r="AV344" s="391"/>
      <c r="AW344" s="391"/>
      <c r="AX344" s="391"/>
      <c r="AY344" s="391"/>
      <c r="AZ344" s="391"/>
      <c r="BA344" s="391"/>
      <c r="BB344" s="391"/>
    </row>
    <row r="345" spans="9:54" ht="15.75" outlineLevel="1" x14ac:dyDescent="0.25">
      <c r="I345" s="99"/>
      <c r="K345" s="1"/>
      <c r="N345" s="31"/>
      <c r="O345" s="415">
        <v>12</v>
      </c>
      <c r="P345" s="467">
        <f>ROUND(1/12,1)</f>
        <v>0.1</v>
      </c>
      <c r="Q345" s="470" t="s">
        <v>271</v>
      </c>
      <c r="R345" s="416"/>
      <c r="S345" s="417"/>
      <c r="T345" s="417"/>
      <c r="U345" s="418"/>
      <c r="V345" s="31"/>
      <c r="AD345" s="1"/>
      <c r="AO345" s="391"/>
      <c r="AP345" s="391"/>
      <c r="AQ345" s="391"/>
      <c r="AR345" s="391"/>
      <c r="AS345" s="391"/>
      <c r="AT345" s="391"/>
      <c r="AU345" s="391"/>
      <c r="AV345" s="391"/>
      <c r="AW345" s="391"/>
      <c r="AX345" s="391"/>
      <c r="AY345" s="391"/>
      <c r="AZ345" s="391"/>
      <c r="BA345" s="391"/>
      <c r="BB345" s="391"/>
    </row>
    <row r="346" spans="9:54" ht="15.75" outlineLevel="1" x14ac:dyDescent="0.25">
      <c r="I346" s="99"/>
      <c r="K346" s="1"/>
      <c r="N346" s="31"/>
      <c r="O346" s="419"/>
      <c r="P346" s="406"/>
      <c r="Q346" s="406"/>
      <c r="R346" s="406"/>
      <c r="S346" s="407"/>
      <c r="T346" s="407"/>
      <c r="U346" s="408"/>
      <c r="V346" s="31"/>
      <c r="AD346" s="1"/>
      <c r="AO346" s="391"/>
      <c r="AP346" s="391"/>
      <c r="AQ346" s="391"/>
      <c r="AR346" s="391"/>
      <c r="AS346" s="391"/>
      <c r="AT346" s="391"/>
      <c r="AU346" s="391"/>
      <c r="AV346" s="391"/>
      <c r="AW346" s="391"/>
      <c r="AX346" s="391"/>
      <c r="AY346" s="391"/>
      <c r="AZ346" s="391"/>
      <c r="BA346" s="391"/>
      <c r="BB346" s="391"/>
    </row>
    <row r="347" spans="9:54" outlineLevel="1" x14ac:dyDescent="0.3">
      <c r="I347" s="99"/>
      <c r="K347" s="1"/>
      <c r="O347" s="420" t="s">
        <v>272</v>
      </c>
      <c r="P347" s="421">
        <f>$L$12</f>
        <v>6</v>
      </c>
      <c r="Q347" s="468" t="str">
        <f>"This is the month project will SOP in the SOP year. SOP on "&amp;L12&amp;"-"&amp;L11</f>
        <v>This is the month project will SOP in the SOP year. SOP on 6-2025</v>
      </c>
      <c r="R347" s="414"/>
      <c r="S347" s="411"/>
      <c r="T347" s="411"/>
      <c r="U347" s="412"/>
      <c r="V347" s="31"/>
      <c r="AD347" s="1"/>
      <c r="AO347" s="391"/>
      <c r="AP347" s="391"/>
      <c r="AQ347" s="391"/>
      <c r="AR347" s="391"/>
      <c r="AS347" s="391"/>
      <c r="AT347" s="391"/>
      <c r="AU347" s="391"/>
      <c r="AV347" s="391"/>
      <c r="AW347" s="391"/>
      <c r="AX347" s="391"/>
      <c r="AY347" s="391"/>
      <c r="AZ347" s="391"/>
      <c r="BA347" s="391"/>
      <c r="BB347" s="391"/>
    </row>
    <row r="348" spans="9:54" outlineLevel="1" x14ac:dyDescent="0.3">
      <c r="I348" s="99"/>
      <c r="K348" s="1"/>
      <c r="N348" s="170"/>
      <c r="O348" s="530" t="s">
        <v>373</v>
      </c>
      <c r="P348" s="471">
        <f>VLOOKUP($P$347,$O$334:$P$345,2,FALSE)</f>
        <v>0.5</v>
      </c>
      <c r="Q348" s="416" t="str">
        <f>VLOOKUP(P348,P334:Q345,2,FALSE)</f>
        <v>3-9 mths revenue in yr1, therefore assume around mid-year</v>
      </c>
      <c r="R348" s="416"/>
      <c r="S348" s="417"/>
      <c r="T348" s="417"/>
      <c r="U348" s="418"/>
      <c r="V348" s="31"/>
      <c r="AD348" s="1"/>
      <c r="AO348" s="391"/>
      <c r="AP348" s="391"/>
      <c r="AQ348" s="391"/>
      <c r="AR348" s="391"/>
      <c r="AS348" s="391"/>
      <c r="AT348" s="391"/>
      <c r="AU348" s="391"/>
      <c r="AV348" s="391"/>
      <c r="AW348" s="391"/>
      <c r="AX348" s="391"/>
      <c r="AY348" s="391"/>
      <c r="AZ348" s="391"/>
      <c r="BA348" s="391"/>
      <c r="BB348" s="391"/>
    </row>
    <row r="349" spans="9:54" ht="15.75" outlineLevel="1" x14ac:dyDescent="0.25">
      <c r="I349" s="99"/>
      <c r="K349" s="1"/>
      <c r="N349" s="31"/>
      <c r="O349" s="31"/>
      <c r="Q349" s="31"/>
      <c r="R349" s="31"/>
      <c r="S349" s="31"/>
      <c r="T349" s="31"/>
      <c r="U349" s="31"/>
      <c r="V349" s="31"/>
      <c r="AD349" s="1"/>
      <c r="AE349" s="1"/>
      <c r="AU349" s="391"/>
      <c r="AV349" s="391"/>
      <c r="AW349" s="391"/>
      <c r="AX349" s="391"/>
      <c r="AY349" s="391"/>
      <c r="AZ349" s="391"/>
      <c r="BA349" s="391"/>
      <c r="BB349" s="391"/>
    </row>
    <row r="350" spans="9:54" ht="18" x14ac:dyDescent="0.2">
      <c r="I350" s="104">
        <v>8</v>
      </c>
      <c r="J350" s="105" t="s">
        <v>439</v>
      </c>
      <c r="K350" s="105"/>
      <c r="L350" s="105"/>
      <c r="M350" s="106"/>
      <c r="N350" s="107"/>
      <c r="O350" s="107"/>
      <c r="P350" s="107"/>
      <c r="Q350" s="107"/>
      <c r="R350" s="107"/>
      <c r="S350" s="107"/>
      <c r="T350" s="107"/>
      <c r="U350" s="107"/>
      <c r="V350" s="107"/>
      <c r="W350" s="107"/>
      <c r="X350" s="107"/>
      <c r="Y350" s="107"/>
      <c r="Z350" s="107"/>
      <c r="AA350" s="107"/>
      <c r="AB350" s="107"/>
      <c r="AC350" s="107"/>
      <c r="AD350" s="1"/>
      <c r="AO350" s="391"/>
      <c r="AP350" s="391"/>
      <c r="AQ350" s="391"/>
      <c r="AR350" s="391"/>
      <c r="AS350" s="391"/>
      <c r="AT350" s="391"/>
    </row>
    <row r="351" spans="9:54" ht="15.75" x14ac:dyDescent="0.25">
      <c r="I351" s="31"/>
      <c r="J351" s="31"/>
      <c r="K351" s="31"/>
      <c r="L351" s="31"/>
      <c r="M351" s="31"/>
      <c r="N351" s="31"/>
      <c r="O351" s="31"/>
      <c r="P351" s="31"/>
      <c r="Q351" s="31"/>
      <c r="R351" s="31"/>
      <c r="S351" s="31"/>
      <c r="T351" s="31"/>
      <c r="U351" s="31"/>
      <c r="V351" s="31"/>
      <c r="AD351" s="1"/>
      <c r="AO351" s="391"/>
      <c r="AP351" s="391"/>
      <c r="AQ351" s="391"/>
      <c r="AR351" s="391"/>
      <c r="AS351" s="391"/>
      <c r="AT351" s="391"/>
      <c r="AU351" s="391"/>
      <c r="AV351" s="391"/>
      <c r="AW351" s="391"/>
      <c r="AX351" s="391"/>
      <c r="AY351" s="391"/>
      <c r="AZ351" s="391"/>
      <c r="BA351" s="391"/>
      <c r="BB351" s="391"/>
    </row>
    <row r="352" spans="9:54" x14ac:dyDescent="0.3">
      <c r="I352" s="1"/>
      <c r="O352" s="697" t="str">
        <f>J11</f>
        <v>Currency:</v>
      </c>
      <c r="P352" s="698" t="s">
        <v>11</v>
      </c>
      <c r="Q352" s="699"/>
      <c r="R352" s="700" t="s">
        <v>273</v>
      </c>
      <c r="S352" s="701" t="str">
        <f>COUNTIF(N16:AC16,"&gt;100")&amp;" yrs"</f>
        <v>0 yrs</v>
      </c>
      <c r="U352" s="697" t="str">
        <f>N363</f>
        <v>USD</v>
      </c>
      <c r="V352" s="698" t="s">
        <v>11</v>
      </c>
      <c r="W352" s="699"/>
      <c r="X352" s="700" t="s">
        <v>273</v>
      </c>
      <c r="Y352" s="701" t="str">
        <f>COUNTIF(N16:AC16,"&gt;100")&amp;" yrs"</f>
        <v>0 yrs</v>
      </c>
    </row>
    <row r="353" spans="8:31" x14ac:dyDescent="0.3">
      <c r="I353" s="1"/>
      <c r="O353" s="702" t="s">
        <v>445</v>
      </c>
      <c r="P353" s="703">
        <f>L16</f>
        <v>0</v>
      </c>
      <c r="Q353" s="110"/>
      <c r="R353" s="704" t="s">
        <v>381</v>
      </c>
      <c r="S353" s="705" t="str">
        <f>ROUND($L$94,1)&amp;" yrs"</f>
        <v>8 yrs</v>
      </c>
      <c r="U353" s="702" t="s">
        <v>445</v>
      </c>
      <c r="V353" s="706">
        <f>L372</f>
        <v>0</v>
      </c>
      <c r="W353" s="110"/>
      <c r="X353" s="704" t="s">
        <v>381</v>
      </c>
      <c r="Y353" s="705" t="str">
        <f>ROUND(L94,1)&amp;" yrs"</f>
        <v>8 yrs</v>
      </c>
    </row>
    <row r="354" spans="8:31" x14ac:dyDescent="0.3">
      <c r="I354" s="1"/>
      <c r="O354" s="702" t="s">
        <v>274</v>
      </c>
      <c r="P354" s="703">
        <f>MAX(N16:AC16)</f>
        <v>0</v>
      </c>
      <c r="Q354" s="110"/>
      <c r="R354" s="704" t="s">
        <v>275</v>
      </c>
      <c r="S354" s="705" t="str">
        <f>L12&amp;"-"&amp;L11</f>
        <v>6-2025</v>
      </c>
      <c r="U354" s="702" t="s">
        <v>274</v>
      </c>
      <c r="V354" s="706">
        <f>MAX(N372:AC372)</f>
        <v>0</v>
      </c>
      <c r="W354" s="110"/>
      <c r="X354" s="704" t="s">
        <v>275</v>
      </c>
      <c r="Y354" s="705" t="str">
        <f>L12&amp;"-"&amp;L11</f>
        <v>6-2025</v>
      </c>
    </row>
    <row r="355" spans="8:31" x14ac:dyDescent="0.3">
      <c r="I355" s="1"/>
      <c r="O355" s="702" t="s">
        <v>446</v>
      </c>
      <c r="P355" s="703">
        <f>L20</f>
        <v>0</v>
      </c>
      <c r="Q355" s="110"/>
      <c r="R355" s="704" t="s">
        <v>447</v>
      </c>
      <c r="S355" s="707">
        <f>L17</f>
        <v>0</v>
      </c>
      <c r="U355" s="702" t="s">
        <v>446</v>
      </c>
      <c r="V355" s="706">
        <f>L376</f>
        <v>0</v>
      </c>
      <c r="W355" s="110"/>
      <c r="X355" s="704" t="s">
        <v>447</v>
      </c>
      <c r="Y355" s="707">
        <f>L17</f>
        <v>0</v>
      </c>
    </row>
    <row r="356" spans="8:31" x14ac:dyDescent="0.3">
      <c r="I356" s="1"/>
      <c r="O356" s="702" t="s">
        <v>382</v>
      </c>
      <c r="P356" s="703">
        <f>L24</f>
        <v>0</v>
      </c>
      <c r="Q356" s="110"/>
      <c r="R356" s="704" t="s">
        <v>448</v>
      </c>
      <c r="S356" s="708">
        <f>L19</f>
        <v>0</v>
      </c>
      <c r="U356" s="702" t="s">
        <v>382</v>
      </c>
      <c r="V356" s="706">
        <f>L380</f>
        <v>0</v>
      </c>
      <c r="W356" s="110"/>
      <c r="X356" s="704" t="s">
        <v>448</v>
      </c>
      <c r="Y356" s="708">
        <f>L19</f>
        <v>0</v>
      </c>
    </row>
    <row r="357" spans="8:31" x14ac:dyDescent="0.3">
      <c r="I357" s="1"/>
      <c r="O357" s="709" t="s">
        <v>383</v>
      </c>
      <c r="P357" s="703">
        <f>L25</f>
        <v>0</v>
      </c>
      <c r="Q357" s="110"/>
      <c r="R357" s="704" t="s">
        <v>449</v>
      </c>
      <c r="S357" s="710">
        <f>L21</f>
        <v>0</v>
      </c>
      <c r="U357" s="709" t="s">
        <v>383</v>
      </c>
      <c r="V357" s="706">
        <f>L381</f>
        <v>0</v>
      </c>
      <c r="W357" s="110"/>
      <c r="X357" s="704" t="s">
        <v>449</v>
      </c>
      <c r="Y357" s="710">
        <f>L21</f>
        <v>0</v>
      </c>
    </row>
    <row r="358" spans="8:31" x14ac:dyDescent="0.3">
      <c r="I358" s="1"/>
      <c r="O358" s="709" t="s">
        <v>276</v>
      </c>
      <c r="P358" s="703">
        <f>L27</f>
        <v>0</v>
      </c>
      <c r="Q358" s="110"/>
      <c r="R358" s="704" t="s">
        <v>450</v>
      </c>
      <c r="S358" s="707">
        <f>K166</f>
        <v>0</v>
      </c>
      <c r="U358" s="709" t="s">
        <v>276</v>
      </c>
      <c r="V358" s="706">
        <f>L383</f>
        <v>0</v>
      </c>
      <c r="W358" s="110"/>
      <c r="X358" s="704" t="s">
        <v>450</v>
      </c>
      <c r="Y358" s="707">
        <f>K166</f>
        <v>0</v>
      </c>
    </row>
    <row r="359" spans="8:31" x14ac:dyDescent="0.3">
      <c r="I359" s="1"/>
      <c r="O359" s="711" t="s">
        <v>278</v>
      </c>
      <c r="P359" s="712">
        <f>L38</f>
        <v>0</v>
      </c>
      <c r="Q359" s="713"/>
      <c r="R359" s="714" t="s">
        <v>277</v>
      </c>
      <c r="S359" s="715">
        <f>L326</f>
        <v>0</v>
      </c>
      <c r="U359" s="711" t="s">
        <v>278</v>
      </c>
      <c r="V359" s="716">
        <f>L394</f>
        <v>0</v>
      </c>
      <c r="W359" s="713"/>
      <c r="X359" s="714" t="s">
        <v>277</v>
      </c>
      <c r="Y359" s="715">
        <f>L326</f>
        <v>0</v>
      </c>
    </row>
    <row r="360" spans="8:31" ht="17.25" thickBot="1" x14ac:dyDescent="0.35">
      <c r="H360" s="423"/>
      <c r="I360" s="424"/>
      <c r="J360" s="423"/>
      <c r="K360" s="425"/>
      <c r="L360" s="423"/>
      <c r="M360" s="423"/>
      <c r="N360" s="423"/>
      <c r="O360" s="423"/>
      <c r="P360" s="423"/>
      <c r="Q360" s="423"/>
      <c r="R360" s="423"/>
      <c r="S360" s="423"/>
      <c r="T360" s="423"/>
      <c r="U360" s="423"/>
      <c r="V360" s="423"/>
      <c r="W360" s="423"/>
      <c r="X360" s="423"/>
      <c r="Y360" s="423"/>
      <c r="Z360" s="423"/>
      <c r="AA360" s="423"/>
      <c r="AB360" s="423"/>
      <c r="AC360" s="423"/>
      <c r="AE360" s="1"/>
    </row>
    <row r="361" spans="8:31" ht="15" thickTop="1" x14ac:dyDescent="0.2">
      <c r="I361" s="1"/>
      <c r="K361" s="581"/>
      <c r="L361" s="581"/>
      <c r="M361" s="581"/>
      <c r="N361" s="581"/>
      <c r="AD361" s="1"/>
      <c r="AE361" s="1"/>
    </row>
    <row r="362" spans="8:31" ht="18" x14ac:dyDescent="0.2">
      <c r="I362" s="582">
        <v>9</v>
      </c>
      <c r="J362" s="583" t="s">
        <v>417</v>
      </c>
      <c r="K362" s="583"/>
      <c r="L362" s="584"/>
      <c r="M362" s="584"/>
      <c r="N362" s="585"/>
      <c r="O362" s="585"/>
      <c r="P362" s="585"/>
      <c r="Q362" s="585"/>
      <c r="R362" s="585"/>
      <c r="S362" s="585"/>
      <c r="T362" s="585"/>
      <c r="U362" s="585"/>
      <c r="V362" s="585"/>
      <c r="W362" s="585"/>
      <c r="X362" s="585"/>
      <c r="Y362" s="585"/>
      <c r="Z362" s="585"/>
      <c r="AA362" s="585"/>
      <c r="AB362" s="585"/>
      <c r="AC362" s="585"/>
      <c r="AD362" s="1"/>
      <c r="AE362" s="1"/>
    </row>
    <row r="363" spans="8:31" ht="15.4" customHeight="1" x14ac:dyDescent="0.25">
      <c r="I363" s="1191" t="s">
        <v>418</v>
      </c>
      <c r="J363" s="1191"/>
      <c r="K363" s="1184" t="s">
        <v>419</v>
      </c>
      <c r="L363" s="1184"/>
      <c r="N363" s="719" t="s">
        <v>420</v>
      </c>
      <c r="AD363" s="1"/>
      <c r="AE363" s="1"/>
    </row>
    <row r="364" spans="8:31" ht="15.75" x14ac:dyDescent="0.25">
      <c r="I364" s="1191"/>
      <c r="J364" s="1191"/>
      <c r="K364" s="1184" t="s">
        <v>421</v>
      </c>
      <c r="L364" s="1184"/>
      <c r="N364" s="719" t="str">
        <f>L8</f>
        <v>Currency:</v>
      </c>
      <c r="AD364" s="1"/>
      <c r="AE364" s="1"/>
    </row>
    <row r="365" spans="8:31" ht="15.4" customHeight="1" x14ac:dyDescent="0.2">
      <c r="I365" s="586"/>
      <c r="J365" s="587"/>
      <c r="K365" s="1184" t="str">
        <f>"Exch.Rate "&amp;N363&amp;"1.0 = "&amp;N364&amp;":?"</f>
        <v>Exch.Rate USD1.0 = Currency::?</v>
      </c>
      <c r="L365" s="1184"/>
      <c r="N365" s="588">
        <v>1</v>
      </c>
      <c r="O365" s="589" t="s">
        <v>422</v>
      </c>
      <c r="AD365" s="1"/>
      <c r="AE365" s="1"/>
    </row>
    <row r="366" spans="8:31" ht="6" customHeight="1" x14ac:dyDescent="0.2">
      <c r="I366" s="1"/>
      <c r="K366" s="1"/>
      <c r="AD366" s="1"/>
      <c r="AE366" s="1"/>
    </row>
    <row r="367" spans="8:31" ht="16.5" customHeight="1" x14ac:dyDescent="0.25">
      <c r="I367" s="590"/>
      <c r="J367" s="1185" t="s">
        <v>420</v>
      </c>
      <c r="K367" s="22" t="s">
        <v>5</v>
      </c>
      <c r="L367" s="591">
        <f>L11</f>
        <v>2025</v>
      </c>
      <c r="N367" s="592">
        <f t="shared" ref="N367:AC368" si="207">N11</f>
        <v>2024</v>
      </c>
      <c r="O367" s="24">
        <f t="shared" si="207"/>
        <v>2025</v>
      </c>
      <c r="P367" s="24">
        <f t="shared" si="207"/>
        <v>2026</v>
      </c>
      <c r="Q367" s="24">
        <f t="shared" si="207"/>
        <v>2027</v>
      </c>
      <c r="R367" s="24">
        <f t="shared" si="207"/>
        <v>2028</v>
      </c>
      <c r="S367" s="24">
        <f t="shared" si="207"/>
        <v>2029</v>
      </c>
      <c r="T367" s="24">
        <f t="shared" si="207"/>
        <v>2030</v>
      </c>
      <c r="U367" s="24">
        <f t="shared" si="207"/>
        <v>2031</v>
      </c>
      <c r="V367" s="24">
        <f t="shared" si="207"/>
        <v>2032</v>
      </c>
      <c r="W367" s="24">
        <f t="shared" si="207"/>
        <v>2033</v>
      </c>
      <c r="X367" s="24">
        <f t="shared" si="207"/>
        <v>2034</v>
      </c>
      <c r="Y367" s="24">
        <f t="shared" si="207"/>
        <v>2035</v>
      </c>
      <c r="Z367" s="24">
        <f t="shared" si="207"/>
        <v>2036</v>
      </c>
      <c r="AA367" s="24">
        <f t="shared" si="207"/>
        <v>2037</v>
      </c>
      <c r="AB367" s="24">
        <f t="shared" si="207"/>
        <v>2038</v>
      </c>
      <c r="AC367" s="25">
        <f t="shared" si="207"/>
        <v>2039</v>
      </c>
      <c r="AD367" s="1"/>
      <c r="AE367" s="1"/>
    </row>
    <row r="368" spans="8:31" ht="21" customHeight="1" x14ac:dyDescent="0.3">
      <c r="I368" s="593"/>
      <c r="J368" s="1185"/>
      <c r="K368" s="27" t="s">
        <v>6</v>
      </c>
      <c r="L368" s="594">
        <f>L12</f>
        <v>6</v>
      </c>
      <c r="N368" s="595" t="str">
        <f t="shared" si="207"/>
        <v>Calendar Year</v>
      </c>
      <c r="O368" s="29" t="str">
        <f t="shared" si="207"/>
        <v>Calendar Year</v>
      </c>
      <c r="P368" s="29" t="str">
        <f t="shared" si="207"/>
        <v>Calendar Year</v>
      </c>
      <c r="Q368" s="29" t="str">
        <f t="shared" si="207"/>
        <v>Calendar Year</v>
      </c>
      <c r="R368" s="29" t="str">
        <f t="shared" si="207"/>
        <v>Calendar Year</v>
      </c>
      <c r="S368" s="29" t="str">
        <f t="shared" si="207"/>
        <v>Calendar Year</v>
      </c>
      <c r="T368" s="29" t="str">
        <f t="shared" si="207"/>
        <v>Calendar Year</v>
      </c>
      <c r="U368" s="29" t="str">
        <f t="shared" si="207"/>
        <v>Calendar Year</v>
      </c>
      <c r="V368" s="29" t="str">
        <f t="shared" si="207"/>
        <v>Calendar Year</v>
      </c>
      <c r="W368" s="29" t="str">
        <f t="shared" si="207"/>
        <v>Calendar Year</v>
      </c>
      <c r="X368" s="29" t="str">
        <f t="shared" si="207"/>
        <v>Calendar Year</v>
      </c>
      <c r="Y368" s="29" t="str">
        <f t="shared" si="207"/>
        <v>Calendar Year</v>
      </c>
      <c r="Z368" s="29" t="str">
        <f t="shared" si="207"/>
        <v>Calendar Year</v>
      </c>
      <c r="AA368" s="29" t="str">
        <f t="shared" si="207"/>
        <v>Calendar Year</v>
      </c>
      <c r="AB368" s="29" t="str">
        <f t="shared" si="207"/>
        <v>Calendar Year</v>
      </c>
      <c r="AC368" s="30" t="str">
        <f t="shared" si="207"/>
        <v>Calendar Year</v>
      </c>
      <c r="AD368" s="1"/>
      <c r="AE368" s="1"/>
    </row>
    <row r="369" spans="9:31" ht="17.25" thickBot="1" x14ac:dyDescent="0.35">
      <c r="AD369" s="1"/>
      <c r="AE369" s="1"/>
    </row>
    <row r="370" spans="9:31" ht="18" x14ac:dyDescent="0.2">
      <c r="I370" s="132">
        <v>1</v>
      </c>
      <c r="J370" s="33" t="s">
        <v>7</v>
      </c>
      <c r="K370" s="33"/>
      <c r="L370" s="34" t="s">
        <v>8</v>
      </c>
      <c r="N370" s="35"/>
      <c r="O370" s="36"/>
      <c r="P370" s="36"/>
      <c r="Q370" s="36"/>
      <c r="R370" s="36"/>
      <c r="S370" s="36"/>
      <c r="T370" s="36"/>
      <c r="U370" s="36"/>
      <c r="V370" s="36"/>
      <c r="W370" s="36"/>
      <c r="X370" s="36"/>
      <c r="Y370" s="36"/>
      <c r="Z370" s="36"/>
      <c r="AA370" s="36"/>
      <c r="AB370" s="36"/>
      <c r="AC370" s="37"/>
      <c r="AD370" s="1"/>
      <c r="AE370" s="1"/>
    </row>
    <row r="371" spans="9:31" ht="18" x14ac:dyDescent="0.4">
      <c r="I371" s="596" t="s">
        <v>9</v>
      </c>
      <c r="J371" s="597" t="s">
        <v>10</v>
      </c>
      <c r="K371" s="598"/>
      <c r="L371" s="599" t="s">
        <v>11</v>
      </c>
      <c r="N371" s="600"/>
      <c r="O371" s="601"/>
      <c r="P371" s="601"/>
      <c r="Q371" s="601"/>
      <c r="R371" s="601"/>
      <c r="S371" s="601"/>
      <c r="T371" s="601"/>
      <c r="U371" s="601"/>
      <c r="V371" s="601"/>
      <c r="W371" s="601"/>
      <c r="X371" s="601"/>
      <c r="Y371" s="601"/>
      <c r="Z371" s="601"/>
      <c r="AA371" s="601"/>
      <c r="AB371" s="601"/>
      <c r="AC371" s="602"/>
      <c r="AD371" s="1"/>
      <c r="AE371" s="1"/>
    </row>
    <row r="372" spans="9:31" ht="17.25" thickBot="1" x14ac:dyDescent="0.35">
      <c r="I372" s="596"/>
      <c r="J372" s="603" t="s">
        <v>12</v>
      </c>
      <c r="K372" s="45" t="str">
        <f>"Years of Rev: "&amp;COUNTIF(N372:AC372,"&gt;0")&amp;" yrs"</f>
        <v>Years of Rev: 0 yrs</v>
      </c>
      <c r="L372" s="604">
        <f>SUM(N372:AC372)</f>
        <v>0</v>
      </c>
      <c r="N372" s="605">
        <f t="shared" ref="N372:AC372" si="208">N16/$N$365</f>
        <v>0</v>
      </c>
      <c r="O372" s="606">
        <f t="shared" si="208"/>
        <v>0</v>
      </c>
      <c r="P372" s="606">
        <f t="shared" si="208"/>
        <v>0</v>
      </c>
      <c r="Q372" s="606">
        <f t="shared" si="208"/>
        <v>0</v>
      </c>
      <c r="R372" s="606">
        <f t="shared" si="208"/>
        <v>0</v>
      </c>
      <c r="S372" s="606">
        <f t="shared" si="208"/>
        <v>0</v>
      </c>
      <c r="T372" s="606">
        <f t="shared" si="208"/>
        <v>0</v>
      </c>
      <c r="U372" s="606">
        <f t="shared" si="208"/>
        <v>0</v>
      </c>
      <c r="V372" s="606">
        <f t="shared" si="208"/>
        <v>0</v>
      </c>
      <c r="W372" s="606">
        <f t="shared" si="208"/>
        <v>0</v>
      </c>
      <c r="X372" s="606">
        <f t="shared" si="208"/>
        <v>0</v>
      </c>
      <c r="Y372" s="606">
        <f t="shared" si="208"/>
        <v>0</v>
      </c>
      <c r="Z372" s="606">
        <f t="shared" si="208"/>
        <v>0</v>
      </c>
      <c r="AA372" s="606">
        <f t="shared" si="208"/>
        <v>0</v>
      </c>
      <c r="AB372" s="606">
        <f t="shared" si="208"/>
        <v>0</v>
      </c>
      <c r="AC372" s="607">
        <f t="shared" si="208"/>
        <v>0</v>
      </c>
      <c r="AD372" s="1"/>
      <c r="AE372" s="1"/>
    </row>
    <row r="373" spans="9:31" thickTop="1" x14ac:dyDescent="0.25">
      <c r="I373" s="608"/>
      <c r="J373" s="609" t="s">
        <v>13</v>
      </c>
      <c r="K373" s="608"/>
      <c r="L373" s="610">
        <f>L17</f>
        <v>0</v>
      </c>
      <c r="M373" s="50"/>
      <c r="N373" s="611">
        <f t="shared" ref="N373:AC373" si="209">N17</f>
        <v>0</v>
      </c>
      <c r="O373" s="612">
        <f t="shared" si="209"/>
        <v>0</v>
      </c>
      <c r="P373" s="612">
        <f t="shared" si="209"/>
        <v>0</v>
      </c>
      <c r="Q373" s="612">
        <f t="shared" si="209"/>
        <v>0</v>
      </c>
      <c r="R373" s="612">
        <f t="shared" si="209"/>
        <v>0</v>
      </c>
      <c r="S373" s="612">
        <f t="shared" si="209"/>
        <v>0</v>
      </c>
      <c r="T373" s="612">
        <f t="shared" si="209"/>
        <v>0</v>
      </c>
      <c r="U373" s="612">
        <f t="shared" si="209"/>
        <v>0</v>
      </c>
      <c r="V373" s="612">
        <f t="shared" si="209"/>
        <v>0</v>
      </c>
      <c r="W373" s="612">
        <f t="shared" si="209"/>
        <v>0</v>
      </c>
      <c r="X373" s="612">
        <f t="shared" si="209"/>
        <v>0</v>
      </c>
      <c r="Y373" s="612">
        <f t="shared" si="209"/>
        <v>0</v>
      </c>
      <c r="Z373" s="612">
        <f t="shared" si="209"/>
        <v>0</v>
      </c>
      <c r="AA373" s="612">
        <f t="shared" si="209"/>
        <v>0</v>
      </c>
      <c r="AB373" s="612">
        <f t="shared" si="209"/>
        <v>0</v>
      </c>
      <c r="AC373" s="613">
        <f t="shared" si="209"/>
        <v>0</v>
      </c>
      <c r="AD373" s="1"/>
      <c r="AE373" s="1"/>
    </row>
    <row r="374" spans="9:31" ht="15.75" x14ac:dyDescent="0.25">
      <c r="I374" s="596"/>
      <c r="J374" s="614" t="s">
        <v>14</v>
      </c>
      <c r="K374" s="596"/>
      <c r="L374" s="615">
        <f>SUM(N374:AC374)</f>
        <v>0</v>
      </c>
      <c r="N374" s="616">
        <f t="shared" ref="N374:AC374" si="210">N18/$N$365</f>
        <v>0</v>
      </c>
      <c r="O374" s="617">
        <f t="shared" si="210"/>
        <v>0</v>
      </c>
      <c r="P374" s="617">
        <f t="shared" si="210"/>
        <v>0</v>
      </c>
      <c r="Q374" s="617">
        <f t="shared" si="210"/>
        <v>0</v>
      </c>
      <c r="R374" s="617">
        <f t="shared" si="210"/>
        <v>0</v>
      </c>
      <c r="S374" s="617">
        <f t="shared" si="210"/>
        <v>0</v>
      </c>
      <c r="T374" s="617">
        <f t="shared" si="210"/>
        <v>0</v>
      </c>
      <c r="U374" s="617">
        <f t="shared" si="210"/>
        <v>0</v>
      </c>
      <c r="V374" s="617">
        <f t="shared" si="210"/>
        <v>0</v>
      </c>
      <c r="W374" s="617">
        <f t="shared" si="210"/>
        <v>0</v>
      </c>
      <c r="X374" s="617">
        <f t="shared" si="210"/>
        <v>0</v>
      </c>
      <c r="Y374" s="617">
        <f t="shared" si="210"/>
        <v>0</v>
      </c>
      <c r="Z374" s="617">
        <f t="shared" si="210"/>
        <v>0</v>
      </c>
      <c r="AA374" s="617">
        <f t="shared" si="210"/>
        <v>0</v>
      </c>
      <c r="AB374" s="617">
        <f t="shared" si="210"/>
        <v>0</v>
      </c>
      <c r="AC374" s="618">
        <f t="shared" si="210"/>
        <v>0</v>
      </c>
      <c r="AD374" s="1"/>
      <c r="AE374" s="1"/>
    </row>
    <row r="375" spans="9:31" ht="15.75" x14ac:dyDescent="0.25">
      <c r="I375" s="596"/>
      <c r="J375" s="614" t="s">
        <v>15</v>
      </c>
      <c r="K375" s="596"/>
      <c r="L375" s="619">
        <f>IFERROR(L374/L$372,0)</f>
        <v>0</v>
      </c>
      <c r="N375" s="620">
        <f>IFERROR(N374/N372,)</f>
        <v>0</v>
      </c>
      <c r="O375" s="621">
        <f t="shared" ref="O375:AC375" si="211">IFERROR(O374/O372,)</f>
        <v>0</v>
      </c>
      <c r="P375" s="621">
        <f t="shared" si="211"/>
        <v>0</v>
      </c>
      <c r="Q375" s="621">
        <f t="shared" si="211"/>
        <v>0</v>
      </c>
      <c r="R375" s="621">
        <f t="shared" si="211"/>
        <v>0</v>
      </c>
      <c r="S375" s="621">
        <f t="shared" si="211"/>
        <v>0</v>
      </c>
      <c r="T375" s="621">
        <f t="shared" si="211"/>
        <v>0</v>
      </c>
      <c r="U375" s="621">
        <f t="shared" si="211"/>
        <v>0</v>
      </c>
      <c r="V375" s="621">
        <f t="shared" si="211"/>
        <v>0</v>
      </c>
      <c r="W375" s="621">
        <f t="shared" si="211"/>
        <v>0</v>
      </c>
      <c r="X375" s="621">
        <f t="shared" si="211"/>
        <v>0</v>
      </c>
      <c r="Y375" s="621">
        <f t="shared" si="211"/>
        <v>0</v>
      </c>
      <c r="Z375" s="621">
        <f t="shared" si="211"/>
        <v>0</v>
      </c>
      <c r="AA375" s="621">
        <f t="shared" si="211"/>
        <v>0</v>
      </c>
      <c r="AB375" s="621">
        <f t="shared" si="211"/>
        <v>0</v>
      </c>
      <c r="AC375" s="622">
        <f t="shared" si="211"/>
        <v>0</v>
      </c>
      <c r="AD375" s="1"/>
      <c r="AE375" s="1"/>
    </row>
    <row r="376" spans="9:31" ht="15.75" x14ac:dyDescent="0.25">
      <c r="I376" s="596"/>
      <c r="J376" s="603" t="s">
        <v>16</v>
      </c>
      <c r="K376" s="596"/>
      <c r="L376" s="623">
        <f>SUM(N376:AC376)</f>
        <v>0</v>
      </c>
      <c r="N376" s="624">
        <f t="shared" ref="N376:AC376" si="212">N20/$N$365</f>
        <v>0</v>
      </c>
      <c r="O376" s="625">
        <f t="shared" si="212"/>
        <v>0</v>
      </c>
      <c r="P376" s="625">
        <f t="shared" si="212"/>
        <v>0</v>
      </c>
      <c r="Q376" s="625">
        <f t="shared" si="212"/>
        <v>0</v>
      </c>
      <c r="R376" s="625">
        <f t="shared" si="212"/>
        <v>0</v>
      </c>
      <c r="S376" s="625">
        <f t="shared" si="212"/>
        <v>0</v>
      </c>
      <c r="T376" s="625">
        <f t="shared" si="212"/>
        <v>0</v>
      </c>
      <c r="U376" s="625">
        <f t="shared" si="212"/>
        <v>0</v>
      </c>
      <c r="V376" s="625">
        <f t="shared" si="212"/>
        <v>0</v>
      </c>
      <c r="W376" s="625">
        <f t="shared" si="212"/>
        <v>0</v>
      </c>
      <c r="X376" s="625">
        <f t="shared" si="212"/>
        <v>0</v>
      </c>
      <c r="Y376" s="625">
        <f t="shared" si="212"/>
        <v>0</v>
      </c>
      <c r="Z376" s="625">
        <f t="shared" si="212"/>
        <v>0</v>
      </c>
      <c r="AA376" s="625">
        <f t="shared" si="212"/>
        <v>0</v>
      </c>
      <c r="AB376" s="625">
        <f t="shared" si="212"/>
        <v>0</v>
      </c>
      <c r="AC376" s="626">
        <f t="shared" si="212"/>
        <v>0</v>
      </c>
      <c r="AD376" s="1"/>
      <c r="AE376" s="1"/>
    </row>
    <row r="377" spans="9:31" ht="15.75" x14ac:dyDescent="0.25">
      <c r="I377" s="596"/>
      <c r="J377" s="566" t="s">
        <v>423</v>
      </c>
      <c r="K377" s="596"/>
      <c r="L377" s="627">
        <f>L21</f>
        <v>0</v>
      </c>
      <c r="N377" s="628">
        <f t="shared" ref="N377:AC378" si="213">N21</f>
        <v>0</v>
      </c>
      <c r="O377" s="629">
        <f t="shared" si="213"/>
        <v>0</v>
      </c>
      <c r="P377" s="629">
        <f t="shared" si="213"/>
        <v>0</v>
      </c>
      <c r="Q377" s="629">
        <f t="shared" si="213"/>
        <v>0</v>
      </c>
      <c r="R377" s="629">
        <f t="shared" si="213"/>
        <v>0</v>
      </c>
      <c r="S377" s="629">
        <f t="shared" si="213"/>
        <v>0</v>
      </c>
      <c r="T377" s="629">
        <f t="shared" si="213"/>
        <v>0</v>
      </c>
      <c r="U377" s="629">
        <f t="shared" si="213"/>
        <v>0</v>
      </c>
      <c r="V377" s="629">
        <f t="shared" si="213"/>
        <v>0</v>
      </c>
      <c r="W377" s="629">
        <f t="shared" si="213"/>
        <v>0</v>
      </c>
      <c r="X377" s="629">
        <f t="shared" si="213"/>
        <v>0</v>
      </c>
      <c r="Y377" s="629">
        <f t="shared" si="213"/>
        <v>0</v>
      </c>
      <c r="Z377" s="629">
        <f t="shared" si="213"/>
        <v>0</v>
      </c>
      <c r="AA377" s="629">
        <f t="shared" si="213"/>
        <v>0</v>
      </c>
      <c r="AB377" s="629">
        <f t="shared" si="213"/>
        <v>0</v>
      </c>
      <c r="AC377" s="630">
        <f t="shared" si="213"/>
        <v>0</v>
      </c>
      <c r="AD377" s="1"/>
      <c r="AE377" s="1"/>
    </row>
    <row r="378" spans="9:31" ht="15.75" x14ac:dyDescent="0.25">
      <c r="I378" s="631"/>
      <c r="J378" s="538" t="s">
        <v>424</v>
      </c>
      <c r="K378" s="631"/>
      <c r="L378" s="632">
        <f>L22</f>
        <v>0</v>
      </c>
      <c r="M378" s="633"/>
      <c r="N378" s="634">
        <f t="shared" si="213"/>
        <v>0</v>
      </c>
      <c r="O378" s="635">
        <f t="shared" si="213"/>
        <v>0</v>
      </c>
      <c r="P378" s="635">
        <f t="shared" si="213"/>
        <v>0</v>
      </c>
      <c r="Q378" s="635">
        <f t="shared" si="213"/>
        <v>0</v>
      </c>
      <c r="R378" s="635">
        <f t="shared" si="213"/>
        <v>0</v>
      </c>
      <c r="S378" s="635">
        <f t="shared" si="213"/>
        <v>0</v>
      </c>
      <c r="T378" s="635">
        <f t="shared" si="213"/>
        <v>0</v>
      </c>
      <c r="U378" s="635">
        <f t="shared" si="213"/>
        <v>0</v>
      </c>
      <c r="V378" s="635">
        <f t="shared" si="213"/>
        <v>0</v>
      </c>
      <c r="W378" s="635">
        <f t="shared" si="213"/>
        <v>0</v>
      </c>
      <c r="X378" s="635">
        <f t="shared" si="213"/>
        <v>0</v>
      </c>
      <c r="Y378" s="635">
        <f t="shared" si="213"/>
        <v>0</v>
      </c>
      <c r="Z378" s="635">
        <f t="shared" si="213"/>
        <v>0</v>
      </c>
      <c r="AA378" s="635">
        <f t="shared" si="213"/>
        <v>0</v>
      </c>
      <c r="AB378" s="635">
        <f t="shared" si="213"/>
        <v>0</v>
      </c>
      <c r="AC378" s="636">
        <f t="shared" si="213"/>
        <v>0</v>
      </c>
      <c r="AD378" s="1"/>
      <c r="AE378" s="1"/>
    </row>
    <row r="379" spans="9:31" thickBot="1" x14ac:dyDescent="0.3">
      <c r="I379" s="596"/>
      <c r="J379" s="598" t="s">
        <v>17</v>
      </c>
      <c r="K379" s="596"/>
      <c r="L379" s="637">
        <f>SUM(N379:AC379)</f>
        <v>0</v>
      </c>
      <c r="N379" s="638">
        <f t="shared" ref="N379:AC383" si="214">N23/$N$365</f>
        <v>0</v>
      </c>
      <c r="O379" s="639">
        <f t="shared" si="214"/>
        <v>0</v>
      </c>
      <c r="P379" s="639">
        <f t="shared" si="214"/>
        <v>0</v>
      </c>
      <c r="Q379" s="639">
        <f t="shared" si="214"/>
        <v>0</v>
      </c>
      <c r="R379" s="639">
        <f t="shared" si="214"/>
        <v>0</v>
      </c>
      <c r="S379" s="639">
        <f t="shared" si="214"/>
        <v>0</v>
      </c>
      <c r="T379" s="639">
        <f t="shared" si="214"/>
        <v>0</v>
      </c>
      <c r="U379" s="639">
        <f t="shared" si="214"/>
        <v>0</v>
      </c>
      <c r="V379" s="639">
        <f t="shared" si="214"/>
        <v>0</v>
      </c>
      <c r="W379" s="639">
        <f t="shared" si="214"/>
        <v>0</v>
      </c>
      <c r="X379" s="639">
        <f t="shared" si="214"/>
        <v>0</v>
      </c>
      <c r="Y379" s="639">
        <f t="shared" si="214"/>
        <v>0</v>
      </c>
      <c r="Z379" s="639">
        <f t="shared" si="214"/>
        <v>0</v>
      </c>
      <c r="AA379" s="639">
        <f t="shared" si="214"/>
        <v>0</v>
      </c>
      <c r="AB379" s="639">
        <f t="shared" si="214"/>
        <v>0</v>
      </c>
      <c r="AC379" s="640">
        <f t="shared" si="214"/>
        <v>0</v>
      </c>
      <c r="AD379" s="1"/>
      <c r="AE379" s="1"/>
    </row>
    <row r="380" spans="9:31" x14ac:dyDescent="0.3">
      <c r="I380" s="596"/>
      <c r="J380" s="641" t="s">
        <v>374</v>
      </c>
      <c r="K380" s="45" t="str">
        <f>"Useful Life@"&amp;ROUND(L497,2)&amp;"yrs"</f>
        <v>Useful Life@0yrs</v>
      </c>
      <c r="L380" s="642">
        <f>SUM(N380:AC380)</f>
        <v>0</v>
      </c>
      <c r="N380" s="643">
        <f t="shared" si="214"/>
        <v>0</v>
      </c>
      <c r="O380" s="644">
        <f t="shared" si="214"/>
        <v>0</v>
      </c>
      <c r="P380" s="644">
        <f t="shared" si="214"/>
        <v>0</v>
      </c>
      <c r="Q380" s="644">
        <f t="shared" si="214"/>
        <v>0</v>
      </c>
      <c r="R380" s="644">
        <f t="shared" si="214"/>
        <v>0</v>
      </c>
      <c r="S380" s="644">
        <f t="shared" si="214"/>
        <v>0</v>
      </c>
      <c r="T380" s="644">
        <f t="shared" si="214"/>
        <v>0</v>
      </c>
      <c r="U380" s="644">
        <f t="shared" si="214"/>
        <v>0</v>
      </c>
      <c r="V380" s="644">
        <f t="shared" si="214"/>
        <v>0</v>
      </c>
      <c r="W380" s="644">
        <f t="shared" si="214"/>
        <v>0</v>
      </c>
      <c r="X380" s="644">
        <f t="shared" si="214"/>
        <v>0</v>
      </c>
      <c r="Y380" s="644">
        <f t="shared" si="214"/>
        <v>0</v>
      </c>
      <c r="Z380" s="644">
        <f t="shared" si="214"/>
        <v>0</v>
      </c>
      <c r="AA380" s="644">
        <f t="shared" si="214"/>
        <v>0</v>
      </c>
      <c r="AB380" s="644">
        <f t="shared" si="214"/>
        <v>0</v>
      </c>
      <c r="AC380" s="645">
        <f t="shared" si="214"/>
        <v>0</v>
      </c>
      <c r="AD380" s="1"/>
      <c r="AE380" s="1"/>
    </row>
    <row r="381" spans="9:31" thickBot="1" x14ac:dyDescent="0.3">
      <c r="I381" s="596"/>
      <c r="J381" s="641" t="s">
        <v>375</v>
      </c>
      <c r="K381" s="596"/>
      <c r="L381" s="646">
        <f>SUM(N381:AC381)</f>
        <v>0</v>
      </c>
      <c r="N381" s="647">
        <f t="shared" si="214"/>
        <v>0</v>
      </c>
      <c r="O381" s="648">
        <f t="shared" si="214"/>
        <v>0</v>
      </c>
      <c r="P381" s="648">
        <f t="shared" si="214"/>
        <v>0</v>
      </c>
      <c r="Q381" s="648">
        <f t="shared" si="214"/>
        <v>0</v>
      </c>
      <c r="R381" s="648">
        <f t="shared" si="214"/>
        <v>0</v>
      </c>
      <c r="S381" s="648">
        <f t="shared" si="214"/>
        <v>0</v>
      </c>
      <c r="T381" s="648">
        <f t="shared" si="214"/>
        <v>0</v>
      </c>
      <c r="U381" s="648">
        <f t="shared" si="214"/>
        <v>0</v>
      </c>
      <c r="V381" s="648">
        <f t="shared" si="214"/>
        <v>0</v>
      </c>
      <c r="W381" s="648">
        <f t="shared" si="214"/>
        <v>0</v>
      </c>
      <c r="X381" s="648">
        <f t="shared" si="214"/>
        <v>0</v>
      </c>
      <c r="Y381" s="648">
        <f t="shared" si="214"/>
        <v>0</v>
      </c>
      <c r="Z381" s="648">
        <f t="shared" si="214"/>
        <v>0</v>
      </c>
      <c r="AA381" s="648">
        <f t="shared" si="214"/>
        <v>0</v>
      </c>
      <c r="AB381" s="648">
        <f t="shared" si="214"/>
        <v>0</v>
      </c>
      <c r="AC381" s="649">
        <f t="shared" si="214"/>
        <v>0</v>
      </c>
      <c r="AD381" s="1"/>
      <c r="AE381" s="1"/>
    </row>
    <row r="382" spans="9:31" ht="15.75" x14ac:dyDescent="0.25">
      <c r="I382" s="596"/>
      <c r="J382" s="650" t="str">
        <f>IF(L478&gt;0,"Annual Funding Gap (including IC asset transfer)","Annual Funding Gap")</f>
        <v>Annual Funding Gap</v>
      </c>
      <c r="K382" s="596"/>
      <c r="L382" s="651">
        <f>SUM(N382:AC382)</f>
        <v>0</v>
      </c>
      <c r="N382" s="643">
        <f t="shared" si="214"/>
        <v>0</v>
      </c>
      <c r="O382" s="644">
        <f t="shared" si="214"/>
        <v>0</v>
      </c>
      <c r="P382" s="644">
        <f t="shared" si="214"/>
        <v>0</v>
      </c>
      <c r="Q382" s="644">
        <f t="shared" si="214"/>
        <v>0</v>
      </c>
      <c r="R382" s="644">
        <f t="shared" si="214"/>
        <v>0</v>
      </c>
      <c r="S382" s="644">
        <f t="shared" si="214"/>
        <v>0</v>
      </c>
      <c r="T382" s="644">
        <f t="shared" si="214"/>
        <v>0</v>
      </c>
      <c r="U382" s="644">
        <f t="shared" si="214"/>
        <v>0</v>
      </c>
      <c r="V382" s="644">
        <f t="shared" si="214"/>
        <v>0</v>
      </c>
      <c r="W382" s="644">
        <f t="shared" si="214"/>
        <v>0</v>
      </c>
      <c r="X382" s="644">
        <f t="shared" si="214"/>
        <v>0</v>
      </c>
      <c r="Y382" s="644">
        <f t="shared" si="214"/>
        <v>0</v>
      </c>
      <c r="Z382" s="644">
        <f t="shared" si="214"/>
        <v>0</v>
      </c>
      <c r="AA382" s="644">
        <f t="shared" si="214"/>
        <v>0</v>
      </c>
      <c r="AB382" s="644">
        <f t="shared" si="214"/>
        <v>0</v>
      </c>
      <c r="AC382" s="645">
        <f t="shared" si="214"/>
        <v>0</v>
      </c>
      <c r="AD382" s="1"/>
      <c r="AE382" s="1"/>
    </row>
    <row r="383" spans="9:31" thickBot="1" x14ac:dyDescent="0.3">
      <c r="I383" s="596"/>
      <c r="J383" s="650" t="str">
        <f>IF(L478&gt;0,"Peak Funding Gap (including IC asset transfer)","Peak Funding Gap")</f>
        <v>Peak Funding Gap</v>
      </c>
      <c r="K383" s="596"/>
      <c r="L383" s="652">
        <f>MIN(N383:AC383)</f>
        <v>0</v>
      </c>
      <c r="N383" s="647">
        <f t="shared" si="214"/>
        <v>0</v>
      </c>
      <c r="O383" s="648">
        <f t="shared" si="214"/>
        <v>0</v>
      </c>
      <c r="P383" s="648">
        <f t="shared" si="214"/>
        <v>0</v>
      </c>
      <c r="Q383" s="648">
        <f t="shared" si="214"/>
        <v>0</v>
      </c>
      <c r="R383" s="648">
        <f t="shared" si="214"/>
        <v>0</v>
      </c>
      <c r="S383" s="648">
        <f t="shared" si="214"/>
        <v>0</v>
      </c>
      <c r="T383" s="648">
        <f t="shared" si="214"/>
        <v>0</v>
      </c>
      <c r="U383" s="648">
        <f t="shared" si="214"/>
        <v>0</v>
      </c>
      <c r="V383" s="648">
        <f t="shared" si="214"/>
        <v>0</v>
      </c>
      <c r="W383" s="648">
        <f t="shared" si="214"/>
        <v>0</v>
      </c>
      <c r="X383" s="648">
        <f t="shared" si="214"/>
        <v>0</v>
      </c>
      <c r="Y383" s="648">
        <f t="shared" si="214"/>
        <v>0</v>
      </c>
      <c r="Z383" s="648">
        <f t="shared" si="214"/>
        <v>0</v>
      </c>
      <c r="AA383" s="648">
        <f t="shared" si="214"/>
        <v>0</v>
      </c>
      <c r="AB383" s="648">
        <f t="shared" si="214"/>
        <v>0</v>
      </c>
      <c r="AC383" s="649">
        <f t="shared" si="214"/>
        <v>0</v>
      </c>
      <c r="AD383" s="1"/>
      <c r="AE383" s="1"/>
    </row>
    <row r="384" spans="9:31" ht="14.25" outlineLevel="1" x14ac:dyDescent="0.2">
      <c r="I384" s="1"/>
      <c r="K384" s="1"/>
      <c r="AD384" s="1"/>
      <c r="AE384" s="1"/>
    </row>
    <row r="385" spans="9:31" ht="18" outlineLevel="1" x14ac:dyDescent="0.4">
      <c r="I385" s="1"/>
      <c r="J385" s="653" t="s">
        <v>18</v>
      </c>
      <c r="K385" s="1"/>
      <c r="AD385" s="1"/>
      <c r="AE385" s="1"/>
    </row>
    <row r="386" spans="9:31" outlineLevel="1" x14ac:dyDescent="0.3">
      <c r="I386" s="596"/>
      <c r="J386" s="654" t="s">
        <v>19</v>
      </c>
      <c r="K386" s="655" t="s">
        <v>20</v>
      </c>
      <c r="L386" s="656">
        <f>SUM(N386:AC386)</f>
        <v>0</v>
      </c>
      <c r="M386" s="76"/>
      <c r="N386" s="657">
        <f t="shared" ref="N386:AC387" si="215">N30/$N$365</f>
        <v>0</v>
      </c>
      <c r="O386" s="658">
        <f t="shared" si="215"/>
        <v>0</v>
      </c>
      <c r="P386" s="658">
        <f t="shared" si="215"/>
        <v>0</v>
      </c>
      <c r="Q386" s="658">
        <f t="shared" si="215"/>
        <v>0</v>
      </c>
      <c r="R386" s="658">
        <f t="shared" si="215"/>
        <v>0</v>
      </c>
      <c r="S386" s="658">
        <f t="shared" si="215"/>
        <v>0</v>
      </c>
      <c r="T386" s="658">
        <f t="shared" si="215"/>
        <v>0</v>
      </c>
      <c r="U386" s="658">
        <f t="shared" si="215"/>
        <v>0</v>
      </c>
      <c r="V386" s="658">
        <f t="shared" si="215"/>
        <v>0</v>
      </c>
      <c r="W386" s="658">
        <f t="shared" si="215"/>
        <v>0</v>
      </c>
      <c r="X386" s="658">
        <f t="shared" si="215"/>
        <v>0</v>
      </c>
      <c r="Y386" s="658">
        <f t="shared" si="215"/>
        <v>0</v>
      </c>
      <c r="Z386" s="658">
        <f t="shared" si="215"/>
        <v>0</v>
      </c>
      <c r="AA386" s="658">
        <f t="shared" si="215"/>
        <v>0</v>
      </c>
      <c r="AB386" s="658">
        <f t="shared" si="215"/>
        <v>0</v>
      </c>
      <c r="AC386" s="659">
        <f t="shared" si="215"/>
        <v>0</v>
      </c>
      <c r="AD386" s="1"/>
      <c r="AE386" s="1"/>
    </row>
    <row r="387" spans="9:31" outlineLevel="1" x14ac:dyDescent="0.3">
      <c r="I387" s="596"/>
      <c r="J387" s="660" t="s">
        <v>21</v>
      </c>
      <c r="K387" s="655" t="str">
        <f>IF(P510="Yes","Imputed in ROI","Not imputed in ROI")</f>
        <v>Not imputed in ROI</v>
      </c>
      <c r="L387" s="661">
        <f>SUM(N387:AC387)</f>
        <v>0</v>
      </c>
      <c r="M387" s="76"/>
      <c r="N387" s="662">
        <f t="shared" si="215"/>
        <v>0</v>
      </c>
      <c r="O387" s="663">
        <f t="shared" si="215"/>
        <v>0</v>
      </c>
      <c r="P387" s="663">
        <f t="shared" si="215"/>
        <v>0</v>
      </c>
      <c r="Q387" s="663">
        <f t="shared" si="215"/>
        <v>0</v>
      </c>
      <c r="R387" s="663">
        <f t="shared" si="215"/>
        <v>0</v>
      </c>
      <c r="S387" s="663">
        <f t="shared" si="215"/>
        <v>0</v>
      </c>
      <c r="T387" s="663">
        <f t="shared" si="215"/>
        <v>0</v>
      </c>
      <c r="U387" s="663">
        <f t="shared" si="215"/>
        <v>0</v>
      </c>
      <c r="V387" s="663">
        <f t="shared" si="215"/>
        <v>0</v>
      </c>
      <c r="W387" s="663">
        <f t="shared" si="215"/>
        <v>0</v>
      </c>
      <c r="X387" s="663">
        <f t="shared" si="215"/>
        <v>0</v>
      </c>
      <c r="Y387" s="663">
        <f t="shared" si="215"/>
        <v>0</v>
      </c>
      <c r="Z387" s="663">
        <f t="shared" si="215"/>
        <v>0</v>
      </c>
      <c r="AA387" s="663">
        <f t="shared" si="215"/>
        <v>0</v>
      </c>
      <c r="AB387" s="663">
        <f t="shared" si="215"/>
        <v>0</v>
      </c>
      <c r="AC387" s="664">
        <f t="shared" si="215"/>
        <v>0</v>
      </c>
      <c r="AD387" s="1"/>
      <c r="AE387" s="1"/>
    </row>
    <row r="388" spans="9:31" outlineLevel="1" thickBot="1" x14ac:dyDescent="0.3">
      <c r="I388" s="596"/>
      <c r="J388" s="641"/>
      <c r="K388" s="641"/>
      <c r="L388" s="641"/>
      <c r="N388" s="641"/>
      <c r="O388" s="641"/>
      <c r="P388" s="641"/>
      <c r="Q388" s="641"/>
      <c r="R388" s="641"/>
      <c r="S388" s="641"/>
      <c r="T388" s="641"/>
      <c r="U388" s="641"/>
      <c r="V388" s="641"/>
      <c r="W388" s="641"/>
      <c r="X388" s="641"/>
      <c r="Y388" s="641"/>
      <c r="Z388" s="641"/>
      <c r="AA388" s="641"/>
      <c r="AB388" s="641"/>
      <c r="AC388" s="641"/>
      <c r="AD388" s="1"/>
      <c r="AE388" s="1"/>
    </row>
    <row r="389" spans="9:31" ht="18" x14ac:dyDescent="0.4">
      <c r="I389" s="596" t="s">
        <v>22</v>
      </c>
      <c r="J389" s="597" t="s">
        <v>23</v>
      </c>
      <c r="K389" s="598"/>
      <c r="L389" s="665"/>
      <c r="N389" s="666"/>
      <c r="O389" s="667"/>
      <c r="P389" s="667"/>
      <c r="Q389" s="667"/>
      <c r="R389" s="667"/>
      <c r="S389" s="667"/>
      <c r="T389" s="667"/>
      <c r="U389" s="667"/>
      <c r="V389" s="667"/>
      <c r="W389" s="667"/>
      <c r="X389" s="667"/>
      <c r="Y389" s="667"/>
      <c r="Z389" s="667"/>
      <c r="AA389" s="667"/>
      <c r="AB389" s="667"/>
      <c r="AC389" s="668"/>
      <c r="AD389" s="1"/>
      <c r="AE389" s="1"/>
    </row>
    <row r="390" spans="9:31" ht="15.75" x14ac:dyDescent="0.25">
      <c r="I390" s="596"/>
      <c r="J390" s="598" t="s">
        <v>24</v>
      </c>
      <c r="K390" s="1186" t="str">
        <f>IFERROR(CONCATENATE("CPCF Multiple: ",ROUND(L390/L468,1),"x"),"MOIC Multiple")</f>
        <v>MOIC Multiple</v>
      </c>
      <c r="L390" s="669">
        <f>AC390</f>
        <v>0</v>
      </c>
      <c r="N390" s="616">
        <f t="shared" ref="N390:AC390" si="216">N34/$N$365</f>
        <v>0</v>
      </c>
      <c r="O390" s="617">
        <f t="shared" si="216"/>
        <v>0</v>
      </c>
      <c r="P390" s="617">
        <f t="shared" si="216"/>
        <v>0</v>
      </c>
      <c r="Q390" s="617">
        <f t="shared" si="216"/>
        <v>0</v>
      </c>
      <c r="R390" s="617">
        <f t="shared" si="216"/>
        <v>0</v>
      </c>
      <c r="S390" s="617">
        <f t="shared" si="216"/>
        <v>0</v>
      </c>
      <c r="T390" s="617">
        <f t="shared" si="216"/>
        <v>0</v>
      </c>
      <c r="U390" s="617">
        <f t="shared" si="216"/>
        <v>0</v>
      </c>
      <c r="V390" s="617">
        <f t="shared" si="216"/>
        <v>0</v>
      </c>
      <c r="W390" s="617">
        <f t="shared" si="216"/>
        <v>0</v>
      </c>
      <c r="X390" s="617">
        <f t="shared" si="216"/>
        <v>0</v>
      </c>
      <c r="Y390" s="617">
        <f t="shared" si="216"/>
        <v>0</v>
      </c>
      <c r="Z390" s="617">
        <f t="shared" si="216"/>
        <v>0</v>
      </c>
      <c r="AA390" s="617">
        <f t="shared" si="216"/>
        <v>0</v>
      </c>
      <c r="AB390" s="617">
        <f t="shared" si="216"/>
        <v>0</v>
      </c>
      <c r="AC390" s="618">
        <f t="shared" si="216"/>
        <v>0</v>
      </c>
      <c r="AD390" s="1"/>
      <c r="AE390" s="1"/>
    </row>
    <row r="391" spans="9:31" ht="16.5" customHeight="1" x14ac:dyDescent="0.25">
      <c r="I391" s="596"/>
      <c r="J391" s="598" t="s">
        <v>25</v>
      </c>
      <c r="K391" s="1186"/>
      <c r="L391" s="669" t="str">
        <f>L35</f>
        <v>0 yrs</v>
      </c>
      <c r="N391" s="670" t="str">
        <f t="shared" ref="N391:AC391" si="217">N35</f>
        <v>0 yrs</v>
      </c>
      <c r="O391" s="671" t="str">
        <f t="shared" si="217"/>
        <v>0 yrs</v>
      </c>
      <c r="P391" s="671" t="str">
        <f t="shared" si="217"/>
        <v>0 yrs</v>
      </c>
      <c r="Q391" s="671" t="str">
        <f t="shared" si="217"/>
        <v>0 yrs</v>
      </c>
      <c r="R391" s="671" t="str">
        <f t="shared" si="217"/>
        <v>0 yrs</v>
      </c>
      <c r="S391" s="671" t="str">
        <f t="shared" si="217"/>
        <v>0 yrs</v>
      </c>
      <c r="T391" s="671" t="str">
        <f t="shared" si="217"/>
        <v>0 yrs</v>
      </c>
      <c r="U391" s="671" t="str">
        <f t="shared" si="217"/>
        <v>0 yrs</v>
      </c>
      <c r="V391" s="671" t="str">
        <f t="shared" si="217"/>
        <v>0 yrs</v>
      </c>
      <c r="W391" s="671" t="str">
        <f t="shared" si="217"/>
        <v>0 yrs</v>
      </c>
      <c r="X391" s="671" t="str">
        <f t="shared" si="217"/>
        <v>0 yrs</v>
      </c>
      <c r="Y391" s="671" t="str">
        <f t="shared" si="217"/>
        <v>0 yrs</v>
      </c>
      <c r="Z391" s="671" t="str">
        <f t="shared" si="217"/>
        <v>0 yrs</v>
      </c>
      <c r="AA391" s="671" t="str">
        <f t="shared" si="217"/>
        <v>0 yrs</v>
      </c>
      <c r="AB391" s="671" t="str">
        <f t="shared" si="217"/>
        <v>0 yrs</v>
      </c>
      <c r="AC391" s="672" t="str">
        <f t="shared" si="217"/>
        <v>0 yrs</v>
      </c>
      <c r="AD391" s="1"/>
      <c r="AE391" s="1"/>
    </row>
    <row r="392" spans="9:31" ht="23.25" customHeight="1" x14ac:dyDescent="0.25">
      <c r="I392" s="596"/>
      <c r="J392" s="598" t="s">
        <v>26</v>
      </c>
      <c r="K392" s="673" t="str">
        <f>CONCATENATE("WACC@",$L$98*100,"%")</f>
        <v>WACC@15%</v>
      </c>
      <c r="L392" s="669">
        <f>AC392</f>
        <v>0</v>
      </c>
      <c r="N392" s="616">
        <f t="shared" ref="N392:AC392" si="218">N36/$N$365</f>
        <v>0</v>
      </c>
      <c r="O392" s="617">
        <f t="shared" si="218"/>
        <v>0</v>
      </c>
      <c r="P392" s="617">
        <f t="shared" si="218"/>
        <v>0</v>
      </c>
      <c r="Q392" s="617">
        <f t="shared" si="218"/>
        <v>0</v>
      </c>
      <c r="R392" s="617">
        <f t="shared" si="218"/>
        <v>0</v>
      </c>
      <c r="S392" s="617">
        <f t="shared" si="218"/>
        <v>0</v>
      </c>
      <c r="T392" s="617">
        <f t="shared" si="218"/>
        <v>0</v>
      </c>
      <c r="U392" s="617">
        <f t="shared" si="218"/>
        <v>0</v>
      </c>
      <c r="V392" s="617">
        <f t="shared" si="218"/>
        <v>0</v>
      </c>
      <c r="W392" s="617">
        <f t="shared" si="218"/>
        <v>0</v>
      </c>
      <c r="X392" s="617">
        <f t="shared" si="218"/>
        <v>0</v>
      </c>
      <c r="Y392" s="617">
        <f t="shared" si="218"/>
        <v>0</v>
      </c>
      <c r="Z392" s="617">
        <f t="shared" si="218"/>
        <v>0</v>
      </c>
      <c r="AA392" s="617">
        <f t="shared" si="218"/>
        <v>0</v>
      </c>
      <c r="AB392" s="617">
        <f t="shared" si="218"/>
        <v>0</v>
      </c>
      <c r="AC392" s="618">
        <f t="shared" si="218"/>
        <v>0</v>
      </c>
      <c r="AD392" s="1"/>
      <c r="AE392" s="1"/>
    </row>
    <row r="393" spans="9:31" ht="23.25" customHeight="1" x14ac:dyDescent="0.25">
      <c r="I393" s="596"/>
      <c r="J393" s="598"/>
      <c r="K393" s="673" t="str">
        <f>CONCATENATE("IRR: ",ROUND($L$334*100,1),"%")</f>
        <v>IRR: 0%</v>
      </c>
      <c r="L393" s="674"/>
      <c r="N393" s="89"/>
      <c r="O393" s="90"/>
      <c r="P393" s="90"/>
      <c r="Q393" s="90"/>
      <c r="R393" s="90"/>
      <c r="S393" s="90"/>
      <c r="T393" s="90"/>
      <c r="U393" s="90"/>
      <c r="V393" s="90"/>
      <c r="W393" s="90"/>
      <c r="X393" s="90"/>
      <c r="Y393" s="90"/>
      <c r="Z393" s="90"/>
      <c r="AA393" s="90"/>
      <c r="AB393" s="90"/>
      <c r="AC393" s="91"/>
      <c r="AD393" s="1"/>
      <c r="AE393" s="1"/>
    </row>
    <row r="394" spans="9:31" ht="23.25" customHeight="1" x14ac:dyDescent="0.4">
      <c r="I394" s="596" t="s">
        <v>27</v>
      </c>
      <c r="J394" s="597" t="s">
        <v>28</v>
      </c>
      <c r="L394" s="675">
        <f>IFERROR(AVERAGEIF(O394:AC394,"&gt;100",O394:AC394),)</f>
        <v>0</v>
      </c>
      <c r="N394" s="676">
        <f>SUM(N396:N404)-N397</f>
        <v>0</v>
      </c>
      <c r="O394" s="677">
        <f t="shared" ref="O394:AC394" si="219">SUM(O396:O404)-O397</f>
        <v>0</v>
      </c>
      <c r="P394" s="677">
        <f t="shared" si="219"/>
        <v>0</v>
      </c>
      <c r="Q394" s="677">
        <f t="shared" si="219"/>
        <v>0</v>
      </c>
      <c r="R394" s="677">
        <f t="shared" si="219"/>
        <v>0</v>
      </c>
      <c r="S394" s="677">
        <f t="shared" si="219"/>
        <v>0</v>
      </c>
      <c r="T394" s="677">
        <f t="shared" si="219"/>
        <v>0</v>
      </c>
      <c r="U394" s="677">
        <f t="shared" si="219"/>
        <v>0</v>
      </c>
      <c r="V394" s="677">
        <f t="shared" si="219"/>
        <v>0</v>
      </c>
      <c r="W394" s="677">
        <f t="shared" si="219"/>
        <v>0</v>
      </c>
      <c r="X394" s="677">
        <f t="shared" si="219"/>
        <v>0</v>
      </c>
      <c r="Y394" s="677">
        <f t="shared" si="219"/>
        <v>0</v>
      </c>
      <c r="Z394" s="677">
        <f t="shared" si="219"/>
        <v>0</v>
      </c>
      <c r="AA394" s="677">
        <f t="shared" si="219"/>
        <v>0</v>
      </c>
      <c r="AB394" s="677">
        <f t="shared" si="219"/>
        <v>0</v>
      </c>
      <c r="AC394" s="678">
        <f t="shared" si="219"/>
        <v>0</v>
      </c>
      <c r="AD394" s="1"/>
      <c r="AE394" s="1"/>
    </row>
    <row r="395" spans="9:31" ht="15.75" x14ac:dyDescent="0.25">
      <c r="I395" s="596"/>
      <c r="J395" s="598" t="s">
        <v>29</v>
      </c>
      <c r="K395" s="596"/>
      <c r="L395" s="679" t="str">
        <f>IFERROR(SUM(N394:AC394)/SUM(N372:AC372),"")</f>
        <v/>
      </c>
      <c r="N395" s="680" t="str">
        <f t="shared" ref="N395:AC395" si="220">IFERROR(N394/N372*N481/365,"")</f>
        <v/>
      </c>
      <c r="O395" s="681" t="str">
        <f t="shared" si="220"/>
        <v/>
      </c>
      <c r="P395" s="681" t="str">
        <f t="shared" si="220"/>
        <v/>
      </c>
      <c r="Q395" s="681" t="str">
        <f t="shared" si="220"/>
        <v/>
      </c>
      <c r="R395" s="681" t="str">
        <f t="shared" si="220"/>
        <v/>
      </c>
      <c r="S395" s="681" t="str">
        <f t="shared" si="220"/>
        <v/>
      </c>
      <c r="T395" s="681" t="str">
        <f t="shared" si="220"/>
        <v/>
      </c>
      <c r="U395" s="681" t="str">
        <f t="shared" si="220"/>
        <v/>
      </c>
      <c r="V395" s="681" t="str">
        <f t="shared" si="220"/>
        <v/>
      </c>
      <c r="W395" s="681" t="str">
        <f t="shared" si="220"/>
        <v/>
      </c>
      <c r="X395" s="681" t="str">
        <f t="shared" si="220"/>
        <v/>
      </c>
      <c r="Y395" s="681" t="str">
        <f t="shared" si="220"/>
        <v/>
      </c>
      <c r="Z395" s="681" t="str">
        <f t="shared" si="220"/>
        <v/>
      </c>
      <c r="AA395" s="681" t="str">
        <f t="shared" si="220"/>
        <v/>
      </c>
      <c r="AB395" s="681" t="str">
        <f t="shared" si="220"/>
        <v/>
      </c>
      <c r="AC395" s="682" t="str">
        <f t="shared" si="220"/>
        <v/>
      </c>
      <c r="AD395" s="1"/>
      <c r="AE395" s="1"/>
    </row>
    <row r="396" spans="9:31" x14ac:dyDescent="0.3">
      <c r="I396" s="96"/>
      <c r="J396" s="683" t="s">
        <v>30</v>
      </c>
      <c r="L396" s="615">
        <f t="shared" ref="L396:L401" si="221">IFERROR(AVERAGEIF(N396:AC396,"&gt;0",N396:AC396),)</f>
        <v>0</v>
      </c>
      <c r="N396" s="616">
        <f t="shared" ref="N396:AC405" si="222">N40/$N$365</f>
        <v>0</v>
      </c>
      <c r="O396" s="617">
        <f t="shared" si="222"/>
        <v>0</v>
      </c>
      <c r="P396" s="617">
        <f t="shared" si="222"/>
        <v>0</v>
      </c>
      <c r="Q396" s="617">
        <f t="shared" si="222"/>
        <v>0</v>
      </c>
      <c r="R396" s="617">
        <f t="shared" si="222"/>
        <v>0</v>
      </c>
      <c r="S396" s="617">
        <f t="shared" si="222"/>
        <v>0</v>
      </c>
      <c r="T396" s="617">
        <f t="shared" si="222"/>
        <v>0</v>
      </c>
      <c r="U396" s="617">
        <f t="shared" si="222"/>
        <v>0</v>
      </c>
      <c r="V396" s="617">
        <f t="shared" si="222"/>
        <v>0</v>
      </c>
      <c r="W396" s="617">
        <f t="shared" si="222"/>
        <v>0</v>
      </c>
      <c r="X396" s="617">
        <f t="shared" si="222"/>
        <v>0</v>
      </c>
      <c r="Y396" s="617">
        <f t="shared" si="222"/>
        <v>0</v>
      </c>
      <c r="Z396" s="617">
        <f t="shared" si="222"/>
        <v>0</v>
      </c>
      <c r="AA396" s="617">
        <f t="shared" si="222"/>
        <v>0</v>
      </c>
      <c r="AB396" s="617">
        <f t="shared" si="222"/>
        <v>0</v>
      </c>
      <c r="AC396" s="618">
        <f t="shared" si="222"/>
        <v>0</v>
      </c>
      <c r="AD396" s="1"/>
      <c r="AE396" s="1"/>
    </row>
    <row r="397" spans="9:31" x14ac:dyDescent="0.3">
      <c r="I397" s="96"/>
      <c r="J397" s="683" t="s">
        <v>299</v>
      </c>
      <c r="L397" s="615">
        <f t="shared" si="221"/>
        <v>0</v>
      </c>
      <c r="N397" s="616">
        <f t="shared" si="222"/>
        <v>0</v>
      </c>
      <c r="O397" s="617">
        <f t="shared" si="222"/>
        <v>0</v>
      </c>
      <c r="P397" s="617">
        <f t="shared" si="222"/>
        <v>0</v>
      </c>
      <c r="Q397" s="617">
        <f t="shared" si="222"/>
        <v>0</v>
      </c>
      <c r="R397" s="617">
        <f t="shared" si="222"/>
        <v>0</v>
      </c>
      <c r="S397" s="617">
        <f t="shared" si="222"/>
        <v>0</v>
      </c>
      <c r="T397" s="617">
        <f t="shared" si="222"/>
        <v>0</v>
      </c>
      <c r="U397" s="617">
        <f t="shared" si="222"/>
        <v>0</v>
      </c>
      <c r="V397" s="617">
        <f t="shared" si="222"/>
        <v>0</v>
      </c>
      <c r="W397" s="617">
        <f t="shared" si="222"/>
        <v>0</v>
      </c>
      <c r="X397" s="617">
        <f t="shared" si="222"/>
        <v>0</v>
      </c>
      <c r="Y397" s="617">
        <f t="shared" si="222"/>
        <v>0</v>
      </c>
      <c r="Z397" s="617">
        <f t="shared" si="222"/>
        <v>0</v>
      </c>
      <c r="AA397" s="617">
        <f t="shared" si="222"/>
        <v>0</v>
      </c>
      <c r="AB397" s="617">
        <f t="shared" si="222"/>
        <v>0</v>
      </c>
      <c r="AC397" s="618">
        <f t="shared" si="222"/>
        <v>0</v>
      </c>
      <c r="AD397" s="1"/>
      <c r="AE397" s="1"/>
    </row>
    <row r="398" spans="9:31" ht="24.75" customHeight="1" x14ac:dyDescent="0.3">
      <c r="I398" s="96"/>
      <c r="J398" s="684" t="s">
        <v>295</v>
      </c>
      <c r="L398" s="685">
        <f t="shared" si="221"/>
        <v>0</v>
      </c>
      <c r="M398" s="586"/>
      <c r="N398" s="686">
        <f t="shared" si="222"/>
        <v>0</v>
      </c>
      <c r="O398" s="687">
        <f t="shared" si="222"/>
        <v>0</v>
      </c>
      <c r="P398" s="687">
        <f t="shared" si="222"/>
        <v>0</v>
      </c>
      <c r="Q398" s="687">
        <f t="shared" si="222"/>
        <v>0</v>
      </c>
      <c r="R398" s="687">
        <f t="shared" si="222"/>
        <v>0</v>
      </c>
      <c r="S398" s="687">
        <f t="shared" si="222"/>
        <v>0</v>
      </c>
      <c r="T398" s="687">
        <f t="shared" si="222"/>
        <v>0</v>
      </c>
      <c r="U398" s="687">
        <f t="shared" si="222"/>
        <v>0</v>
      </c>
      <c r="V398" s="687">
        <f t="shared" si="222"/>
        <v>0</v>
      </c>
      <c r="W398" s="687">
        <f t="shared" si="222"/>
        <v>0</v>
      </c>
      <c r="X398" s="687">
        <f t="shared" si="222"/>
        <v>0</v>
      </c>
      <c r="Y398" s="687">
        <f t="shared" si="222"/>
        <v>0</v>
      </c>
      <c r="Z398" s="687">
        <f t="shared" si="222"/>
        <v>0</v>
      </c>
      <c r="AA398" s="687">
        <f t="shared" si="222"/>
        <v>0</v>
      </c>
      <c r="AB398" s="687">
        <f t="shared" si="222"/>
        <v>0</v>
      </c>
      <c r="AC398" s="688">
        <f t="shared" si="222"/>
        <v>0</v>
      </c>
      <c r="AD398" s="1"/>
      <c r="AE398" s="1"/>
    </row>
    <row r="399" spans="9:31" x14ac:dyDescent="0.3">
      <c r="I399" s="96"/>
      <c r="J399" s="684" t="s">
        <v>296</v>
      </c>
      <c r="L399" s="685">
        <f t="shared" si="221"/>
        <v>0</v>
      </c>
      <c r="M399" s="586"/>
      <c r="N399" s="686">
        <f t="shared" si="222"/>
        <v>0</v>
      </c>
      <c r="O399" s="687">
        <f t="shared" si="222"/>
        <v>0</v>
      </c>
      <c r="P399" s="687">
        <f t="shared" si="222"/>
        <v>0</v>
      </c>
      <c r="Q399" s="687">
        <f t="shared" si="222"/>
        <v>0</v>
      </c>
      <c r="R399" s="687">
        <f t="shared" si="222"/>
        <v>0</v>
      </c>
      <c r="S399" s="687">
        <f t="shared" si="222"/>
        <v>0</v>
      </c>
      <c r="T399" s="687">
        <f t="shared" si="222"/>
        <v>0</v>
      </c>
      <c r="U399" s="687">
        <f t="shared" si="222"/>
        <v>0</v>
      </c>
      <c r="V399" s="687">
        <f t="shared" si="222"/>
        <v>0</v>
      </c>
      <c r="W399" s="687">
        <f t="shared" si="222"/>
        <v>0</v>
      </c>
      <c r="X399" s="687">
        <f t="shared" si="222"/>
        <v>0</v>
      </c>
      <c r="Y399" s="687">
        <f t="shared" si="222"/>
        <v>0</v>
      </c>
      <c r="Z399" s="687">
        <f t="shared" si="222"/>
        <v>0</v>
      </c>
      <c r="AA399" s="687">
        <f t="shared" si="222"/>
        <v>0</v>
      </c>
      <c r="AB399" s="687">
        <f t="shared" si="222"/>
        <v>0</v>
      </c>
      <c r="AC399" s="688">
        <f t="shared" si="222"/>
        <v>0</v>
      </c>
      <c r="AD399" s="1"/>
      <c r="AE399" s="1"/>
    </row>
    <row r="400" spans="9:31" x14ac:dyDescent="0.3">
      <c r="I400" s="96"/>
      <c r="J400" s="684" t="s">
        <v>458</v>
      </c>
      <c r="L400" s="685">
        <f t="shared" si="221"/>
        <v>0</v>
      </c>
      <c r="M400" s="586"/>
      <c r="N400" s="686">
        <f t="shared" si="222"/>
        <v>0</v>
      </c>
      <c r="O400" s="687">
        <f t="shared" si="222"/>
        <v>0</v>
      </c>
      <c r="P400" s="687">
        <f t="shared" si="222"/>
        <v>0</v>
      </c>
      <c r="Q400" s="687">
        <f t="shared" si="222"/>
        <v>0</v>
      </c>
      <c r="R400" s="687">
        <f t="shared" si="222"/>
        <v>0</v>
      </c>
      <c r="S400" s="687">
        <f t="shared" si="222"/>
        <v>0</v>
      </c>
      <c r="T400" s="687">
        <f t="shared" si="222"/>
        <v>0</v>
      </c>
      <c r="U400" s="687">
        <f t="shared" si="222"/>
        <v>0</v>
      </c>
      <c r="V400" s="687">
        <f t="shared" si="222"/>
        <v>0</v>
      </c>
      <c r="W400" s="687">
        <f t="shared" si="222"/>
        <v>0</v>
      </c>
      <c r="X400" s="687">
        <f t="shared" si="222"/>
        <v>0</v>
      </c>
      <c r="Y400" s="687">
        <f t="shared" si="222"/>
        <v>0</v>
      </c>
      <c r="Z400" s="687">
        <f t="shared" si="222"/>
        <v>0</v>
      </c>
      <c r="AA400" s="687">
        <f t="shared" si="222"/>
        <v>0</v>
      </c>
      <c r="AB400" s="687">
        <f t="shared" si="222"/>
        <v>0</v>
      </c>
      <c r="AC400" s="688">
        <f t="shared" si="222"/>
        <v>0</v>
      </c>
      <c r="AD400" s="1"/>
      <c r="AE400" s="1"/>
    </row>
    <row r="401" spans="9:31" x14ac:dyDescent="0.3">
      <c r="I401" s="96"/>
      <c r="J401" s="684" t="s">
        <v>298</v>
      </c>
      <c r="L401" s="685">
        <f t="shared" si="221"/>
        <v>0</v>
      </c>
      <c r="M401" s="586"/>
      <c r="N401" s="686">
        <f t="shared" si="222"/>
        <v>0</v>
      </c>
      <c r="O401" s="687">
        <f t="shared" si="222"/>
        <v>0</v>
      </c>
      <c r="P401" s="687">
        <f t="shared" si="222"/>
        <v>0</v>
      </c>
      <c r="Q401" s="687">
        <f t="shared" si="222"/>
        <v>0</v>
      </c>
      <c r="R401" s="687">
        <f t="shared" si="222"/>
        <v>0</v>
      </c>
      <c r="S401" s="687">
        <f t="shared" si="222"/>
        <v>0</v>
      </c>
      <c r="T401" s="687">
        <f t="shared" si="222"/>
        <v>0</v>
      </c>
      <c r="U401" s="687">
        <f t="shared" si="222"/>
        <v>0</v>
      </c>
      <c r="V401" s="687">
        <f t="shared" si="222"/>
        <v>0</v>
      </c>
      <c r="W401" s="687">
        <f t="shared" si="222"/>
        <v>0</v>
      </c>
      <c r="X401" s="687">
        <f t="shared" si="222"/>
        <v>0</v>
      </c>
      <c r="Y401" s="687">
        <f t="shared" si="222"/>
        <v>0</v>
      </c>
      <c r="Z401" s="687">
        <f t="shared" si="222"/>
        <v>0</v>
      </c>
      <c r="AA401" s="687">
        <f t="shared" si="222"/>
        <v>0</v>
      </c>
      <c r="AB401" s="687">
        <f t="shared" si="222"/>
        <v>0</v>
      </c>
      <c r="AC401" s="688">
        <f t="shared" si="222"/>
        <v>0</v>
      </c>
      <c r="AD401" s="1"/>
      <c r="AE401" s="1"/>
    </row>
    <row r="402" spans="9:31" x14ac:dyDescent="0.3">
      <c r="I402" s="96"/>
      <c r="J402" s="683" t="s">
        <v>31</v>
      </c>
      <c r="L402" s="615">
        <f>IFERROR(AVERAGEIF(N402:AC402,"&lt;0",N402:AC402),)</f>
        <v>0</v>
      </c>
      <c r="N402" s="616">
        <f t="shared" si="222"/>
        <v>0</v>
      </c>
      <c r="O402" s="617">
        <f t="shared" si="222"/>
        <v>0</v>
      </c>
      <c r="P402" s="617">
        <f t="shared" si="222"/>
        <v>0</v>
      </c>
      <c r="Q402" s="617">
        <f t="shared" si="222"/>
        <v>0</v>
      </c>
      <c r="R402" s="617">
        <f t="shared" si="222"/>
        <v>0</v>
      </c>
      <c r="S402" s="617">
        <f t="shared" si="222"/>
        <v>0</v>
      </c>
      <c r="T402" s="617">
        <f t="shared" si="222"/>
        <v>0</v>
      </c>
      <c r="U402" s="617">
        <f t="shared" si="222"/>
        <v>0</v>
      </c>
      <c r="V402" s="617">
        <f t="shared" si="222"/>
        <v>0</v>
      </c>
      <c r="W402" s="617">
        <f t="shared" si="222"/>
        <v>0</v>
      </c>
      <c r="X402" s="617">
        <f t="shared" si="222"/>
        <v>0</v>
      </c>
      <c r="Y402" s="617">
        <f t="shared" si="222"/>
        <v>0</v>
      </c>
      <c r="Z402" s="617">
        <f t="shared" si="222"/>
        <v>0</v>
      </c>
      <c r="AA402" s="617">
        <f t="shared" si="222"/>
        <v>0</v>
      </c>
      <c r="AB402" s="617">
        <f t="shared" si="222"/>
        <v>0</v>
      </c>
      <c r="AC402" s="618">
        <f t="shared" si="222"/>
        <v>0</v>
      </c>
      <c r="AD402" s="1"/>
      <c r="AE402" s="1"/>
    </row>
    <row r="403" spans="9:31" ht="26.25" customHeight="1" x14ac:dyDescent="0.3">
      <c r="I403" s="96"/>
      <c r="J403" s="683" t="s">
        <v>32</v>
      </c>
      <c r="L403" s="615">
        <f>IFERROR(AVERAGEIF(N403:AC403,"&gt;0",N403:AC403),)</f>
        <v>0</v>
      </c>
      <c r="N403" s="616">
        <f t="shared" si="222"/>
        <v>0</v>
      </c>
      <c r="O403" s="617">
        <f t="shared" si="222"/>
        <v>0</v>
      </c>
      <c r="P403" s="617">
        <f t="shared" si="222"/>
        <v>0</v>
      </c>
      <c r="Q403" s="617">
        <f t="shared" si="222"/>
        <v>0</v>
      </c>
      <c r="R403" s="617">
        <f t="shared" si="222"/>
        <v>0</v>
      </c>
      <c r="S403" s="617">
        <f t="shared" si="222"/>
        <v>0</v>
      </c>
      <c r="T403" s="617">
        <f t="shared" si="222"/>
        <v>0</v>
      </c>
      <c r="U403" s="617">
        <f t="shared" si="222"/>
        <v>0</v>
      </c>
      <c r="V403" s="617">
        <f t="shared" si="222"/>
        <v>0</v>
      </c>
      <c r="W403" s="617">
        <f t="shared" si="222"/>
        <v>0</v>
      </c>
      <c r="X403" s="617">
        <f t="shared" si="222"/>
        <v>0</v>
      </c>
      <c r="Y403" s="617">
        <f t="shared" si="222"/>
        <v>0</v>
      </c>
      <c r="Z403" s="617">
        <f t="shared" si="222"/>
        <v>0</v>
      </c>
      <c r="AA403" s="617">
        <f t="shared" si="222"/>
        <v>0</v>
      </c>
      <c r="AB403" s="617">
        <f t="shared" si="222"/>
        <v>0</v>
      </c>
      <c r="AC403" s="618">
        <f t="shared" si="222"/>
        <v>0</v>
      </c>
      <c r="AD403" s="1"/>
      <c r="AE403" s="1"/>
    </row>
    <row r="404" spans="9:31" ht="24" customHeight="1" x14ac:dyDescent="0.3">
      <c r="I404" s="96"/>
      <c r="J404" s="683" t="s">
        <v>33</v>
      </c>
      <c r="L404" s="689">
        <f>IFERROR(AVERAGEIF(N404:AC404,"&gt;&lt;0",N404:AC404),)</f>
        <v>0</v>
      </c>
      <c r="N404" s="690">
        <f t="shared" si="222"/>
        <v>0</v>
      </c>
      <c r="O404" s="691">
        <f t="shared" si="222"/>
        <v>0</v>
      </c>
      <c r="P404" s="691">
        <f t="shared" si="222"/>
        <v>0</v>
      </c>
      <c r="Q404" s="691">
        <f t="shared" si="222"/>
        <v>0</v>
      </c>
      <c r="R404" s="691">
        <f t="shared" si="222"/>
        <v>0</v>
      </c>
      <c r="S404" s="691">
        <f t="shared" si="222"/>
        <v>0</v>
      </c>
      <c r="T404" s="691">
        <f t="shared" si="222"/>
        <v>0</v>
      </c>
      <c r="U404" s="691">
        <f t="shared" si="222"/>
        <v>0</v>
      </c>
      <c r="V404" s="691">
        <f t="shared" si="222"/>
        <v>0</v>
      </c>
      <c r="W404" s="691">
        <f t="shared" si="222"/>
        <v>0</v>
      </c>
      <c r="X404" s="691">
        <f t="shared" si="222"/>
        <v>0</v>
      </c>
      <c r="Y404" s="691">
        <f t="shared" si="222"/>
        <v>0</v>
      </c>
      <c r="Z404" s="691">
        <f t="shared" si="222"/>
        <v>0</v>
      </c>
      <c r="AA404" s="691">
        <f t="shared" si="222"/>
        <v>0</v>
      </c>
      <c r="AB404" s="691">
        <f t="shared" si="222"/>
        <v>0</v>
      </c>
      <c r="AC404" s="692">
        <f t="shared" si="222"/>
        <v>0</v>
      </c>
      <c r="AD404" s="1"/>
      <c r="AE404" s="1"/>
    </row>
    <row r="405" spans="9:31" thickBot="1" x14ac:dyDescent="0.3">
      <c r="I405" s="596"/>
      <c r="J405" s="598" t="s">
        <v>34</v>
      </c>
      <c r="K405" s="98">
        <f>K700</f>
        <v>0</v>
      </c>
      <c r="L405" s="693">
        <f>IFERROR(AVERAGEIF(N405:AC405,"&gt;0",N405:AC405),)</f>
        <v>0</v>
      </c>
      <c r="N405" s="694">
        <f t="shared" si="222"/>
        <v>0</v>
      </c>
      <c r="O405" s="695">
        <f t="shared" si="222"/>
        <v>0</v>
      </c>
      <c r="P405" s="695">
        <f t="shared" si="222"/>
        <v>0</v>
      </c>
      <c r="Q405" s="695">
        <f t="shared" si="222"/>
        <v>0</v>
      </c>
      <c r="R405" s="695">
        <f t="shared" si="222"/>
        <v>0</v>
      </c>
      <c r="S405" s="695">
        <f t="shared" si="222"/>
        <v>0</v>
      </c>
      <c r="T405" s="695">
        <f t="shared" si="222"/>
        <v>0</v>
      </c>
      <c r="U405" s="695">
        <f t="shared" si="222"/>
        <v>0</v>
      </c>
      <c r="V405" s="695">
        <f t="shared" si="222"/>
        <v>0</v>
      </c>
      <c r="W405" s="695">
        <f t="shared" si="222"/>
        <v>0</v>
      </c>
      <c r="X405" s="695">
        <f t="shared" si="222"/>
        <v>0</v>
      </c>
      <c r="Y405" s="695">
        <f t="shared" si="222"/>
        <v>0</v>
      </c>
      <c r="Z405" s="695">
        <f t="shared" si="222"/>
        <v>0</v>
      </c>
      <c r="AA405" s="695">
        <f t="shared" si="222"/>
        <v>0</v>
      </c>
      <c r="AB405" s="695">
        <f t="shared" si="222"/>
        <v>0</v>
      </c>
      <c r="AC405" s="696">
        <f t="shared" si="222"/>
        <v>0</v>
      </c>
      <c r="AD405" s="1"/>
      <c r="AE405" s="1"/>
    </row>
    <row r="406" spans="9:31" ht="14.25" x14ac:dyDescent="0.2">
      <c r="I406" s="1"/>
      <c r="K406" s="1"/>
      <c r="AD406" s="1"/>
      <c r="AE406" s="1"/>
    </row>
    <row r="407" spans="9:31" ht="18" x14ac:dyDescent="0.2">
      <c r="I407" s="582">
        <v>10</v>
      </c>
      <c r="J407" s="583" t="s">
        <v>438</v>
      </c>
      <c r="K407" s="583"/>
      <c r="L407" s="584"/>
      <c r="M407" s="584"/>
      <c r="N407" s="585"/>
      <c r="O407" s="585"/>
      <c r="P407" s="585"/>
      <c r="Q407" s="585"/>
      <c r="R407" s="585"/>
      <c r="S407" s="585"/>
      <c r="T407" s="585"/>
      <c r="U407" s="585"/>
      <c r="V407" s="585"/>
      <c r="W407" s="585"/>
      <c r="X407" s="585"/>
      <c r="Y407" s="585"/>
      <c r="Z407" s="585"/>
      <c r="AA407" s="585"/>
      <c r="AB407" s="585"/>
      <c r="AC407" s="585"/>
      <c r="AD407" s="1"/>
      <c r="AE407" s="1"/>
    </row>
    <row r="408" spans="9:31" ht="14.25" x14ac:dyDescent="0.2">
      <c r="I408" s="1"/>
      <c r="K408" s="1"/>
      <c r="AD408" s="1"/>
      <c r="AE408" s="1"/>
    </row>
    <row r="409" spans="9:31" ht="14.25" x14ac:dyDescent="0.2">
      <c r="I409" s="1"/>
      <c r="K409" s="1"/>
      <c r="AD409" s="1"/>
      <c r="AE409" s="1"/>
    </row>
    <row r="410" spans="9:31" ht="14.25" x14ac:dyDescent="0.2">
      <c r="I410" s="1"/>
      <c r="K410" s="1"/>
      <c r="AD410" s="1"/>
      <c r="AE410" s="1"/>
    </row>
    <row r="411" spans="9:31" ht="14.25" x14ac:dyDescent="0.2">
      <c r="I411" s="1"/>
      <c r="K411" s="1"/>
      <c r="AD411" s="1"/>
      <c r="AE411" s="1"/>
    </row>
    <row r="412" spans="9:31" ht="14.25" x14ac:dyDescent="0.2">
      <c r="I412" s="1"/>
      <c r="K412" s="1"/>
      <c r="AD412" s="1"/>
      <c r="AE412" s="1"/>
    </row>
    <row r="413" spans="9:31" ht="14.25" x14ac:dyDescent="0.2">
      <c r="I413" s="1"/>
      <c r="K413" s="1"/>
      <c r="AD413" s="1"/>
      <c r="AE413" s="1"/>
    </row>
    <row r="414" spans="9:31" ht="14.25" x14ac:dyDescent="0.2">
      <c r="I414" s="1"/>
      <c r="K414" s="1"/>
      <c r="AD414" s="1"/>
      <c r="AE414" s="1"/>
    </row>
    <row r="415" spans="9:31" ht="14.25" x14ac:dyDescent="0.2">
      <c r="I415" s="1"/>
      <c r="K415" s="1"/>
      <c r="AD415" s="1"/>
      <c r="AE415" s="1"/>
    </row>
    <row r="416" spans="9:31" ht="14.25" x14ac:dyDescent="0.2">
      <c r="I416" s="1"/>
      <c r="K416" s="1"/>
      <c r="AD416" s="1"/>
      <c r="AE416" s="1"/>
    </row>
    <row r="417" s="1" customFormat="1" ht="14.25" x14ac:dyDescent="0.2"/>
    <row r="418" s="1" customFormat="1" ht="14.25" x14ac:dyDescent="0.2"/>
    <row r="419" s="1" customFormat="1" ht="14.25" x14ac:dyDescent="0.2"/>
    <row r="420" s="1" customFormat="1" ht="14.25" x14ac:dyDescent="0.2"/>
    <row r="421" s="1" customFormat="1" ht="14.25" x14ac:dyDescent="0.2"/>
    <row r="422" s="1" customFormat="1" ht="14.25" x14ac:dyDescent="0.2"/>
    <row r="423" s="1" customFormat="1" ht="14.25" x14ac:dyDescent="0.2"/>
    <row r="424" s="1" customFormat="1" ht="14.25" x14ac:dyDescent="0.2"/>
    <row r="425" s="1" customFormat="1" ht="14.25" x14ac:dyDescent="0.2"/>
    <row r="426" s="1" customFormat="1" ht="14.25" x14ac:dyDescent="0.2"/>
    <row r="427" s="1" customFormat="1" ht="14.25" x14ac:dyDescent="0.2"/>
    <row r="428" s="1" customFormat="1" ht="14.25" x14ac:dyDescent="0.2"/>
    <row r="429" s="1" customFormat="1" ht="14.25" x14ac:dyDescent="0.2"/>
    <row r="430" s="1" customFormat="1" ht="14.25" x14ac:dyDescent="0.2"/>
    <row r="431" s="1" customFormat="1" ht="14.25" x14ac:dyDescent="0.2"/>
    <row r="432" s="1" customFormat="1" ht="14.25" x14ac:dyDescent="0.2"/>
    <row r="433" spans="9:31" ht="19.5" x14ac:dyDescent="0.35">
      <c r="J433" s="977" t="s">
        <v>433</v>
      </c>
      <c r="K433" s="978"/>
      <c r="L433" s="979"/>
      <c r="M433" s="979"/>
      <c r="N433" s="592">
        <f>N11</f>
        <v>2024</v>
      </c>
      <c r="O433" s="24">
        <f t="shared" ref="O433:AC433" si="223">O11</f>
        <v>2025</v>
      </c>
      <c r="P433" s="24">
        <f t="shared" si="223"/>
        <v>2026</v>
      </c>
      <c r="Q433" s="24">
        <f t="shared" si="223"/>
        <v>2027</v>
      </c>
      <c r="R433" s="24">
        <f t="shared" si="223"/>
        <v>2028</v>
      </c>
      <c r="S433" s="24">
        <f t="shared" si="223"/>
        <v>2029</v>
      </c>
      <c r="T433" s="24">
        <f t="shared" si="223"/>
        <v>2030</v>
      </c>
      <c r="U433" s="24">
        <f t="shared" si="223"/>
        <v>2031</v>
      </c>
      <c r="V433" s="24">
        <f t="shared" si="223"/>
        <v>2032</v>
      </c>
      <c r="W433" s="24">
        <f t="shared" si="223"/>
        <v>2033</v>
      </c>
      <c r="X433" s="24">
        <f t="shared" si="223"/>
        <v>2034</v>
      </c>
      <c r="Y433" s="24">
        <f t="shared" si="223"/>
        <v>2035</v>
      </c>
      <c r="Z433" s="24">
        <f t="shared" si="223"/>
        <v>2036</v>
      </c>
      <c r="AA433" s="24">
        <f t="shared" si="223"/>
        <v>2037</v>
      </c>
      <c r="AB433" s="24">
        <f t="shared" si="223"/>
        <v>2038</v>
      </c>
      <c r="AC433" s="25">
        <f t="shared" si="223"/>
        <v>2039</v>
      </c>
    </row>
    <row r="434" spans="9:31" x14ac:dyDescent="0.3">
      <c r="I434" s="1"/>
      <c r="J434" s="1057" t="s">
        <v>431</v>
      </c>
      <c r="K434" s="981"/>
      <c r="L434" s="982"/>
      <c r="M434" s="982"/>
      <c r="N434" s="983">
        <f>N372</f>
        <v>0</v>
      </c>
      <c r="O434" s="983">
        <f t="shared" ref="O434:AC434" si="224">O372</f>
        <v>0</v>
      </c>
      <c r="P434" s="983">
        <f t="shared" si="224"/>
        <v>0</v>
      </c>
      <c r="Q434" s="983">
        <f t="shared" si="224"/>
        <v>0</v>
      </c>
      <c r="R434" s="983">
        <f t="shared" si="224"/>
        <v>0</v>
      </c>
      <c r="S434" s="983">
        <f t="shared" si="224"/>
        <v>0</v>
      </c>
      <c r="T434" s="983">
        <f t="shared" si="224"/>
        <v>0</v>
      </c>
      <c r="U434" s="983">
        <f t="shared" si="224"/>
        <v>0</v>
      </c>
      <c r="V434" s="983">
        <f t="shared" si="224"/>
        <v>0</v>
      </c>
      <c r="W434" s="983">
        <f t="shared" si="224"/>
        <v>0</v>
      </c>
      <c r="X434" s="983">
        <f t="shared" si="224"/>
        <v>0</v>
      </c>
      <c r="Y434" s="983">
        <f t="shared" si="224"/>
        <v>0</v>
      </c>
      <c r="Z434" s="983">
        <f t="shared" si="224"/>
        <v>0</v>
      </c>
      <c r="AA434" s="983">
        <f t="shared" si="224"/>
        <v>0</v>
      </c>
      <c r="AB434" s="983">
        <f t="shared" si="224"/>
        <v>0</v>
      </c>
      <c r="AC434" s="984">
        <f t="shared" si="224"/>
        <v>0</v>
      </c>
      <c r="AD434" s="1"/>
      <c r="AE434" s="1"/>
    </row>
    <row r="435" spans="9:31" x14ac:dyDescent="0.3">
      <c r="I435" s="1"/>
      <c r="J435" s="1057" t="s">
        <v>16</v>
      </c>
      <c r="K435" s="981"/>
      <c r="L435" s="982"/>
      <c r="M435" s="982"/>
      <c r="N435" s="983">
        <f>N376</f>
        <v>0</v>
      </c>
      <c r="O435" s="983">
        <f t="shared" ref="O435:AC437" si="225">O376</f>
        <v>0</v>
      </c>
      <c r="P435" s="983">
        <f t="shared" si="225"/>
        <v>0</v>
      </c>
      <c r="Q435" s="983">
        <f t="shared" si="225"/>
        <v>0</v>
      </c>
      <c r="R435" s="983">
        <f t="shared" si="225"/>
        <v>0</v>
      </c>
      <c r="S435" s="983">
        <f t="shared" si="225"/>
        <v>0</v>
      </c>
      <c r="T435" s="983">
        <f t="shared" si="225"/>
        <v>0</v>
      </c>
      <c r="U435" s="983">
        <f t="shared" si="225"/>
        <v>0</v>
      </c>
      <c r="V435" s="983">
        <f t="shared" si="225"/>
        <v>0</v>
      </c>
      <c r="W435" s="983">
        <f t="shared" si="225"/>
        <v>0</v>
      </c>
      <c r="X435" s="983">
        <f t="shared" si="225"/>
        <v>0</v>
      </c>
      <c r="Y435" s="983">
        <f t="shared" si="225"/>
        <v>0</v>
      </c>
      <c r="Z435" s="983">
        <f t="shared" si="225"/>
        <v>0</v>
      </c>
      <c r="AA435" s="983">
        <f t="shared" si="225"/>
        <v>0</v>
      </c>
      <c r="AB435" s="983">
        <f t="shared" si="225"/>
        <v>0</v>
      </c>
      <c r="AC435" s="984">
        <f t="shared" si="225"/>
        <v>0</v>
      </c>
      <c r="AD435" s="1"/>
      <c r="AE435" s="1"/>
    </row>
    <row r="436" spans="9:31" x14ac:dyDescent="0.3">
      <c r="I436" s="1"/>
      <c r="J436" s="985" t="s">
        <v>423</v>
      </c>
      <c r="K436" s="981"/>
      <c r="L436" s="982"/>
      <c r="M436" s="982"/>
      <c r="N436" s="986">
        <f>N377</f>
        <v>0</v>
      </c>
      <c r="O436" s="986">
        <f t="shared" si="225"/>
        <v>0</v>
      </c>
      <c r="P436" s="986">
        <f t="shared" si="225"/>
        <v>0</v>
      </c>
      <c r="Q436" s="986">
        <f t="shared" si="225"/>
        <v>0</v>
      </c>
      <c r="R436" s="986">
        <f t="shared" si="225"/>
        <v>0</v>
      </c>
      <c r="S436" s="986">
        <f t="shared" si="225"/>
        <v>0</v>
      </c>
      <c r="T436" s="986">
        <f t="shared" si="225"/>
        <v>0</v>
      </c>
      <c r="U436" s="986">
        <f t="shared" si="225"/>
        <v>0</v>
      </c>
      <c r="V436" s="986">
        <f t="shared" si="225"/>
        <v>0</v>
      </c>
      <c r="W436" s="986">
        <f t="shared" si="225"/>
        <v>0</v>
      </c>
      <c r="X436" s="986">
        <f t="shared" si="225"/>
        <v>0</v>
      </c>
      <c r="Y436" s="986">
        <f t="shared" si="225"/>
        <v>0</v>
      </c>
      <c r="Z436" s="986">
        <f t="shared" si="225"/>
        <v>0</v>
      </c>
      <c r="AA436" s="986">
        <f t="shared" si="225"/>
        <v>0</v>
      </c>
      <c r="AB436" s="986">
        <f t="shared" si="225"/>
        <v>0</v>
      </c>
      <c r="AC436" s="987">
        <f t="shared" si="225"/>
        <v>0</v>
      </c>
      <c r="AD436" s="1"/>
      <c r="AE436" s="1"/>
    </row>
    <row r="437" spans="9:31" x14ac:dyDescent="0.3">
      <c r="I437" s="1"/>
      <c r="J437" s="985" t="s">
        <v>424</v>
      </c>
      <c r="K437" s="981"/>
      <c r="L437" s="982"/>
      <c r="M437" s="982"/>
      <c r="N437" s="986">
        <f>N378</f>
        <v>0</v>
      </c>
      <c r="O437" s="986">
        <f t="shared" si="225"/>
        <v>0</v>
      </c>
      <c r="P437" s="986">
        <f t="shared" si="225"/>
        <v>0</v>
      </c>
      <c r="Q437" s="986">
        <f t="shared" si="225"/>
        <v>0</v>
      </c>
      <c r="R437" s="986">
        <f t="shared" si="225"/>
        <v>0</v>
      </c>
      <c r="S437" s="986">
        <f t="shared" si="225"/>
        <v>0</v>
      </c>
      <c r="T437" s="986">
        <f t="shared" si="225"/>
        <v>0</v>
      </c>
      <c r="U437" s="986">
        <f t="shared" si="225"/>
        <v>0</v>
      </c>
      <c r="V437" s="986">
        <f t="shared" si="225"/>
        <v>0</v>
      </c>
      <c r="W437" s="986">
        <f t="shared" si="225"/>
        <v>0</v>
      </c>
      <c r="X437" s="986">
        <f t="shared" si="225"/>
        <v>0</v>
      </c>
      <c r="Y437" s="986">
        <f t="shared" si="225"/>
        <v>0</v>
      </c>
      <c r="Z437" s="986">
        <f t="shared" si="225"/>
        <v>0</v>
      </c>
      <c r="AA437" s="986">
        <f t="shared" si="225"/>
        <v>0</v>
      </c>
      <c r="AB437" s="986">
        <f t="shared" si="225"/>
        <v>0</v>
      </c>
      <c r="AC437" s="987">
        <f t="shared" si="225"/>
        <v>0</v>
      </c>
      <c r="AD437" s="1"/>
      <c r="AE437" s="1"/>
    </row>
    <row r="438" spans="9:31" ht="15.75" x14ac:dyDescent="0.25">
      <c r="I438" s="1"/>
      <c r="J438" s="1058"/>
      <c r="K438" s="996"/>
      <c r="L438" s="997"/>
      <c r="M438" s="997"/>
      <c r="N438" s="998"/>
      <c r="O438" s="998"/>
      <c r="P438" s="998"/>
      <c r="Q438" s="998"/>
      <c r="R438" s="998"/>
      <c r="S438" s="998"/>
      <c r="T438" s="998"/>
      <c r="U438" s="998"/>
      <c r="V438" s="998"/>
      <c r="W438" s="998"/>
      <c r="X438" s="998"/>
      <c r="Y438" s="998"/>
      <c r="Z438" s="998"/>
      <c r="AA438" s="998"/>
      <c r="AB438" s="998"/>
      <c r="AC438" s="999"/>
      <c r="AD438" s="1"/>
      <c r="AE438" s="1"/>
    </row>
    <row r="439" spans="9:31" ht="17.25" x14ac:dyDescent="0.35">
      <c r="J439" s="977" t="s">
        <v>434</v>
      </c>
      <c r="K439" s="978"/>
      <c r="L439" s="979"/>
      <c r="M439" s="979"/>
      <c r="N439" s="1000"/>
      <c r="O439" s="1000"/>
      <c r="P439" s="1000"/>
      <c r="Q439" s="1000"/>
      <c r="R439" s="1000"/>
      <c r="S439" s="1000"/>
      <c r="T439" s="1000"/>
      <c r="U439" s="1000"/>
      <c r="V439" s="1000"/>
      <c r="W439" s="1000"/>
      <c r="X439" s="1000"/>
      <c r="Y439" s="1000"/>
      <c r="Z439" s="1000"/>
      <c r="AA439" s="1000"/>
      <c r="AB439" s="1000"/>
      <c r="AC439" s="1001"/>
    </row>
    <row r="440" spans="9:31" x14ac:dyDescent="0.3">
      <c r="I440" s="1"/>
      <c r="J440" s="1057" t="s">
        <v>440</v>
      </c>
      <c r="K440" s="981"/>
      <c r="L440" s="982"/>
      <c r="M440" s="982"/>
      <c r="N440" s="983">
        <f>N228/$N$365</f>
        <v>0</v>
      </c>
      <c r="O440" s="983">
        <f t="shared" ref="O440:AC440" si="226">O228/$N$365</f>
        <v>0</v>
      </c>
      <c r="P440" s="983">
        <f t="shared" si="226"/>
        <v>0</v>
      </c>
      <c r="Q440" s="983">
        <f t="shared" si="226"/>
        <v>0</v>
      </c>
      <c r="R440" s="983">
        <f t="shared" si="226"/>
        <v>0</v>
      </c>
      <c r="S440" s="983">
        <f t="shared" si="226"/>
        <v>0</v>
      </c>
      <c r="T440" s="983">
        <f t="shared" si="226"/>
        <v>0</v>
      </c>
      <c r="U440" s="983">
        <f t="shared" si="226"/>
        <v>0</v>
      </c>
      <c r="V440" s="983">
        <f t="shared" si="226"/>
        <v>0</v>
      </c>
      <c r="W440" s="983">
        <f t="shared" si="226"/>
        <v>0</v>
      </c>
      <c r="X440" s="983">
        <f t="shared" si="226"/>
        <v>0</v>
      </c>
      <c r="Y440" s="983">
        <f t="shared" si="226"/>
        <v>0</v>
      </c>
      <c r="Z440" s="983">
        <f t="shared" si="226"/>
        <v>0</v>
      </c>
      <c r="AA440" s="983">
        <f t="shared" si="226"/>
        <v>0</v>
      </c>
      <c r="AB440" s="983">
        <f t="shared" si="226"/>
        <v>0</v>
      </c>
      <c r="AC440" s="984">
        <f t="shared" si="226"/>
        <v>0</v>
      </c>
      <c r="AD440" s="1"/>
      <c r="AE440" s="1"/>
    </row>
    <row r="441" spans="9:31" x14ac:dyDescent="0.3">
      <c r="I441" s="1"/>
      <c r="J441" s="1057" t="s">
        <v>441</v>
      </c>
      <c r="K441" s="981"/>
      <c r="L441" s="982"/>
      <c r="M441" s="982"/>
      <c r="N441" s="983">
        <f>-N232/$N$365</f>
        <v>0</v>
      </c>
      <c r="O441" s="983">
        <f>-O232/$N$365</f>
        <v>0</v>
      </c>
      <c r="P441" s="983">
        <f t="shared" ref="P441:AC441" si="227">-P232/$N$365</f>
        <v>0</v>
      </c>
      <c r="Q441" s="983">
        <f t="shared" si="227"/>
        <v>0</v>
      </c>
      <c r="R441" s="983">
        <f t="shared" si="227"/>
        <v>0</v>
      </c>
      <c r="S441" s="983">
        <f t="shared" si="227"/>
        <v>0</v>
      </c>
      <c r="T441" s="983">
        <f t="shared" si="227"/>
        <v>0</v>
      </c>
      <c r="U441" s="983">
        <f t="shared" si="227"/>
        <v>0</v>
      </c>
      <c r="V441" s="983">
        <f t="shared" si="227"/>
        <v>0</v>
      </c>
      <c r="W441" s="983">
        <f t="shared" si="227"/>
        <v>0</v>
      </c>
      <c r="X441" s="983">
        <f t="shared" si="227"/>
        <v>0</v>
      </c>
      <c r="Y441" s="983">
        <f t="shared" si="227"/>
        <v>0</v>
      </c>
      <c r="Z441" s="983">
        <f t="shared" si="227"/>
        <v>0</v>
      </c>
      <c r="AA441" s="983">
        <f t="shared" si="227"/>
        <v>0</v>
      </c>
      <c r="AB441" s="983">
        <f t="shared" si="227"/>
        <v>0</v>
      </c>
      <c r="AC441" s="984">
        <f t="shared" si="227"/>
        <v>0</v>
      </c>
      <c r="AD441" s="1"/>
      <c r="AE441" s="1"/>
    </row>
    <row r="442" spans="9:31" x14ac:dyDescent="0.3">
      <c r="I442" s="1"/>
      <c r="J442" s="1057" t="s">
        <v>186</v>
      </c>
      <c r="K442" s="981"/>
      <c r="L442" s="982"/>
      <c r="M442" s="982"/>
      <c r="N442" s="983">
        <f>N237/$N$365</f>
        <v>0</v>
      </c>
      <c r="O442" s="983">
        <f t="shared" ref="O442:AC442" si="228">O237/$N$365</f>
        <v>0</v>
      </c>
      <c r="P442" s="983">
        <f t="shared" si="228"/>
        <v>0</v>
      </c>
      <c r="Q442" s="983">
        <f t="shared" si="228"/>
        <v>0</v>
      </c>
      <c r="R442" s="983">
        <f t="shared" si="228"/>
        <v>0</v>
      </c>
      <c r="S442" s="983">
        <f t="shared" si="228"/>
        <v>0</v>
      </c>
      <c r="T442" s="983">
        <f t="shared" si="228"/>
        <v>0</v>
      </c>
      <c r="U442" s="983">
        <f t="shared" si="228"/>
        <v>0</v>
      </c>
      <c r="V442" s="983">
        <f t="shared" si="228"/>
        <v>0</v>
      </c>
      <c r="W442" s="983">
        <f t="shared" si="228"/>
        <v>0</v>
      </c>
      <c r="X442" s="983">
        <f t="shared" si="228"/>
        <v>0</v>
      </c>
      <c r="Y442" s="983">
        <f t="shared" si="228"/>
        <v>0</v>
      </c>
      <c r="Z442" s="983">
        <f t="shared" si="228"/>
        <v>0</v>
      </c>
      <c r="AA442" s="983">
        <f t="shared" si="228"/>
        <v>0</v>
      </c>
      <c r="AB442" s="983">
        <f t="shared" si="228"/>
        <v>0</v>
      </c>
      <c r="AC442" s="984">
        <f t="shared" si="228"/>
        <v>0</v>
      </c>
      <c r="AD442" s="1"/>
      <c r="AE442" s="1"/>
    </row>
    <row r="443" spans="9:31" x14ac:dyDescent="0.3">
      <c r="I443" s="1"/>
      <c r="J443" s="1057" t="s">
        <v>432</v>
      </c>
      <c r="K443" s="981"/>
      <c r="L443" s="982"/>
      <c r="M443" s="982"/>
      <c r="N443" s="983">
        <f>SUM($N440:N441)</f>
        <v>0</v>
      </c>
      <c r="O443" s="983">
        <f>SUM($N440:O441)</f>
        <v>0</v>
      </c>
      <c r="P443" s="983">
        <f>SUM($N440:P441)</f>
        <v>0</v>
      </c>
      <c r="Q443" s="983">
        <f>SUM($N440:Q441)</f>
        <v>0</v>
      </c>
      <c r="R443" s="983">
        <f>SUM($N440:R441)</f>
        <v>0</v>
      </c>
      <c r="S443" s="983">
        <f>SUM($N440:S441)</f>
        <v>0</v>
      </c>
      <c r="T443" s="983">
        <f>SUM($N440:T441)</f>
        <v>0</v>
      </c>
      <c r="U443" s="983">
        <f>SUM($N440:U441)</f>
        <v>0</v>
      </c>
      <c r="V443" s="983">
        <f>SUM($N440:V441)</f>
        <v>0</v>
      </c>
      <c r="W443" s="983">
        <f>SUM($N440:W441)</f>
        <v>0</v>
      </c>
      <c r="X443" s="983">
        <f>SUM($N440:X441)</f>
        <v>0</v>
      </c>
      <c r="Y443" s="983">
        <f>SUM($N440:Y441)</f>
        <v>0</v>
      </c>
      <c r="Z443" s="983">
        <f>SUM($N440:Z441)</f>
        <v>0</v>
      </c>
      <c r="AA443" s="983">
        <f>SUM($N440:AA441)</f>
        <v>0</v>
      </c>
      <c r="AB443" s="983">
        <f>SUM($N440:AB441)</f>
        <v>0</v>
      </c>
      <c r="AC443" s="984">
        <f>SUM($N440:AC441)</f>
        <v>0</v>
      </c>
      <c r="AD443" s="1"/>
      <c r="AE443" s="1"/>
    </row>
    <row r="444" spans="9:31" x14ac:dyDescent="0.3">
      <c r="I444" s="1"/>
      <c r="J444" s="1057" t="s">
        <v>436</v>
      </c>
      <c r="K444" s="981"/>
      <c r="L444" s="982"/>
      <c r="M444" s="982"/>
      <c r="N444" s="983"/>
      <c r="O444" s="983">
        <f>O328/$N$365</f>
        <v>0</v>
      </c>
      <c r="P444" s="983">
        <f t="shared" ref="P444:AC444" si="229">P328/$N$365</f>
        <v>0</v>
      </c>
      <c r="Q444" s="983">
        <f t="shared" si="229"/>
        <v>0</v>
      </c>
      <c r="R444" s="983">
        <f t="shared" si="229"/>
        <v>0</v>
      </c>
      <c r="S444" s="983">
        <f t="shared" si="229"/>
        <v>0</v>
      </c>
      <c r="T444" s="983">
        <f t="shared" si="229"/>
        <v>0</v>
      </c>
      <c r="U444" s="983">
        <f t="shared" si="229"/>
        <v>0</v>
      </c>
      <c r="V444" s="983">
        <f t="shared" si="229"/>
        <v>0</v>
      </c>
      <c r="W444" s="983">
        <f t="shared" si="229"/>
        <v>0</v>
      </c>
      <c r="X444" s="983">
        <f t="shared" si="229"/>
        <v>0</v>
      </c>
      <c r="Y444" s="983">
        <f t="shared" si="229"/>
        <v>0</v>
      </c>
      <c r="Z444" s="983">
        <f t="shared" si="229"/>
        <v>0</v>
      </c>
      <c r="AA444" s="983">
        <f t="shared" si="229"/>
        <v>0</v>
      </c>
      <c r="AB444" s="983">
        <f t="shared" si="229"/>
        <v>0</v>
      </c>
      <c r="AC444" s="984">
        <f t="shared" si="229"/>
        <v>0</v>
      </c>
      <c r="AD444" s="1"/>
      <c r="AE444" s="1"/>
    </row>
    <row r="445" spans="9:31" x14ac:dyDescent="0.3">
      <c r="I445" s="1"/>
      <c r="J445" s="1059"/>
      <c r="K445" s="997"/>
      <c r="L445" s="997"/>
      <c r="M445" s="997"/>
      <c r="N445" s="998"/>
      <c r="O445" s="998"/>
      <c r="P445" s="998"/>
      <c r="Q445" s="998"/>
      <c r="R445" s="998"/>
      <c r="S445" s="998"/>
      <c r="T445" s="998"/>
      <c r="U445" s="998"/>
      <c r="V445" s="998"/>
      <c r="W445" s="998"/>
      <c r="X445" s="998"/>
      <c r="Y445" s="998"/>
      <c r="Z445" s="998"/>
      <c r="AA445" s="998"/>
      <c r="AB445" s="998"/>
      <c r="AC445" s="999"/>
      <c r="AD445" s="1"/>
      <c r="AE445" s="1"/>
    </row>
    <row r="446" spans="9:31" ht="17.25" x14ac:dyDescent="0.35">
      <c r="J446" s="989" t="s">
        <v>435</v>
      </c>
      <c r="K446" s="990"/>
      <c r="L446" s="982"/>
      <c r="M446" s="982"/>
      <c r="N446" s="983"/>
      <c r="O446" s="983"/>
      <c r="P446" s="983"/>
      <c r="Q446" s="983"/>
      <c r="R446" s="983"/>
      <c r="S446" s="983"/>
      <c r="T446" s="983"/>
      <c r="U446" s="983"/>
      <c r="V446" s="983"/>
      <c r="W446" s="983"/>
      <c r="X446" s="983"/>
      <c r="Y446" s="983"/>
      <c r="Z446" s="983"/>
      <c r="AA446" s="983"/>
      <c r="AB446" s="983"/>
      <c r="AC446" s="984"/>
    </row>
    <row r="447" spans="9:31" x14ac:dyDescent="0.3">
      <c r="I447" s="1"/>
      <c r="J447" s="1057" t="s">
        <v>30</v>
      </c>
      <c r="K447" s="981"/>
      <c r="L447" s="982"/>
      <c r="M447" s="982"/>
      <c r="N447" s="983">
        <f>N40/$N$365</f>
        <v>0</v>
      </c>
      <c r="O447" s="983">
        <f t="shared" ref="O447:AC448" si="230">O40/$N$365</f>
        <v>0</v>
      </c>
      <c r="P447" s="983">
        <f t="shared" si="230"/>
        <v>0</v>
      </c>
      <c r="Q447" s="983">
        <f t="shared" si="230"/>
        <v>0</v>
      </c>
      <c r="R447" s="983">
        <f t="shared" si="230"/>
        <v>0</v>
      </c>
      <c r="S447" s="983">
        <f t="shared" si="230"/>
        <v>0</v>
      </c>
      <c r="T447" s="983">
        <f t="shared" si="230"/>
        <v>0</v>
      </c>
      <c r="U447" s="983">
        <f t="shared" si="230"/>
        <v>0</v>
      </c>
      <c r="V447" s="983">
        <f t="shared" si="230"/>
        <v>0</v>
      </c>
      <c r="W447" s="983">
        <f t="shared" si="230"/>
        <v>0</v>
      </c>
      <c r="X447" s="983">
        <f t="shared" si="230"/>
        <v>0</v>
      </c>
      <c r="Y447" s="983">
        <f t="shared" si="230"/>
        <v>0</v>
      </c>
      <c r="Z447" s="983">
        <f t="shared" si="230"/>
        <v>0</v>
      </c>
      <c r="AA447" s="983">
        <f t="shared" si="230"/>
        <v>0</v>
      </c>
      <c r="AB447" s="983">
        <f t="shared" si="230"/>
        <v>0</v>
      </c>
      <c r="AC447" s="984">
        <f t="shared" si="230"/>
        <v>0</v>
      </c>
      <c r="AD447" s="1"/>
      <c r="AE447" s="1"/>
    </row>
    <row r="448" spans="9:31" x14ac:dyDescent="0.3">
      <c r="I448" s="1"/>
      <c r="J448" s="1057" t="s">
        <v>442</v>
      </c>
      <c r="K448" s="982"/>
      <c r="L448" s="982"/>
      <c r="M448" s="982"/>
      <c r="N448" s="983">
        <f>N41/$N$365</f>
        <v>0</v>
      </c>
      <c r="O448" s="983">
        <f t="shared" si="230"/>
        <v>0</v>
      </c>
      <c r="P448" s="983">
        <f t="shared" si="230"/>
        <v>0</v>
      </c>
      <c r="Q448" s="983">
        <f t="shared" si="230"/>
        <v>0</v>
      </c>
      <c r="R448" s="983">
        <f t="shared" si="230"/>
        <v>0</v>
      </c>
      <c r="S448" s="983">
        <f t="shared" si="230"/>
        <v>0</v>
      </c>
      <c r="T448" s="983">
        <f t="shared" si="230"/>
        <v>0</v>
      </c>
      <c r="U448" s="983">
        <f t="shared" si="230"/>
        <v>0</v>
      </c>
      <c r="V448" s="983">
        <f t="shared" si="230"/>
        <v>0</v>
      </c>
      <c r="W448" s="983">
        <f t="shared" si="230"/>
        <v>0</v>
      </c>
      <c r="X448" s="983">
        <f t="shared" si="230"/>
        <v>0</v>
      </c>
      <c r="Y448" s="983">
        <f t="shared" si="230"/>
        <v>0</v>
      </c>
      <c r="Z448" s="983">
        <f t="shared" si="230"/>
        <v>0</v>
      </c>
      <c r="AA448" s="983">
        <f t="shared" si="230"/>
        <v>0</v>
      </c>
      <c r="AB448" s="983">
        <f t="shared" si="230"/>
        <v>0</v>
      </c>
      <c r="AC448" s="984">
        <f t="shared" si="230"/>
        <v>0</v>
      </c>
      <c r="AD448" s="1"/>
      <c r="AE448" s="1"/>
    </row>
    <row r="449" spans="8:31" x14ac:dyDescent="0.3">
      <c r="I449" s="1"/>
      <c r="J449" s="1057" t="s">
        <v>31</v>
      </c>
      <c r="K449" s="982"/>
      <c r="L449" s="982"/>
      <c r="M449" s="982"/>
      <c r="N449" s="983">
        <f>N46/$N$365</f>
        <v>0</v>
      </c>
      <c r="O449" s="983">
        <f t="shared" ref="O449:AC452" si="231">O46/$N$365</f>
        <v>0</v>
      </c>
      <c r="P449" s="983">
        <f t="shared" si="231"/>
        <v>0</v>
      </c>
      <c r="Q449" s="983">
        <f t="shared" si="231"/>
        <v>0</v>
      </c>
      <c r="R449" s="983">
        <f t="shared" si="231"/>
        <v>0</v>
      </c>
      <c r="S449" s="983">
        <f t="shared" si="231"/>
        <v>0</v>
      </c>
      <c r="T449" s="983">
        <f t="shared" si="231"/>
        <v>0</v>
      </c>
      <c r="U449" s="983">
        <f t="shared" si="231"/>
        <v>0</v>
      </c>
      <c r="V449" s="983">
        <f t="shared" si="231"/>
        <v>0</v>
      </c>
      <c r="W449" s="983">
        <f t="shared" si="231"/>
        <v>0</v>
      </c>
      <c r="X449" s="983">
        <f t="shared" si="231"/>
        <v>0</v>
      </c>
      <c r="Y449" s="983">
        <f t="shared" si="231"/>
        <v>0</v>
      </c>
      <c r="Z449" s="983">
        <f t="shared" si="231"/>
        <v>0</v>
      </c>
      <c r="AA449" s="983">
        <f t="shared" si="231"/>
        <v>0</v>
      </c>
      <c r="AB449" s="983">
        <f t="shared" si="231"/>
        <v>0</v>
      </c>
      <c r="AC449" s="984">
        <f t="shared" si="231"/>
        <v>0</v>
      </c>
      <c r="AD449" s="1"/>
      <c r="AE449" s="1"/>
    </row>
    <row r="450" spans="8:31" x14ac:dyDescent="0.3">
      <c r="I450" s="1"/>
      <c r="J450" s="1057" t="s">
        <v>32</v>
      </c>
      <c r="K450" s="982"/>
      <c r="L450" s="982"/>
      <c r="M450" s="982"/>
      <c r="N450" s="983">
        <f>N47/$N$365</f>
        <v>0</v>
      </c>
      <c r="O450" s="983">
        <f t="shared" si="231"/>
        <v>0</v>
      </c>
      <c r="P450" s="983">
        <f t="shared" si="231"/>
        <v>0</v>
      </c>
      <c r="Q450" s="983">
        <f t="shared" si="231"/>
        <v>0</v>
      </c>
      <c r="R450" s="983">
        <f t="shared" si="231"/>
        <v>0</v>
      </c>
      <c r="S450" s="983">
        <f t="shared" si="231"/>
        <v>0</v>
      </c>
      <c r="T450" s="983">
        <f t="shared" si="231"/>
        <v>0</v>
      </c>
      <c r="U450" s="983">
        <f t="shared" si="231"/>
        <v>0</v>
      </c>
      <c r="V450" s="983">
        <f t="shared" si="231"/>
        <v>0</v>
      </c>
      <c r="W450" s="983">
        <f t="shared" si="231"/>
        <v>0</v>
      </c>
      <c r="X450" s="983">
        <f t="shared" si="231"/>
        <v>0</v>
      </c>
      <c r="Y450" s="983">
        <f t="shared" si="231"/>
        <v>0</v>
      </c>
      <c r="Z450" s="983">
        <f t="shared" si="231"/>
        <v>0</v>
      </c>
      <c r="AA450" s="983">
        <f t="shared" si="231"/>
        <v>0</v>
      </c>
      <c r="AB450" s="983">
        <f t="shared" si="231"/>
        <v>0</v>
      </c>
      <c r="AC450" s="984">
        <f t="shared" si="231"/>
        <v>0</v>
      </c>
      <c r="AD450" s="1"/>
      <c r="AE450" s="1"/>
    </row>
    <row r="451" spans="8:31" x14ac:dyDescent="0.3">
      <c r="I451" s="1"/>
      <c r="J451" s="1057" t="s">
        <v>33</v>
      </c>
      <c r="K451" s="982"/>
      <c r="L451" s="982"/>
      <c r="M451" s="982"/>
      <c r="N451" s="983">
        <f>N48/$N$365</f>
        <v>0</v>
      </c>
      <c r="O451" s="983">
        <f t="shared" si="231"/>
        <v>0</v>
      </c>
      <c r="P451" s="983">
        <f t="shared" si="231"/>
        <v>0</v>
      </c>
      <c r="Q451" s="983">
        <f t="shared" si="231"/>
        <v>0</v>
      </c>
      <c r="R451" s="983">
        <f t="shared" si="231"/>
        <v>0</v>
      </c>
      <c r="S451" s="983">
        <f t="shared" si="231"/>
        <v>0</v>
      </c>
      <c r="T451" s="983">
        <f t="shared" si="231"/>
        <v>0</v>
      </c>
      <c r="U451" s="983">
        <f t="shared" si="231"/>
        <v>0</v>
      </c>
      <c r="V451" s="983">
        <f t="shared" si="231"/>
        <v>0</v>
      </c>
      <c r="W451" s="983">
        <f t="shared" si="231"/>
        <v>0</v>
      </c>
      <c r="X451" s="983">
        <f t="shared" si="231"/>
        <v>0</v>
      </c>
      <c r="Y451" s="983">
        <f t="shared" si="231"/>
        <v>0</v>
      </c>
      <c r="Z451" s="983">
        <f t="shared" si="231"/>
        <v>0</v>
      </c>
      <c r="AA451" s="983">
        <f t="shared" si="231"/>
        <v>0</v>
      </c>
      <c r="AB451" s="983">
        <f t="shared" si="231"/>
        <v>0</v>
      </c>
      <c r="AC451" s="984">
        <f t="shared" si="231"/>
        <v>0</v>
      </c>
      <c r="AD451" s="1"/>
      <c r="AE451" s="1"/>
    </row>
    <row r="452" spans="8:31" x14ac:dyDescent="0.3">
      <c r="I452" s="1"/>
      <c r="J452" s="1057" t="s">
        <v>34</v>
      </c>
      <c r="K452" s="982"/>
      <c r="L452" s="982"/>
      <c r="M452" s="982"/>
      <c r="N452" s="983">
        <f>N49/$N$365</f>
        <v>0</v>
      </c>
      <c r="O452" s="983">
        <f t="shared" si="231"/>
        <v>0</v>
      </c>
      <c r="P452" s="983">
        <f t="shared" si="231"/>
        <v>0</v>
      </c>
      <c r="Q452" s="983">
        <f t="shared" si="231"/>
        <v>0</v>
      </c>
      <c r="R452" s="983">
        <f t="shared" si="231"/>
        <v>0</v>
      </c>
      <c r="S452" s="983">
        <f t="shared" si="231"/>
        <v>0</v>
      </c>
      <c r="T452" s="983">
        <f t="shared" si="231"/>
        <v>0</v>
      </c>
      <c r="U452" s="983">
        <f t="shared" si="231"/>
        <v>0</v>
      </c>
      <c r="V452" s="983">
        <f t="shared" si="231"/>
        <v>0</v>
      </c>
      <c r="W452" s="983">
        <f t="shared" si="231"/>
        <v>0</v>
      </c>
      <c r="X452" s="983">
        <f t="shared" si="231"/>
        <v>0</v>
      </c>
      <c r="Y452" s="983">
        <f t="shared" si="231"/>
        <v>0</v>
      </c>
      <c r="Z452" s="983">
        <f t="shared" si="231"/>
        <v>0</v>
      </c>
      <c r="AA452" s="983">
        <f t="shared" si="231"/>
        <v>0</v>
      </c>
      <c r="AB452" s="983">
        <f t="shared" si="231"/>
        <v>0</v>
      </c>
      <c r="AC452" s="984">
        <f t="shared" si="231"/>
        <v>0</v>
      </c>
      <c r="AD452" s="1"/>
      <c r="AE452" s="1"/>
    </row>
    <row r="453" spans="8:31" x14ac:dyDescent="0.3">
      <c r="I453" s="1"/>
      <c r="J453" s="1057" t="s">
        <v>437</v>
      </c>
      <c r="K453" s="981"/>
      <c r="L453" s="982"/>
      <c r="M453" s="982"/>
      <c r="N453" s="983">
        <f>N38/$N$365</f>
        <v>0</v>
      </c>
      <c r="O453" s="983">
        <f t="shared" ref="O453:AC453" si="232">O38/$N$365</f>
        <v>0</v>
      </c>
      <c r="P453" s="983">
        <f t="shared" si="232"/>
        <v>0</v>
      </c>
      <c r="Q453" s="983">
        <f t="shared" si="232"/>
        <v>0</v>
      </c>
      <c r="R453" s="983">
        <f t="shared" si="232"/>
        <v>0</v>
      </c>
      <c r="S453" s="983">
        <f t="shared" si="232"/>
        <v>0</v>
      </c>
      <c r="T453" s="983">
        <f t="shared" si="232"/>
        <v>0</v>
      </c>
      <c r="U453" s="983">
        <f t="shared" si="232"/>
        <v>0</v>
      </c>
      <c r="V453" s="983">
        <f t="shared" si="232"/>
        <v>0</v>
      </c>
      <c r="W453" s="983">
        <f t="shared" si="232"/>
        <v>0</v>
      </c>
      <c r="X453" s="983">
        <f t="shared" si="232"/>
        <v>0</v>
      </c>
      <c r="Y453" s="983">
        <f t="shared" si="232"/>
        <v>0</v>
      </c>
      <c r="Z453" s="983">
        <f t="shared" si="232"/>
        <v>0</v>
      </c>
      <c r="AA453" s="983">
        <f t="shared" si="232"/>
        <v>0</v>
      </c>
      <c r="AB453" s="983">
        <f t="shared" si="232"/>
        <v>0</v>
      </c>
      <c r="AC453" s="984">
        <f t="shared" si="232"/>
        <v>0</v>
      </c>
      <c r="AD453" s="1"/>
      <c r="AE453" s="1"/>
    </row>
    <row r="454" spans="8:31" ht="15.75" x14ac:dyDescent="0.25">
      <c r="I454" s="1"/>
      <c r="J454" s="1060" t="s">
        <v>29</v>
      </c>
      <c r="K454" s="992"/>
      <c r="L454" s="992"/>
      <c r="M454" s="992"/>
      <c r="N454" s="993" t="str">
        <f>N39</f>
        <v/>
      </c>
      <c r="O454" s="993" t="str">
        <f t="shared" ref="O454:AC454" si="233">O39</f>
        <v/>
      </c>
      <c r="P454" s="993" t="str">
        <f t="shared" si="233"/>
        <v/>
      </c>
      <c r="Q454" s="993" t="str">
        <f t="shared" si="233"/>
        <v/>
      </c>
      <c r="R454" s="993" t="str">
        <f t="shared" si="233"/>
        <v/>
      </c>
      <c r="S454" s="993" t="str">
        <f t="shared" si="233"/>
        <v/>
      </c>
      <c r="T454" s="993" t="str">
        <f t="shared" si="233"/>
        <v/>
      </c>
      <c r="U454" s="993" t="str">
        <f t="shared" si="233"/>
        <v/>
      </c>
      <c r="V454" s="993" t="str">
        <f t="shared" si="233"/>
        <v/>
      </c>
      <c r="W454" s="993" t="str">
        <f t="shared" si="233"/>
        <v/>
      </c>
      <c r="X454" s="993" t="str">
        <f t="shared" si="233"/>
        <v/>
      </c>
      <c r="Y454" s="993" t="str">
        <f t="shared" si="233"/>
        <v/>
      </c>
      <c r="Z454" s="993" t="str">
        <f t="shared" si="233"/>
        <v/>
      </c>
      <c r="AA454" s="993" t="str">
        <f t="shared" si="233"/>
        <v/>
      </c>
      <c r="AB454" s="993" t="str">
        <f t="shared" si="233"/>
        <v/>
      </c>
      <c r="AC454" s="994" t="str">
        <f t="shared" si="233"/>
        <v/>
      </c>
      <c r="AD454" s="1"/>
      <c r="AE454" s="1"/>
    </row>
    <row r="455" spans="8:31" ht="17.25" thickBot="1" x14ac:dyDescent="0.35">
      <c r="H455" s="423"/>
      <c r="I455" s="424"/>
      <c r="J455" s="423"/>
      <c r="K455" s="425"/>
      <c r="L455" s="423"/>
      <c r="M455" s="423"/>
      <c r="N455" s="423"/>
      <c r="O455" s="423"/>
      <c r="P455" s="423"/>
      <c r="Q455" s="423"/>
      <c r="R455" s="423"/>
      <c r="S455" s="423"/>
      <c r="T455" s="423"/>
      <c r="U455" s="423"/>
      <c r="V455" s="423"/>
      <c r="W455" s="423"/>
      <c r="X455" s="423"/>
      <c r="Y455" s="423"/>
      <c r="Z455" s="423"/>
      <c r="AA455" s="423"/>
      <c r="AB455" s="423"/>
      <c r="AC455" s="423"/>
      <c r="AE455" s="1"/>
    </row>
    <row r="456" spans="8:31" ht="15" thickTop="1" x14ac:dyDescent="0.2">
      <c r="I456" s="1"/>
      <c r="K456" s="1"/>
      <c r="AD456" s="1"/>
      <c r="AE456" s="1"/>
    </row>
    <row r="457" spans="8:31" ht="14.25" x14ac:dyDescent="0.2">
      <c r="I457" s="1"/>
      <c r="K457" s="1"/>
      <c r="AD457" s="1"/>
      <c r="AE457" s="1"/>
    </row>
    <row r="458" spans="8:31" ht="14.25" x14ac:dyDescent="0.2">
      <c r="I458" s="1"/>
      <c r="K458" s="1"/>
      <c r="AD458" s="1"/>
      <c r="AE458" s="1"/>
    </row>
    <row r="459" spans="8:31" ht="21" customHeight="1" x14ac:dyDescent="0.2">
      <c r="I459" s="1"/>
      <c r="K459" s="1"/>
      <c r="AD459" s="1"/>
      <c r="AE459" s="1"/>
    </row>
    <row r="460" spans="8:31" ht="14.25" collapsed="1" x14ac:dyDescent="0.2">
      <c r="I460" s="1"/>
      <c r="K460" s="1"/>
      <c r="AD460" s="1"/>
      <c r="AE460" s="1"/>
    </row>
    <row r="461" spans="8:31" ht="14.25" x14ac:dyDescent="0.2">
      <c r="I461" s="1"/>
      <c r="K461" s="1"/>
      <c r="AD461" s="1"/>
      <c r="AE461" s="1"/>
    </row>
    <row r="462" spans="8:31" ht="14.25" x14ac:dyDescent="0.2">
      <c r="I462" s="1"/>
      <c r="K462" s="1"/>
      <c r="AD462" s="1"/>
      <c r="AE462" s="1"/>
    </row>
    <row r="463" spans="8:31" ht="14.25" x14ac:dyDescent="0.2">
      <c r="I463" s="1"/>
      <c r="K463" s="1"/>
      <c r="AD463" s="1"/>
      <c r="AE463" s="1"/>
    </row>
    <row r="464" spans="8:31" ht="14.25" x14ac:dyDescent="0.2">
      <c r="I464" s="1"/>
      <c r="K464" s="1"/>
      <c r="AD464" s="1"/>
      <c r="AE464" s="1"/>
    </row>
    <row r="465" s="1" customFormat="1" ht="14.25" x14ac:dyDescent="0.2"/>
    <row r="466" s="1" customFormat="1" ht="14.25" x14ac:dyDescent="0.2"/>
    <row r="467" s="1" customFormat="1" ht="14.25" x14ac:dyDescent="0.2"/>
    <row r="468" s="1" customFormat="1" ht="14.25" x14ac:dyDescent="0.2"/>
    <row r="469" s="1" customFormat="1" ht="14.25" x14ac:dyDescent="0.2"/>
    <row r="470" s="1" customFormat="1" ht="14.25" x14ac:dyDescent="0.2"/>
    <row r="471" s="1" customFormat="1" ht="14.25" x14ac:dyDescent="0.2"/>
    <row r="472" s="1" customFormat="1" ht="14.25" x14ac:dyDescent="0.2"/>
    <row r="473" s="1" customFormat="1" ht="14.25" x14ac:dyDescent="0.2"/>
    <row r="474" s="1" customFormat="1" ht="14.25" x14ac:dyDescent="0.2"/>
    <row r="475" s="1" customFormat="1" ht="14.25" x14ac:dyDescent="0.2"/>
    <row r="476" s="1" customFormat="1" ht="14.25" x14ac:dyDescent="0.2"/>
    <row r="477" s="1" customFormat="1" ht="14.25" x14ac:dyDescent="0.2"/>
    <row r="478" s="1" customFormat="1" ht="14.25" x14ac:dyDescent="0.2"/>
    <row r="479" s="1" customFormat="1" ht="14.25" x14ac:dyDescent="0.2"/>
    <row r="480" s="1" customFormat="1" ht="14.25" x14ac:dyDescent="0.2"/>
    <row r="481" s="1" customFormat="1" ht="14.25" x14ac:dyDescent="0.2"/>
    <row r="482" s="1" customFormat="1" ht="14.25" x14ac:dyDescent="0.2"/>
    <row r="483" s="1" customFormat="1" ht="14.25" x14ac:dyDescent="0.2"/>
    <row r="484" s="1" customFormat="1" ht="14.25" x14ac:dyDescent="0.2"/>
    <row r="485" s="1" customFormat="1" ht="14.25" x14ac:dyDescent="0.2"/>
    <row r="486" s="1" customFormat="1" ht="14.25" x14ac:dyDescent="0.2"/>
    <row r="487" s="1" customFormat="1" ht="14.25" x14ac:dyDescent="0.2"/>
    <row r="488" s="1" customFormat="1" ht="14.25" collapsed="1" x14ac:dyDescent="0.2"/>
    <row r="489" s="1" customFormat="1" ht="14.25" x14ac:dyDescent="0.2"/>
    <row r="490" s="1" customFormat="1" ht="14.25" x14ac:dyDescent="0.2"/>
    <row r="491" s="1" customFormat="1" ht="14.25" x14ac:dyDescent="0.2"/>
    <row r="492" s="1" customFormat="1" ht="14.25" x14ac:dyDescent="0.2"/>
    <row r="493" s="1" customFormat="1" ht="14.25" x14ac:dyDescent="0.2"/>
    <row r="494" s="1" customFormat="1" ht="14.25" x14ac:dyDescent="0.2"/>
    <row r="495" s="1" customFormat="1" ht="14.25" x14ac:dyDescent="0.2"/>
    <row r="496" s="1" customFormat="1" ht="14.25" x14ac:dyDescent="0.2"/>
    <row r="497" s="1" customFormat="1" ht="14.25" x14ac:dyDescent="0.2"/>
    <row r="498" s="1" customFormat="1" ht="14.25" x14ac:dyDescent="0.2"/>
    <row r="499" s="1" customFormat="1" ht="14.25" x14ac:dyDescent="0.2"/>
    <row r="500" s="1" customFormat="1" ht="14.25" x14ac:dyDescent="0.2"/>
    <row r="501" s="1" customFormat="1" ht="14.25" x14ac:dyDescent="0.2"/>
    <row r="502" s="1" customFormat="1" ht="14.25" x14ac:dyDescent="0.2"/>
    <row r="503" s="1" customFormat="1" ht="14.25" x14ac:dyDescent="0.2"/>
    <row r="504" s="1" customFormat="1" ht="14.25" x14ac:dyDescent="0.2"/>
    <row r="505" s="1" customFormat="1" ht="14.25" x14ac:dyDescent="0.2"/>
    <row r="506" s="1" customFormat="1" ht="14.25" x14ac:dyDescent="0.2"/>
    <row r="507" s="1" customFormat="1" ht="21" customHeight="1" x14ac:dyDescent="0.2"/>
    <row r="508" s="1" customFormat="1" ht="14.25" collapsed="1" x14ac:dyDescent="0.2"/>
    <row r="509" s="1" customFormat="1" ht="14.25" x14ac:dyDescent="0.2"/>
    <row r="510" s="1" customFormat="1" ht="14.25" x14ac:dyDescent="0.2"/>
    <row r="511" s="1" customFormat="1" ht="14.25" x14ac:dyDescent="0.2"/>
    <row r="512" s="1" customFormat="1" ht="14.25" x14ac:dyDescent="0.2"/>
    <row r="513" s="1" customFormat="1" ht="14.25" x14ac:dyDescent="0.2"/>
    <row r="514" s="1" customFormat="1" ht="14.25" x14ac:dyDescent="0.2"/>
    <row r="515" s="1" customFormat="1" ht="14.25" x14ac:dyDescent="0.2"/>
    <row r="516" s="1" customFormat="1" ht="14.25" x14ac:dyDescent="0.2"/>
    <row r="517" s="1" customFormat="1" ht="14.25" x14ac:dyDescent="0.2"/>
    <row r="518" s="1" customFormat="1" ht="14.25" x14ac:dyDescent="0.2"/>
    <row r="519" s="1" customFormat="1" ht="14.25" x14ac:dyDescent="0.2"/>
    <row r="520" s="1" customFormat="1" ht="14.25" x14ac:dyDescent="0.2"/>
    <row r="521" s="1" customFormat="1" ht="14.25" x14ac:dyDescent="0.2"/>
    <row r="522" s="1" customFormat="1" ht="14.25" x14ac:dyDescent="0.2"/>
    <row r="523" s="1" customFormat="1" ht="14.25" x14ac:dyDescent="0.2"/>
    <row r="524" s="1" customFormat="1" ht="14.25" x14ac:dyDescent="0.2"/>
    <row r="525" s="1" customFormat="1" ht="14.25" x14ac:dyDescent="0.2"/>
    <row r="526" s="1" customFormat="1" ht="14.25" x14ac:dyDescent="0.2"/>
    <row r="527" s="1" customFormat="1" ht="14.25" x14ac:dyDescent="0.2"/>
    <row r="528" s="1" customFormat="1" ht="14.25" x14ac:dyDescent="0.2"/>
    <row r="529" s="1" customFormat="1" ht="14.25" x14ac:dyDescent="0.2"/>
    <row r="530" s="1" customFormat="1" ht="14.25" x14ac:dyDescent="0.2"/>
    <row r="531" s="1" customFormat="1" ht="14.25" x14ac:dyDescent="0.2"/>
    <row r="532" s="1" customFormat="1" ht="14.25" x14ac:dyDescent="0.2"/>
    <row r="533" s="1" customFormat="1" ht="14.25" x14ac:dyDescent="0.2"/>
    <row r="534" s="1" customFormat="1" ht="14.25" x14ac:dyDescent="0.2"/>
    <row r="535" s="1" customFormat="1" ht="14.25" x14ac:dyDescent="0.2"/>
    <row r="536" s="1" customFormat="1" ht="14.25" x14ac:dyDescent="0.2"/>
    <row r="537" s="1" customFormat="1" ht="14.25" x14ac:dyDescent="0.2"/>
    <row r="538" s="1" customFormat="1" ht="14.25" x14ac:dyDescent="0.2"/>
    <row r="539" s="1" customFormat="1" ht="14.25" x14ac:dyDescent="0.2"/>
    <row r="540" s="1" customFormat="1" ht="14.25" x14ac:dyDescent="0.2"/>
    <row r="541" s="1" customFormat="1" ht="14.25" x14ac:dyDescent="0.2"/>
    <row r="542" s="1" customFormat="1" ht="14.25" x14ac:dyDescent="0.2"/>
    <row r="543" s="1" customFormat="1" ht="14.25" x14ac:dyDescent="0.2"/>
    <row r="544" s="1" customFormat="1" ht="14.25" x14ac:dyDescent="0.2"/>
    <row r="545" s="1" customFormat="1" ht="14.25" x14ac:dyDescent="0.2"/>
    <row r="546" s="1" customFormat="1" ht="14.25" x14ac:dyDescent="0.2"/>
    <row r="547" s="1" customFormat="1" ht="14.25" x14ac:dyDescent="0.2"/>
    <row r="548" s="1" customFormat="1" ht="14.25" x14ac:dyDescent="0.2"/>
    <row r="549" s="1" customFormat="1" ht="14.25" x14ac:dyDescent="0.2"/>
    <row r="550" s="1" customFormat="1" ht="21" customHeight="1" x14ac:dyDescent="0.2"/>
    <row r="551" s="1" customFormat="1" ht="14.25" x14ac:dyDescent="0.2"/>
    <row r="552" s="1" customFormat="1" ht="14.25" x14ac:dyDescent="0.2"/>
    <row r="553" s="1" customFormat="1" ht="14.25" x14ac:dyDescent="0.2"/>
    <row r="554" s="1" customFormat="1" ht="14.25" x14ac:dyDescent="0.2"/>
    <row r="555" s="1" customFormat="1" ht="14.25" x14ac:dyDescent="0.2"/>
    <row r="556" s="1" customFormat="1" ht="14.25" x14ac:dyDescent="0.2"/>
    <row r="557" s="1" customFormat="1" ht="14.25" x14ac:dyDescent="0.2"/>
    <row r="558" s="1" customFormat="1" ht="14.25" x14ac:dyDescent="0.2"/>
    <row r="559" s="1" customFormat="1" ht="14.25" x14ac:dyDescent="0.2"/>
    <row r="560" s="1" customFormat="1" ht="14.25" x14ac:dyDescent="0.2"/>
    <row r="561" s="1" customFormat="1" ht="14.25" x14ac:dyDescent="0.2"/>
    <row r="562" s="1" customFormat="1" ht="14.25" x14ac:dyDescent="0.2"/>
    <row r="563" s="1" customFormat="1" ht="14.25" x14ac:dyDescent="0.2"/>
    <row r="564" s="1" customFormat="1" ht="14.25" x14ac:dyDescent="0.2"/>
    <row r="565" s="1" customFormat="1" ht="14.25" x14ac:dyDescent="0.2"/>
    <row r="566" s="1" customFormat="1" ht="14.25" x14ac:dyDescent="0.2"/>
    <row r="567" s="1" customFormat="1" ht="14.25" x14ac:dyDescent="0.2"/>
    <row r="568" s="1" customFormat="1" ht="14.25" x14ac:dyDescent="0.2"/>
    <row r="569" s="1" customFormat="1" ht="14.25" x14ac:dyDescent="0.2"/>
    <row r="570" s="1" customFormat="1" ht="14.25" x14ac:dyDescent="0.2"/>
    <row r="571" s="1" customFormat="1" ht="14.25" x14ac:dyDescent="0.2"/>
    <row r="572" s="1" customFormat="1" ht="14.25" x14ac:dyDescent="0.2"/>
    <row r="573" s="1" customFormat="1" ht="14.25" x14ac:dyDescent="0.2"/>
    <row r="574" s="1" customFormat="1" ht="14.25" x14ac:dyDescent="0.2"/>
    <row r="575" s="1" customFormat="1" ht="14.25" x14ac:dyDescent="0.2"/>
    <row r="576" s="1" customFormat="1" ht="14.25" x14ac:dyDescent="0.2"/>
    <row r="577" s="1" customFormat="1" ht="14.25" x14ac:dyDescent="0.2"/>
    <row r="578" s="1" customFormat="1" ht="14.25" x14ac:dyDescent="0.2"/>
    <row r="579" s="1" customFormat="1" ht="14.25" x14ac:dyDescent="0.2"/>
    <row r="580" s="1" customFormat="1" ht="14.25" x14ac:dyDescent="0.2"/>
    <row r="581" s="1" customFormat="1" ht="14.25" x14ac:dyDescent="0.2"/>
    <row r="582" s="1" customFormat="1" ht="14.25" x14ac:dyDescent="0.2"/>
    <row r="583" s="1" customFormat="1" ht="14.25" x14ac:dyDescent="0.2"/>
    <row r="584" s="1" customFormat="1" ht="14.25" x14ac:dyDescent="0.2"/>
    <row r="585" s="1" customFormat="1" ht="14.25" x14ac:dyDescent="0.2"/>
    <row r="586" s="1" customFormat="1" ht="14.25" x14ac:dyDescent="0.2"/>
    <row r="587" s="1" customFormat="1" ht="14.25" x14ac:dyDescent="0.2"/>
    <row r="588" s="1" customFormat="1" ht="14.25" x14ac:dyDescent="0.2"/>
    <row r="589" s="1" customFormat="1" ht="14.25" x14ac:dyDescent="0.2"/>
    <row r="590" s="1" customFormat="1" ht="14.25" x14ac:dyDescent="0.2"/>
    <row r="591" s="1" customFormat="1" ht="21" customHeight="1" x14ac:dyDescent="0.2"/>
    <row r="592" s="1" customFormat="1" ht="25.5" customHeight="1" collapsed="1" x14ac:dyDescent="0.2"/>
    <row r="593" s="1" customFormat="1" ht="14.25" x14ac:dyDescent="0.2"/>
    <row r="594" s="1" customFormat="1" ht="14.25" x14ac:dyDescent="0.2"/>
    <row r="595" s="1" customFormat="1" ht="14.25" x14ac:dyDescent="0.2"/>
    <row r="596" s="1" customFormat="1" ht="14.25" x14ac:dyDescent="0.2"/>
    <row r="597" s="1" customFormat="1" ht="14.25" x14ac:dyDescent="0.2"/>
    <row r="598" s="1" customFormat="1" ht="14.25" x14ac:dyDescent="0.2"/>
    <row r="599" s="1" customFormat="1" ht="14.25" x14ac:dyDescent="0.2"/>
    <row r="600" s="1" customFormat="1" ht="14.25" x14ac:dyDescent="0.2"/>
    <row r="601" s="1" customFormat="1" ht="14.25" x14ac:dyDescent="0.2"/>
    <row r="602" s="1" customFormat="1" ht="14.25" x14ac:dyDescent="0.2"/>
    <row r="603" s="1" customFormat="1" ht="14.25" x14ac:dyDescent="0.2"/>
    <row r="604" s="1" customFormat="1" ht="14.25" x14ac:dyDescent="0.2"/>
    <row r="605" s="1" customFormat="1" ht="14.25" x14ac:dyDescent="0.2"/>
    <row r="606" s="1" customFormat="1" ht="14.25" x14ac:dyDescent="0.2"/>
    <row r="607" s="1" customFormat="1" ht="14.25" x14ac:dyDescent="0.2"/>
    <row r="608" s="1" customFormat="1" ht="14.25" x14ac:dyDescent="0.2"/>
    <row r="609" s="1" customFormat="1" ht="14.25" x14ac:dyDescent="0.2"/>
    <row r="610" s="1" customFormat="1" ht="14.25" x14ac:dyDescent="0.2"/>
    <row r="611" s="1" customFormat="1" ht="14.25" x14ac:dyDescent="0.2"/>
    <row r="612" s="1" customFormat="1" ht="14.25" x14ac:dyDescent="0.2"/>
    <row r="613" s="1" customFormat="1" ht="14.25" x14ac:dyDescent="0.2"/>
    <row r="614" s="1" customFormat="1" ht="18.75" customHeight="1" x14ac:dyDescent="0.2"/>
    <row r="615" s="1" customFormat="1" ht="14.25" x14ac:dyDescent="0.2"/>
    <row r="616" s="1" customFormat="1" ht="14.25" x14ac:dyDescent="0.2"/>
    <row r="617" s="1" customFormat="1" ht="14.25" x14ac:dyDescent="0.2"/>
    <row r="618" s="1" customFormat="1" ht="14.25" x14ac:dyDescent="0.2"/>
    <row r="619" s="1" customFormat="1" ht="14.25" x14ac:dyDescent="0.2"/>
    <row r="620" s="1" customFormat="1" ht="14.25" x14ac:dyDescent="0.2"/>
    <row r="621" s="1" customFormat="1" ht="14.25" x14ac:dyDescent="0.2"/>
    <row r="622" s="1" customFormat="1" ht="14.25" x14ac:dyDescent="0.2"/>
    <row r="623" s="1" customFormat="1" ht="14.25" x14ac:dyDescent="0.2"/>
    <row r="624" s="1" customFormat="1" ht="14.25" x14ac:dyDescent="0.2"/>
    <row r="625" s="1" customFormat="1" ht="21" customHeight="1" x14ac:dyDescent="0.2"/>
    <row r="626" s="1" customFormat="1" ht="14.25" collapsed="1" x14ac:dyDescent="0.2"/>
    <row r="627" s="1" customFormat="1" ht="14.25" x14ac:dyDescent="0.2"/>
    <row r="628" s="1" customFormat="1" ht="14.25" x14ac:dyDescent="0.2"/>
    <row r="629" s="1" customFormat="1" ht="14.25" x14ac:dyDescent="0.2"/>
    <row r="630" s="1" customFormat="1" ht="14.25" x14ac:dyDescent="0.2"/>
    <row r="631" s="1" customFormat="1" ht="14.25" x14ac:dyDescent="0.2"/>
    <row r="632" s="1" customFormat="1" ht="14.25" x14ac:dyDescent="0.2"/>
    <row r="633" s="1" customFormat="1" ht="14.25" x14ac:dyDescent="0.2"/>
    <row r="634" s="1" customFormat="1" ht="14.25" x14ac:dyDescent="0.2"/>
    <row r="635" s="1" customFormat="1" ht="14.25" x14ac:dyDescent="0.2"/>
    <row r="636" s="1" customFormat="1" ht="14.25" x14ac:dyDescent="0.2"/>
    <row r="637" s="1" customFormat="1" ht="14.25" x14ac:dyDescent="0.2"/>
    <row r="638" s="1" customFormat="1" ht="14.25" x14ac:dyDescent="0.2"/>
    <row r="639" s="1" customFormat="1" ht="22.5" customHeight="1" x14ac:dyDescent="0.2"/>
    <row r="640" s="1" customFormat="1" ht="14.25" x14ac:dyDescent="0.2"/>
    <row r="641" s="1" customFormat="1" ht="14.25" x14ac:dyDescent="0.2"/>
    <row r="642" s="1" customFormat="1" ht="14.25" x14ac:dyDescent="0.2"/>
    <row r="643" s="1" customFormat="1" ht="14.25" x14ac:dyDescent="0.2"/>
    <row r="644" s="1" customFormat="1" ht="14.25" x14ac:dyDescent="0.2"/>
    <row r="645" s="1" customFormat="1" ht="14.25" x14ac:dyDescent="0.2"/>
    <row r="646" s="1" customFormat="1" ht="14.25" x14ac:dyDescent="0.2"/>
    <row r="647" s="1" customFormat="1" ht="14.25" x14ac:dyDescent="0.2"/>
    <row r="648" s="1" customFormat="1" ht="14.25" x14ac:dyDescent="0.2"/>
    <row r="649" s="1" customFormat="1" ht="14.25" x14ac:dyDescent="0.2"/>
    <row r="650" s="1" customFormat="1" ht="14.25" x14ac:dyDescent="0.2"/>
    <row r="651" s="1" customFormat="1" ht="14.25" x14ac:dyDescent="0.2"/>
    <row r="652" s="1" customFormat="1" ht="14.25" x14ac:dyDescent="0.2"/>
    <row r="653" s="1" customFormat="1" ht="14.25" x14ac:dyDescent="0.2"/>
    <row r="654" s="1" customFormat="1" ht="14.25" x14ac:dyDescent="0.2"/>
    <row r="655" s="1" customFormat="1" ht="14.25" x14ac:dyDescent="0.2"/>
    <row r="656" s="1" customFormat="1" ht="14.25" x14ac:dyDescent="0.2"/>
    <row r="657" s="1" customFormat="1" ht="14.25" x14ac:dyDescent="0.2"/>
    <row r="658" s="1" customFormat="1" ht="14.25" x14ac:dyDescent="0.2"/>
    <row r="659" s="1" customFormat="1" ht="14.25" x14ac:dyDescent="0.2"/>
    <row r="660" s="1" customFormat="1" ht="14.25" x14ac:dyDescent="0.2"/>
    <row r="661" s="1" customFormat="1" ht="14.25" x14ac:dyDescent="0.2"/>
    <row r="662" s="1" customFormat="1" ht="14.25" x14ac:dyDescent="0.2"/>
    <row r="663" s="1" customFormat="1" ht="14.25" x14ac:dyDescent="0.2"/>
    <row r="664" s="1" customFormat="1" ht="14.25" x14ac:dyDescent="0.2"/>
    <row r="665" s="1" customFormat="1" ht="14.25" x14ac:dyDescent="0.2"/>
    <row r="666" s="1" customFormat="1" ht="14.25" x14ac:dyDescent="0.2"/>
    <row r="667" s="1" customFormat="1" ht="14.25" x14ac:dyDescent="0.2"/>
    <row r="668" s="1" customFormat="1" ht="14.25" x14ac:dyDescent="0.2"/>
    <row r="669" s="1" customFormat="1" ht="14.25" x14ac:dyDescent="0.2"/>
    <row r="670" s="1" customFormat="1" ht="14.25" x14ac:dyDescent="0.2"/>
    <row r="671" s="1" customFormat="1" ht="14.25" x14ac:dyDescent="0.2"/>
    <row r="672" s="1" customFormat="1" ht="14.25" x14ac:dyDescent="0.2"/>
    <row r="673" s="1" customFormat="1" ht="14.25" x14ac:dyDescent="0.2"/>
    <row r="674" s="1" customFormat="1" ht="14.25" x14ac:dyDescent="0.2"/>
    <row r="675" s="1" customFormat="1" ht="14.25" x14ac:dyDescent="0.2"/>
    <row r="676" s="1" customFormat="1" ht="14.25" x14ac:dyDescent="0.2"/>
    <row r="677" s="1" customFormat="1" ht="14.25" x14ac:dyDescent="0.2"/>
    <row r="678" s="1" customFormat="1" ht="14.25" x14ac:dyDescent="0.2"/>
    <row r="679" s="1" customFormat="1" ht="14.25" x14ac:dyDescent="0.2"/>
    <row r="680" s="1" customFormat="1" ht="14.25" x14ac:dyDescent="0.2"/>
    <row r="681" s="1" customFormat="1" ht="14.25" x14ac:dyDescent="0.2"/>
    <row r="682" s="1" customFormat="1" ht="14.25" x14ac:dyDescent="0.2"/>
    <row r="683" s="1" customFormat="1" ht="14.25" x14ac:dyDescent="0.2"/>
    <row r="684" s="1" customFormat="1" ht="14.25" x14ac:dyDescent="0.2"/>
    <row r="685" s="1" customFormat="1" ht="14.25" x14ac:dyDescent="0.2"/>
    <row r="686" s="1" customFormat="1" ht="14.25" x14ac:dyDescent="0.2"/>
    <row r="687" s="1" customFormat="1" ht="14.25" x14ac:dyDescent="0.2"/>
    <row r="688" s="1" customFormat="1" ht="14.25" x14ac:dyDescent="0.2"/>
    <row r="689" s="1" customFormat="1" ht="14.25" x14ac:dyDescent="0.2"/>
    <row r="690" s="1" customFormat="1" ht="14.25" x14ac:dyDescent="0.2"/>
    <row r="691" s="1" customFormat="1" ht="14.25" x14ac:dyDescent="0.2"/>
    <row r="692" s="1" customFormat="1" ht="14.25" x14ac:dyDescent="0.2"/>
    <row r="693" s="1" customFormat="1" ht="21" customHeight="1" x14ac:dyDescent="0.2"/>
    <row r="694" s="1" customFormat="1" ht="14.25" collapsed="1" x14ac:dyDescent="0.2"/>
    <row r="695" s="1" customFormat="1" ht="14.25" x14ac:dyDescent="0.2"/>
    <row r="696" s="1" customFormat="1" ht="14.25" x14ac:dyDescent="0.2"/>
    <row r="697" s="1" customFormat="1" ht="14.25" x14ac:dyDescent="0.2"/>
    <row r="698" s="1" customFormat="1" ht="14.25" x14ac:dyDescent="0.2"/>
    <row r="699" s="1" customFormat="1" ht="14.25" x14ac:dyDescent="0.2"/>
    <row r="700" s="1" customFormat="1" ht="14.25" x14ac:dyDescent="0.2"/>
    <row r="701" s="1" customFormat="1" ht="14.25" x14ac:dyDescent="0.2"/>
    <row r="702" s="1" customFormat="1" ht="14.25" x14ac:dyDescent="0.2"/>
    <row r="703" s="1" customFormat="1" ht="14.25" x14ac:dyDescent="0.2"/>
    <row r="704" s="1" customFormat="1" ht="14.25" x14ac:dyDescent="0.2"/>
    <row r="705" s="1" customFormat="1" ht="14.25" x14ac:dyDescent="0.2"/>
    <row r="706" s="1" customFormat="1" ht="14.25" x14ac:dyDescent="0.2"/>
    <row r="707" s="1" customFormat="1" ht="14.25" x14ac:dyDescent="0.2"/>
    <row r="708" s="1" customFormat="1" ht="14.25" x14ac:dyDescent="0.2"/>
    <row r="709" s="1" customFormat="1" ht="14.25" x14ac:dyDescent="0.2"/>
    <row r="710" s="1" customFormat="1" ht="14.25" x14ac:dyDescent="0.2"/>
    <row r="711" s="1" customFormat="1" ht="14.25" x14ac:dyDescent="0.2"/>
    <row r="712" s="1" customFormat="1" ht="14.25" x14ac:dyDescent="0.2"/>
    <row r="713" s="1" customFormat="1" ht="14.25" x14ac:dyDescent="0.2"/>
    <row r="714" s="1" customFormat="1" ht="14.25" x14ac:dyDescent="0.2"/>
    <row r="715" s="1" customFormat="1" ht="14.25" x14ac:dyDescent="0.2"/>
    <row r="716" s="1" customFormat="1" ht="14.25" x14ac:dyDescent="0.2"/>
    <row r="717" s="1" customFormat="1" ht="14.25" x14ac:dyDescent="0.2"/>
    <row r="718" s="1" customFormat="1" ht="14.25" x14ac:dyDescent="0.2"/>
    <row r="719" s="1" customFormat="1" ht="14.25" x14ac:dyDescent="0.2"/>
    <row r="720" s="1" customFormat="1" ht="14.25" x14ac:dyDescent="0.2"/>
    <row r="721" s="1" customFormat="1" ht="14.25" x14ac:dyDescent="0.2"/>
    <row r="722" s="1" customFormat="1" ht="14.25" x14ac:dyDescent="0.2"/>
    <row r="723" s="1" customFormat="1" ht="14.25" x14ac:dyDescent="0.2"/>
    <row r="724" s="1" customFormat="1" ht="14.25" x14ac:dyDescent="0.2"/>
    <row r="725" s="1" customFormat="1" ht="14.25" x14ac:dyDescent="0.2"/>
    <row r="726" s="1" customFormat="1" ht="14.25" x14ac:dyDescent="0.2"/>
    <row r="727" s="1" customFormat="1" ht="14.25" x14ac:dyDescent="0.2"/>
    <row r="728" s="1" customFormat="1" ht="14.25" x14ac:dyDescent="0.2"/>
    <row r="729" s="1" customFormat="1" ht="14.25" x14ac:dyDescent="0.2"/>
    <row r="730" s="1" customFormat="1" ht="14.25" x14ac:dyDescent="0.2"/>
    <row r="731" s="1" customFormat="1" ht="14.25" x14ac:dyDescent="0.2"/>
    <row r="732" s="1" customFormat="1" ht="14.25" x14ac:dyDescent="0.2"/>
    <row r="733" s="1" customFormat="1" ht="14.25" x14ac:dyDescent="0.2"/>
    <row r="734" s="1" customFormat="1" ht="14.25" x14ac:dyDescent="0.2"/>
    <row r="735" s="1" customFormat="1" ht="14.25" x14ac:dyDescent="0.2"/>
    <row r="736" s="1" customFormat="1" ht="14.25" x14ac:dyDescent="0.2"/>
    <row r="737" s="1" customFormat="1" ht="21" customHeight="1" x14ac:dyDescent="0.2"/>
    <row r="738" s="1" customFormat="1" ht="36.75" customHeight="1" x14ac:dyDescent="0.2"/>
    <row r="739" s="1" customFormat="1" ht="18.75" customHeight="1" x14ac:dyDescent="0.2"/>
    <row r="740" s="1" customFormat="1" ht="18.75" customHeight="1" x14ac:dyDescent="0.2"/>
    <row r="741" s="1" customFormat="1" ht="18.75" customHeight="1" x14ac:dyDescent="0.2"/>
    <row r="742" s="1" customFormat="1" ht="18.75" customHeight="1" x14ac:dyDescent="0.2"/>
    <row r="743" s="1" customFormat="1" ht="18.75" customHeight="1" x14ac:dyDescent="0.2"/>
    <row r="744" s="1" customFormat="1" ht="18.75" customHeight="1" x14ac:dyDescent="0.2"/>
    <row r="745" s="1" customFormat="1" ht="18.75" customHeight="1" x14ac:dyDescent="0.2"/>
    <row r="746" s="1" customFormat="1" ht="18.75" customHeight="1" x14ac:dyDescent="0.2"/>
    <row r="747" s="1" customFormat="1" ht="18.75" customHeight="1" x14ac:dyDescent="0.2"/>
    <row r="748" s="1" customFormat="1" ht="18.75" customHeight="1" x14ac:dyDescent="0.2"/>
    <row r="749" s="1" customFormat="1" ht="18.75" customHeight="1" x14ac:dyDescent="0.2"/>
    <row r="750" s="1" customFormat="1" ht="18.75" customHeight="1" x14ac:dyDescent="0.2"/>
    <row r="751" s="1" customFormat="1" ht="18.75" customHeight="1" x14ac:dyDescent="0.2"/>
    <row r="752" s="1" customFormat="1" ht="18.75" customHeight="1" x14ac:dyDescent="0.2"/>
    <row r="753" s="1" customFormat="1" ht="18.75" customHeight="1" x14ac:dyDescent="0.2"/>
    <row r="754" s="1" customFormat="1" ht="18.75" customHeight="1" x14ac:dyDescent="0.2"/>
    <row r="755" s="1" customFormat="1" ht="18.75" customHeight="1" x14ac:dyDescent="0.2"/>
    <row r="756" s="1" customFormat="1" ht="18.75" customHeight="1" x14ac:dyDescent="0.2"/>
    <row r="757" s="1" customFormat="1" ht="14.25" x14ac:dyDescent="0.2"/>
    <row r="758" s="1" customFormat="1" ht="14.25" x14ac:dyDescent="0.2"/>
    <row r="759" s="1" customFormat="1" ht="14.25" x14ac:dyDescent="0.2"/>
    <row r="760" s="1" customFormat="1" ht="14.25" x14ac:dyDescent="0.2"/>
    <row r="761" s="1" customFormat="1" ht="14.25" x14ac:dyDescent="0.2"/>
    <row r="762" s="1" customFormat="1" ht="3.75" customHeight="1" x14ac:dyDescent="0.2"/>
    <row r="763" s="1" customFormat="1" ht="14.25" x14ac:dyDescent="0.2"/>
    <row r="764" s="1" customFormat="1" ht="14.25" x14ac:dyDescent="0.2"/>
    <row r="765" s="1" customFormat="1" ht="14.25" x14ac:dyDescent="0.2"/>
    <row r="766" s="1" customFormat="1" ht="14.25" x14ac:dyDescent="0.2"/>
    <row r="767" s="1" customFormat="1" ht="14.25" x14ac:dyDescent="0.2"/>
    <row r="768" s="1" customFormat="1" ht="6.75" customHeight="1" x14ac:dyDescent="0.2"/>
    <row r="769" s="1" customFormat="1" ht="14.25" x14ac:dyDescent="0.2"/>
    <row r="770" s="1" customFormat="1" ht="14.25" x14ac:dyDescent="0.2"/>
    <row r="771" s="1" customFormat="1" ht="14.25" x14ac:dyDescent="0.2"/>
    <row r="772" s="1" customFormat="1" ht="14.25" x14ac:dyDescent="0.2"/>
    <row r="773" s="1" customFormat="1" ht="14.25" x14ac:dyDescent="0.2"/>
    <row r="774" s="1" customFormat="1" ht="14.25" x14ac:dyDescent="0.2"/>
    <row r="775" s="1" customFormat="1" ht="14.25" x14ac:dyDescent="0.2"/>
    <row r="776" s="1" customFormat="1" ht="14.25" x14ac:dyDescent="0.2"/>
    <row r="777" s="1" customFormat="1" ht="14.25" x14ac:dyDescent="0.2"/>
    <row r="778" s="1" customFormat="1" ht="14.25" x14ac:dyDescent="0.2"/>
    <row r="779" s="1" customFormat="1" ht="14.25" x14ac:dyDescent="0.2"/>
    <row r="780" s="1" customFormat="1" ht="14.25" x14ac:dyDescent="0.2"/>
    <row r="781" s="1" customFormat="1" ht="14.25" x14ac:dyDescent="0.2"/>
    <row r="782" s="1" customFormat="1" ht="14.25" x14ac:dyDescent="0.2"/>
    <row r="783" s="1" customFormat="1" ht="14.25" x14ac:dyDescent="0.2"/>
    <row r="784" s="1" customFormat="1" ht="14.25" x14ac:dyDescent="0.2"/>
    <row r="785" s="1" customFormat="1" ht="14.25" x14ac:dyDescent="0.2"/>
    <row r="786" s="1" customFormat="1" ht="14.25" x14ac:dyDescent="0.2"/>
    <row r="787" s="1" customFormat="1" ht="14.25" x14ac:dyDescent="0.2"/>
    <row r="788" s="1" customFormat="1" ht="14.25" x14ac:dyDescent="0.2"/>
    <row r="789" s="1" customFormat="1" ht="14.25" x14ac:dyDescent="0.2"/>
    <row r="790" s="1" customFormat="1" ht="14.25" x14ac:dyDescent="0.2"/>
    <row r="791" s="1" customFormat="1" ht="14.25" x14ac:dyDescent="0.2"/>
    <row r="792" s="1" customFormat="1" ht="14.25" x14ac:dyDescent="0.2"/>
    <row r="793" s="1" customFormat="1" ht="14.25" x14ac:dyDescent="0.2"/>
    <row r="794" s="1" customFormat="1" ht="14.25" x14ac:dyDescent="0.2"/>
    <row r="795" s="1" customFormat="1" ht="14.25" x14ac:dyDescent="0.2"/>
    <row r="796" s="1" customFormat="1" ht="14.25" x14ac:dyDescent="0.2"/>
    <row r="797" s="1" customFormat="1" ht="14.25" x14ac:dyDescent="0.2"/>
    <row r="798" s="1" customFormat="1" ht="14.25" x14ac:dyDescent="0.2"/>
    <row r="799" s="1" customFormat="1" ht="14.25" x14ac:dyDescent="0.2"/>
    <row r="800" s="1" customFormat="1" ht="14.25" x14ac:dyDescent="0.2"/>
    <row r="801" s="1" customFormat="1" ht="14.25" x14ac:dyDescent="0.2"/>
    <row r="802" s="1" customFormat="1" ht="14.25" x14ac:dyDescent="0.2"/>
    <row r="803" s="1" customFormat="1" ht="14.25" x14ac:dyDescent="0.2"/>
    <row r="804" s="1" customFormat="1" ht="14.25" x14ac:dyDescent="0.2"/>
    <row r="805" s="1" customFormat="1" ht="14.25" x14ac:dyDescent="0.2"/>
    <row r="806" s="1" customFormat="1" ht="14.25" x14ac:dyDescent="0.2"/>
    <row r="807" s="1" customFormat="1" ht="14.25" x14ac:dyDescent="0.2"/>
    <row r="808" s="1" customFormat="1" ht="14.25" x14ac:dyDescent="0.2"/>
    <row r="809" s="1" customFormat="1" ht="14.25" x14ac:dyDescent="0.2"/>
    <row r="810" s="1" customFormat="1" ht="14.25" x14ac:dyDescent="0.2"/>
    <row r="811" s="1" customFormat="1" ht="14.25" x14ac:dyDescent="0.2"/>
    <row r="812" s="1" customFormat="1" ht="14.25" x14ac:dyDescent="0.2"/>
    <row r="813" s="1" customFormat="1" ht="14.25" x14ac:dyDescent="0.2"/>
    <row r="814" s="1" customFormat="1" ht="14.25" x14ac:dyDescent="0.2"/>
    <row r="815" s="1" customFormat="1" ht="14.25" x14ac:dyDescent="0.2"/>
    <row r="816" s="1" customFormat="1" ht="14.25" x14ac:dyDescent="0.2"/>
    <row r="817" s="1" customFormat="1" ht="14.25" x14ac:dyDescent="0.2"/>
    <row r="818" s="1" customFormat="1" ht="14.25" x14ac:dyDescent="0.2"/>
    <row r="819" s="1" customFormat="1" ht="14.25" x14ac:dyDescent="0.2"/>
    <row r="820" s="1" customFormat="1" ht="14.25" x14ac:dyDescent="0.2"/>
    <row r="821" s="1" customFormat="1" ht="14.25" x14ac:dyDescent="0.2"/>
    <row r="822" s="1" customFormat="1" ht="14.25" x14ac:dyDescent="0.2"/>
    <row r="823" s="1" customFormat="1" ht="14.25" x14ac:dyDescent="0.2"/>
    <row r="824" s="1" customFormat="1" ht="14.25" x14ac:dyDescent="0.2"/>
    <row r="825" s="1" customFormat="1" ht="14.25" x14ac:dyDescent="0.2"/>
    <row r="826" s="1" customFormat="1" ht="14.25" x14ac:dyDescent="0.2"/>
    <row r="827" s="1" customFormat="1" ht="14.25" x14ac:dyDescent="0.2"/>
    <row r="828" s="1" customFormat="1" ht="14.25" x14ac:dyDescent="0.2"/>
    <row r="829" s="1" customFormat="1" ht="14.25" x14ac:dyDescent="0.2"/>
    <row r="830" s="1" customFormat="1" ht="14.25" x14ac:dyDescent="0.2"/>
    <row r="831" s="1" customFormat="1" ht="14.25" x14ac:dyDescent="0.2"/>
    <row r="832" s="1" customFormat="1" ht="14.25" x14ac:dyDescent="0.2"/>
    <row r="833" s="1" customFormat="1" ht="14.25" x14ac:dyDescent="0.2"/>
    <row r="834" s="1" customFormat="1" ht="14.25" x14ac:dyDescent="0.2"/>
    <row r="835" s="1" customFormat="1" ht="14.25" x14ac:dyDescent="0.2"/>
    <row r="836" s="1" customFormat="1" ht="14.25" x14ac:dyDescent="0.2"/>
    <row r="837" s="1" customFormat="1" ht="14.25" x14ac:dyDescent="0.2"/>
    <row r="838" s="1" customFormat="1" ht="14.25" x14ac:dyDescent="0.2"/>
    <row r="839" s="1" customFormat="1" ht="14.25" x14ac:dyDescent="0.2"/>
    <row r="840" s="1" customFormat="1" ht="14.25" x14ac:dyDescent="0.2"/>
    <row r="841" s="1" customFormat="1" ht="14.25" x14ac:dyDescent="0.2"/>
    <row r="842" s="1" customFormat="1" ht="14.25" x14ac:dyDescent="0.2"/>
    <row r="843" s="1" customFormat="1" ht="14.25" x14ac:dyDescent="0.2"/>
    <row r="844" s="1" customFormat="1" ht="14.25" x14ac:dyDescent="0.2"/>
    <row r="845" s="1" customFormat="1" ht="14.25" x14ac:dyDescent="0.2"/>
    <row r="846" s="1" customFormat="1" ht="14.25" x14ac:dyDescent="0.2"/>
    <row r="847" s="1" customFormat="1" ht="14.25" x14ac:dyDescent="0.2"/>
    <row r="848" s="1" customFormat="1" ht="14.25" x14ac:dyDescent="0.2"/>
    <row r="849" spans="9:31" ht="14.25" x14ac:dyDescent="0.2">
      <c r="I849" s="1"/>
      <c r="K849" s="1"/>
      <c r="AD849" s="1"/>
      <c r="AE849" s="1"/>
    </row>
    <row r="850" spans="9:31" ht="14.25" x14ac:dyDescent="0.2">
      <c r="I850" s="1"/>
      <c r="K850" s="1"/>
      <c r="AD850" s="1"/>
      <c r="AE850" s="1"/>
    </row>
    <row r="851" spans="9:31" ht="14.25" x14ac:dyDescent="0.2">
      <c r="I851" s="1"/>
      <c r="K851" s="1"/>
      <c r="AD851" s="1"/>
      <c r="AE851" s="1"/>
    </row>
    <row r="852" spans="9:31" ht="14.25" x14ac:dyDescent="0.2">
      <c r="I852" s="1"/>
      <c r="K852" s="1"/>
      <c r="AD852" s="1"/>
      <c r="AE852" s="1"/>
    </row>
    <row r="853" spans="9:31" ht="14.25" x14ac:dyDescent="0.2">
      <c r="I853" s="1"/>
      <c r="K853" s="1"/>
      <c r="AD853" s="1"/>
      <c r="AE853" s="1"/>
    </row>
    <row r="854" spans="9:31" ht="14.25" x14ac:dyDescent="0.2">
      <c r="I854" s="1"/>
      <c r="K854" s="1"/>
      <c r="AD854" s="1"/>
      <c r="AE854" s="1"/>
    </row>
    <row r="855" spans="9:31" ht="14.25" x14ac:dyDescent="0.2">
      <c r="I855" s="1"/>
      <c r="K855" s="1"/>
      <c r="AD855" s="1"/>
      <c r="AE855" s="1"/>
    </row>
    <row r="856" spans="9:31" ht="14.25" x14ac:dyDescent="0.2">
      <c r="I856" s="1"/>
      <c r="K856" s="1"/>
      <c r="AD856" s="1"/>
      <c r="AE856" s="1"/>
    </row>
    <row r="857" spans="9:31" ht="14.25" x14ac:dyDescent="0.2">
      <c r="I857" s="1"/>
      <c r="K857" s="1"/>
      <c r="AD857" s="1"/>
      <c r="AE857" s="1"/>
    </row>
    <row r="858" spans="9:31" ht="14.25" x14ac:dyDescent="0.2">
      <c r="I858" s="1"/>
      <c r="K858" s="1"/>
      <c r="AD858" s="1"/>
      <c r="AE858" s="1"/>
    </row>
    <row r="859" spans="9:31" ht="14.25" x14ac:dyDescent="0.2">
      <c r="I859" s="1"/>
      <c r="K859" s="1"/>
      <c r="AD859" s="1"/>
      <c r="AE859" s="1"/>
    </row>
    <row r="860" spans="9:31" ht="14.25" x14ac:dyDescent="0.2">
      <c r="I860" s="1"/>
      <c r="K860" s="1"/>
      <c r="AD860" s="1"/>
      <c r="AE860" s="1"/>
    </row>
    <row r="861" spans="9:31" ht="14.25" x14ac:dyDescent="0.2">
      <c r="I861" s="1"/>
      <c r="K861" s="1"/>
      <c r="AD861" s="1"/>
      <c r="AE861" s="1"/>
    </row>
    <row r="862" spans="9:31" ht="14.25" x14ac:dyDescent="0.2">
      <c r="I862" s="1"/>
      <c r="K862" s="1"/>
      <c r="AD862" s="1"/>
      <c r="AE862" s="1"/>
    </row>
    <row r="863" spans="9:31" ht="14.25" x14ac:dyDescent="0.2">
      <c r="I863" s="1"/>
      <c r="K863" s="1"/>
      <c r="AD863" s="1"/>
      <c r="AE863" s="1"/>
    </row>
    <row r="864" spans="9:31" ht="14.25" x14ac:dyDescent="0.2">
      <c r="I864" s="1"/>
      <c r="K864" s="1"/>
      <c r="AD864" s="1"/>
    </row>
  </sheetData>
  <sheetProtection algorithmName="SHA-512" hashValue="SDhbuLYMPS8dsdr233vfbCmkcvzMDPe7OAXE8rYjK6wJCREpau/FvdfXWRFJhJ9+uo5/ewvstcJolRl0Pz01AQ==" saltValue="LJPgE2yCbH1i+BYGJUChjA==" spinCount="100000" sheet="1" formatColumns="0" formatRows="0"/>
  <mergeCells count="39">
    <mergeCell ref="AS68:AS70"/>
    <mergeCell ref="AT68:AT70"/>
    <mergeCell ref="J11:J12"/>
    <mergeCell ref="K34:K35"/>
    <mergeCell ref="AI67:AL67"/>
    <mergeCell ref="AE68:AH69"/>
    <mergeCell ref="AI68:AJ69"/>
    <mergeCell ref="AK68:AL69"/>
    <mergeCell ref="AE74:AG74"/>
    <mergeCell ref="AN68:AN70"/>
    <mergeCell ref="AO68:AO70"/>
    <mergeCell ref="AP68:AP70"/>
    <mergeCell ref="AR68:AR70"/>
    <mergeCell ref="AE70:AG70"/>
    <mergeCell ref="AH70:AH71"/>
    <mergeCell ref="AE71:AG71"/>
    <mergeCell ref="AE72:AG72"/>
    <mergeCell ref="AE73:AG73"/>
    <mergeCell ref="AE86:AG86"/>
    <mergeCell ref="AE75:AG75"/>
    <mergeCell ref="AE76:AG76"/>
    <mergeCell ref="AE77:AG77"/>
    <mergeCell ref="AE78:AG78"/>
    <mergeCell ref="AE79:AG79"/>
    <mergeCell ref="AE80:AH80"/>
    <mergeCell ref="AE81:AG81"/>
    <mergeCell ref="AE82:AG82"/>
    <mergeCell ref="AE83:AG83"/>
    <mergeCell ref="AE84:AG84"/>
    <mergeCell ref="AE85:AG85"/>
    <mergeCell ref="K365:L365"/>
    <mergeCell ref="J367:J368"/>
    <mergeCell ref="K390:K391"/>
    <mergeCell ref="AE87:AG87"/>
    <mergeCell ref="AE88:AH88"/>
    <mergeCell ref="K174:K175"/>
    <mergeCell ref="I363:J364"/>
    <mergeCell ref="K363:L363"/>
    <mergeCell ref="K364:L364"/>
  </mergeCells>
  <phoneticPr fontId="154" type="noConversion"/>
  <conditionalFormatting sqref="A147:K147">
    <cfRule type="cellIs" dxfId="1002" priority="630" operator="equal">
      <formula>0</formula>
    </cfRule>
    <cfRule type="cellIs" dxfId="1001" priority="631" operator="lessThan">
      <formula>0</formula>
    </cfRule>
  </conditionalFormatting>
  <conditionalFormatting sqref="H76">
    <cfRule type="cellIs" dxfId="1000" priority="1477" operator="equal">
      <formula>0</formula>
    </cfRule>
    <cfRule type="cellIs" dxfId="999" priority="1478" operator="lessThan">
      <formula>0</formula>
    </cfRule>
  </conditionalFormatting>
  <conditionalFormatting sqref="H91">
    <cfRule type="cellIs" dxfId="998" priority="1370" operator="equal">
      <formula>0</formula>
    </cfRule>
    <cfRule type="cellIs" dxfId="997" priority="1371" operator="lessThan">
      <formula>0</formula>
    </cfRule>
  </conditionalFormatting>
  <conditionalFormatting sqref="H124:H125">
    <cfRule type="cellIs" dxfId="996" priority="1402" operator="equal">
      <formula>0</formula>
    </cfRule>
    <cfRule type="cellIs" dxfId="995" priority="1403" operator="lessThan">
      <formula>0</formula>
    </cfRule>
  </conditionalFormatting>
  <conditionalFormatting sqref="H148:H152">
    <cfRule type="cellIs" dxfId="994" priority="1324" operator="equal">
      <formula>0</formula>
    </cfRule>
    <cfRule type="cellIs" dxfId="993" priority="1325" operator="lessThan">
      <formula>0</formula>
    </cfRule>
  </conditionalFormatting>
  <conditionalFormatting sqref="H156:H158">
    <cfRule type="cellIs" dxfId="992" priority="1310" operator="equal">
      <formula>0</formula>
    </cfRule>
    <cfRule type="cellIs" dxfId="991" priority="1311" operator="lessThan">
      <formula>0</formula>
    </cfRule>
  </conditionalFormatting>
  <conditionalFormatting sqref="H160:H163">
    <cfRule type="cellIs" dxfId="990" priority="1302" operator="equal">
      <formula>0</formula>
    </cfRule>
    <cfRule type="cellIs" dxfId="989" priority="1303" operator="lessThan">
      <formula>0</formula>
    </cfRule>
  </conditionalFormatting>
  <conditionalFormatting sqref="H173:H175">
    <cfRule type="cellIs" dxfId="988" priority="1354" operator="equal">
      <formula>0</formula>
    </cfRule>
    <cfRule type="cellIs" dxfId="987" priority="1355" operator="lessThan">
      <formula>0</formula>
    </cfRule>
  </conditionalFormatting>
  <conditionalFormatting sqref="H182:H190">
    <cfRule type="cellIs" dxfId="986" priority="1334" operator="equal">
      <formula>0</formula>
    </cfRule>
    <cfRule type="cellIs" dxfId="985" priority="1335" operator="lessThan">
      <formula>0</formula>
    </cfRule>
  </conditionalFormatting>
  <conditionalFormatting sqref="H62:I62">
    <cfRule type="cellIs" dxfId="984" priority="1487" operator="equal">
      <formula>0</formula>
    </cfRule>
    <cfRule type="cellIs" dxfId="983" priority="1488" operator="lessThan">
      <formula>0</formula>
    </cfRule>
  </conditionalFormatting>
  <conditionalFormatting sqref="H65:I65 AD65:XFD65">
    <cfRule type="cellIs" dxfId="982" priority="1484" operator="lessThan">
      <formula>0</formula>
    </cfRule>
  </conditionalFormatting>
  <conditionalFormatting sqref="H65:I65">
    <cfRule type="cellIs" dxfId="981" priority="1483" operator="equal">
      <formula>0</formula>
    </cfRule>
  </conditionalFormatting>
  <conditionalFormatting sqref="H73:I74">
    <cfRule type="cellIs" dxfId="980" priority="1239" operator="equal">
      <formula>0</formula>
    </cfRule>
    <cfRule type="cellIs" dxfId="979" priority="1240" operator="lessThan">
      <formula>0</formula>
    </cfRule>
  </conditionalFormatting>
  <conditionalFormatting sqref="H101:I101">
    <cfRule type="cellIs" dxfId="978" priority="1424" operator="equal">
      <formula>0</formula>
    </cfRule>
    <cfRule type="cellIs" dxfId="977" priority="1425" operator="lessThan">
      <formula>0</formula>
    </cfRule>
  </conditionalFormatting>
  <conditionalFormatting sqref="H262:I262">
    <cfRule type="cellIs" dxfId="976" priority="1475" operator="equal">
      <formula>0</formula>
    </cfRule>
    <cfRule type="cellIs" dxfId="975" priority="1476" operator="lessThan">
      <formula>0</formula>
    </cfRule>
  </conditionalFormatting>
  <conditionalFormatting sqref="H23:J27 AD23:XFD27">
    <cfRule type="cellIs" dxfId="974" priority="1245" operator="equal">
      <formula>0</formula>
    </cfRule>
    <cfRule type="cellIs" dxfId="973" priority="1246" operator="lessThan">
      <formula>0</formula>
    </cfRule>
  </conditionalFormatting>
  <conditionalFormatting sqref="H37:J37">
    <cfRule type="cellIs" dxfId="972" priority="1464" operator="equal">
      <formula>0</formula>
    </cfRule>
    <cfRule type="cellIs" dxfId="971" priority="1465" operator="lessThan">
      <formula>0</formula>
    </cfRule>
  </conditionalFormatting>
  <conditionalFormatting sqref="H69:J72">
    <cfRule type="cellIs" dxfId="970" priority="1223" operator="equal">
      <formula>0</formula>
    </cfRule>
    <cfRule type="cellIs" dxfId="969" priority="1224" operator="lessThan">
      <formula>0</formula>
    </cfRule>
  </conditionalFormatting>
  <conditionalFormatting sqref="H78:J78">
    <cfRule type="cellIs" dxfId="968" priority="1412" operator="equal">
      <formula>0</formula>
    </cfRule>
    <cfRule type="cellIs" dxfId="967" priority="1413" operator="lessThan">
      <formula>0</formula>
    </cfRule>
  </conditionalFormatting>
  <conditionalFormatting sqref="H197:J197">
    <cfRule type="cellIs" dxfId="966" priority="1360" operator="equal">
      <formula>0</formula>
    </cfRule>
    <cfRule type="cellIs" dxfId="965" priority="1361" operator="lessThan">
      <formula>0</formula>
    </cfRule>
  </conditionalFormatting>
  <conditionalFormatting sqref="H245:J261">
    <cfRule type="cellIs" dxfId="964" priority="1376" operator="equal">
      <formula>0</formula>
    </cfRule>
    <cfRule type="cellIs" dxfId="963" priority="1377" operator="lessThan">
      <formula>0</formula>
    </cfRule>
  </conditionalFormatting>
  <conditionalFormatting sqref="H263:J275">
    <cfRule type="cellIs" dxfId="962" priority="1428" operator="equal">
      <formula>0</formula>
    </cfRule>
    <cfRule type="cellIs" dxfId="961" priority="1429" operator="lessThan">
      <formula>0</formula>
    </cfRule>
  </conditionalFormatting>
  <conditionalFormatting sqref="H57:K57">
    <cfRule type="cellIs" dxfId="960" priority="978" operator="equal">
      <formula>0</formula>
    </cfRule>
    <cfRule type="cellIs" dxfId="959" priority="979" operator="lessThan">
      <formula>0</formula>
    </cfRule>
  </conditionalFormatting>
  <conditionalFormatting sqref="H234:K234">
    <cfRule type="cellIs" dxfId="958" priority="989" operator="equal">
      <formula>0</formula>
    </cfRule>
    <cfRule type="cellIs" dxfId="957" priority="990" operator="lessThan">
      <formula>0</formula>
    </cfRule>
  </conditionalFormatting>
  <conditionalFormatting sqref="H39:L39">
    <cfRule type="cellIs" dxfId="956" priority="614" operator="equal">
      <formula>0</formula>
    </cfRule>
    <cfRule type="cellIs" dxfId="955" priority="615" operator="lessThan">
      <formula>0</formula>
    </cfRule>
  </conditionalFormatting>
  <conditionalFormatting sqref="H105:L105">
    <cfRule type="cellIs" dxfId="954" priority="608" operator="equal">
      <formula>0</formula>
    </cfRule>
    <cfRule type="cellIs" dxfId="953" priority="609" operator="lessThan">
      <formula>0</formula>
    </cfRule>
  </conditionalFormatting>
  <conditionalFormatting sqref="H146:L146">
    <cfRule type="cellIs" dxfId="952" priority="492" operator="equal">
      <formula>0</formula>
    </cfRule>
    <cfRule type="cellIs" dxfId="951" priority="493" operator="lessThan">
      <formula>0</formula>
    </cfRule>
  </conditionalFormatting>
  <conditionalFormatting sqref="H243:L243">
    <cfRule type="cellIs" dxfId="950" priority="688" operator="equal">
      <formula>0</formula>
    </cfRule>
    <cfRule type="cellIs" dxfId="949" priority="689" operator="lessThan">
      <formula>0</formula>
    </cfRule>
  </conditionalFormatting>
  <conditionalFormatting sqref="H311:L311 N311:V311">
    <cfRule type="cellIs" dxfId="948" priority="913" operator="equal">
      <formula>0</formula>
    </cfRule>
    <cfRule type="cellIs" dxfId="947" priority="914" operator="lessThan">
      <formula>0</formula>
    </cfRule>
  </conditionalFormatting>
  <conditionalFormatting sqref="H314:L314">
    <cfRule type="cellIs" dxfId="946" priority="909" operator="equal">
      <formula>0</formula>
    </cfRule>
    <cfRule type="cellIs" dxfId="945" priority="910" operator="lessThan">
      <formula>0</formula>
    </cfRule>
  </conditionalFormatting>
  <conditionalFormatting sqref="H318:L318">
    <cfRule type="cellIs" dxfId="944" priority="686" operator="equal">
      <formula>0</formula>
    </cfRule>
    <cfRule type="cellIs" dxfId="943" priority="687" operator="lessThan">
      <formula>0</formula>
    </cfRule>
  </conditionalFormatting>
  <conditionalFormatting sqref="H350:L350">
    <cfRule type="cellIs" dxfId="942" priority="27" operator="equal">
      <formula>0</formula>
    </cfRule>
    <cfRule type="cellIs" dxfId="941" priority="28" operator="lessThan">
      <formula>0</formula>
    </cfRule>
  </conditionalFormatting>
  <conditionalFormatting sqref="I38">
    <cfRule type="cellIs" dxfId="940" priority="1420" operator="equal">
      <formula>0</formula>
    </cfRule>
  </conditionalFormatting>
  <conditionalFormatting sqref="I386:I387">
    <cfRule type="cellIs" dxfId="939" priority="1107" operator="equal">
      <formula>0</formula>
    </cfRule>
    <cfRule type="cellIs" dxfId="938" priority="1108" operator="lessThan">
      <formula>0</formula>
    </cfRule>
  </conditionalFormatting>
  <conditionalFormatting sqref="I394">
    <cfRule type="cellIs" dxfId="937" priority="1067" operator="equal">
      <formula>0</formula>
    </cfRule>
  </conditionalFormatting>
  <conditionalFormatting sqref="I38:J38">
    <cfRule type="cellIs" dxfId="936" priority="1421" operator="lessThan">
      <formula>0</formula>
    </cfRule>
  </conditionalFormatting>
  <conditionalFormatting sqref="I173:J173">
    <cfRule type="cellIs" dxfId="935" priority="1356" operator="equal">
      <formula>0</formula>
    </cfRule>
    <cfRule type="cellIs" dxfId="934" priority="1357" operator="lessThan">
      <formula>0</formula>
    </cfRule>
  </conditionalFormatting>
  <conditionalFormatting sqref="I198:J199">
    <cfRule type="cellIs" dxfId="933" priority="1229" operator="equal">
      <formula>0</formula>
    </cfRule>
    <cfRule type="cellIs" dxfId="932" priority="1230" operator="lessThan">
      <formula>0</formula>
    </cfRule>
  </conditionalFormatting>
  <conditionalFormatting sqref="I393:J394">
    <cfRule type="cellIs" dxfId="931" priority="1068" operator="lessThan">
      <formula>0</formula>
    </cfRule>
  </conditionalFormatting>
  <conditionalFormatting sqref="I379:L379">
    <cfRule type="cellIs" dxfId="930" priority="1047" operator="equal">
      <formula>0</formula>
    </cfRule>
    <cfRule type="cellIs" dxfId="929" priority="1048" operator="lessThan">
      <formula>0</formula>
    </cfRule>
  </conditionalFormatting>
  <conditionalFormatting sqref="I382:L382 N382:V382">
    <cfRule type="cellIs" dxfId="928" priority="1181" operator="equal">
      <formula>0</formula>
    </cfRule>
    <cfRule type="cellIs" dxfId="927" priority="1182" operator="lessThan">
      <formula>0</formula>
    </cfRule>
  </conditionalFormatting>
  <conditionalFormatting sqref="I383:L383 I386:L387 N383:AC383 N386:AC387">
    <cfRule type="cellIs" dxfId="926" priority="1121" operator="equal">
      <formula>0</formula>
    </cfRule>
    <cfRule type="cellIs" dxfId="925" priority="1122" operator="lessThan">
      <formula>0</formula>
    </cfRule>
  </conditionalFormatting>
  <conditionalFormatting sqref="I395:L395">
    <cfRule type="cellIs" dxfId="924" priority="1094" operator="equal">
      <formula>0</formula>
    </cfRule>
    <cfRule type="cellIs" dxfId="923" priority="1095" operator="lessThan">
      <formula>0</formula>
    </cfRule>
  </conditionalFormatting>
  <conditionalFormatting sqref="J29:J31">
    <cfRule type="cellIs" dxfId="922" priority="1382" operator="equal">
      <formula>0</formula>
    </cfRule>
    <cfRule type="cellIs" dxfId="921" priority="1383" operator="lessThan">
      <formula>0</formula>
    </cfRule>
  </conditionalFormatting>
  <conditionalFormatting sqref="J38 J40:J49">
    <cfRule type="cellIs" dxfId="920" priority="1512" operator="equal">
      <formula>0</formula>
    </cfRule>
  </conditionalFormatting>
  <conditionalFormatting sqref="J40:J49">
    <cfRule type="cellIs" dxfId="919" priority="1513" operator="lessThan">
      <formula>0</formula>
    </cfRule>
  </conditionalFormatting>
  <conditionalFormatting sqref="J58:J63">
    <cfRule type="cellIs" dxfId="918" priority="1485" operator="equal">
      <formula>0</formula>
    </cfRule>
  </conditionalFormatting>
  <conditionalFormatting sqref="J58:J65">
    <cfRule type="cellIs" dxfId="917" priority="1482" operator="lessThan">
      <formula>0</formula>
    </cfRule>
  </conditionalFormatting>
  <conditionalFormatting sqref="J64:J65">
    <cfRule type="cellIs" dxfId="916" priority="1481" operator="equal">
      <formula>0</formula>
    </cfRule>
  </conditionalFormatting>
  <conditionalFormatting sqref="J73:J75">
    <cfRule type="cellIs" dxfId="915" priority="1237" operator="equal">
      <formula>0</formula>
    </cfRule>
    <cfRule type="cellIs" dxfId="914" priority="1238" operator="lessThan">
      <formula>0</formula>
    </cfRule>
  </conditionalFormatting>
  <conditionalFormatting sqref="J86:J87">
    <cfRule type="cellIs" dxfId="913" priority="1225" operator="equal">
      <formula>0</formula>
    </cfRule>
    <cfRule type="cellIs" dxfId="912" priority="1226" operator="lessThan">
      <formula>0</formula>
    </cfRule>
  </conditionalFormatting>
  <conditionalFormatting sqref="J101:J102">
    <cfRule type="cellIs" dxfId="911" priority="1398" operator="equal">
      <formula>0</formula>
    </cfRule>
    <cfRule type="cellIs" dxfId="910" priority="1399" operator="lessThan">
      <formula>0</formula>
    </cfRule>
  </conditionalFormatting>
  <conditionalFormatting sqref="J119:J125">
    <cfRule type="cellIs" dxfId="909" priority="1396" operator="equal">
      <formula>0</formula>
    </cfRule>
    <cfRule type="cellIs" dxfId="908" priority="1397" operator="lessThan">
      <formula>0</formula>
    </cfRule>
  </conditionalFormatting>
  <conditionalFormatting sqref="J130:J133 H132:H133">
    <cfRule type="cellIs" dxfId="907" priority="1320" operator="equal">
      <formula>0</formula>
    </cfRule>
    <cfRule type="cellIs" dxfId="906" priority="1321" operator="lessThan">
      <formula>0</formula>
    </cfRule>
  </conditionalFormatting>
  <conditionalFormatting sqref="J148:J152">
    <cfRule type="cellIs" dxfId="905" priority="1318" operator="equal">
      <formula>0</formula>
    </cfRule>
    <cfRule type="cellIs" dxfId="904" priority="1319" operator="lessThan">
      <formula>0</formula>
    </cfRule>
  </conditionalFormatting>
  <conditionalFormatting sqref="J152">
    <cfRule type="containsText" dxfId="903" priority="1316" operator="containsText" text="OK">
      <formula>NOT(ISERROR(SEARCH("OK",J152)))</formula>
    </cfRule>
    <cfRule type="containsText" dxfId="902" priority="1317" operator="containsText" text="ERROR">
      <formula>NOT(ISERROR(SEARCH("ERROR",J152)))</formula>
    </cfRule>
  </conditionalFormatting>
  <conditionalFormatting sqref="J154:J155">
    <cfRule type="cellIs" dxfId="901" priority="1290" operator="equal">
      <formula>0</formula>
    </cfRule>
    <cfRule type="cellIs" dxfId="900" priority="1291" operator="lessThan">
      <formula>0</formula>
    </cfRule>
  </conditionalFormatting>
  <conditionalFormatting sqref="J156:J158">
    <cfRule type="cellIs" dxfId="899" priority="1306" operator="equal">
      <formula>0</formula>
    </cfRule>
    <cfRule type="cellIs" dxfId="898" priority="1307" operator="lessThan">
      <formula>0</formula>
    </cfRule>
  </conditionalFormatting>
  <conditionalFormatting sqref="J158">
    <cfRule type="containsText" dxfId="897" priority="1304" operator="containsText" text="OK">
      <formula>NOT(ISERROR(SEARCH("OK",J158)))</formula>
    </cfRule>
    <cfRule type="containsText" dxfId="896" priority="1305" operator="containsText" text="ERROR">
      <formula>NOT(ISERROR(SEARCH("ERROR",J158)))</formula>
    </cfRule>
  </conditionalFormatting>
  <conditionalFormatting sqref="J160:J168">
    <cfRule type="cellIs" dxfId="895" priority="1231" operator="equal">
      <formula>0</formula>
    </cfRule>
    <cfRule type="cellIs" dxfId="894" priority="1232" operator="lessThan">
      <formula>0</formula>
    </cfRule>
  </conditionalFormatting>
  <conditionalFormatting sqref="J174:J190">
    <cfRule type="cellIs" dxfId="893" priority="1330" operator="equal">
      <formula>0</formula>
    </cfRule>
    <cfRule type="cellIs" dxfId="892" priority="1331" operator="lessThan">
      <formula>0</formula>
    </cfRule>
  </conditionalFormatting>
  <conditionalFormatting sqref="J194:J196">
    <cfRule type="cellIs" dxfId="891" priority="1348" operator="equal">
      <formula>0</formula>
    </cfRule>
    <cfRule type="cellIs" dxfId="890" priority="1349" operator="lessThan">
      <formula>0</formula>
    </cfRule>
  </conditionalFormatting>
  <conditionalFormatting sqref="J260:J264">
    <cfRule type="cellIs" dxfId="889" priority="1249" operator="equal">
      <formula>0</formula>
    </cfRule>
    <cfRule type="cellIs" dxfId="888" priority="1250" operator="lessThan">
      <formula>0</formula>
    </cfRule>
  </conditionalFormatting>
  <conditionalFormatting sqref="J269:J272">
    <cfRule type="cellIs" dxfId="887" priority="1430" operator="equal">
      <formula>0</formula>
    </cfRule>
    <cfRule type="cellIs" dxfId="886" priority="1431" operator="lessThan">
      <formula>0</formula>
    </cfRule>
  </conditionalFormatting>
  <conditionalFormatting sqref="J326:J330">
    <cfRule type="cellIs" dxfId="885" priority="1263" operator="equal">
      <formula>0</formula>
    </cfRule>
    <cfRule type="cellIs" dxfId="884" priority="1264" operator="lessThan">
      <formula>0</formula>
    </cfRule>
  </conditionalFormatting>
  <conditionalFormatting sqref="J385:J387">
    <cfRule type="cellIs" dxfId="883" priority="1099" operator="equal">
      <formula>0</formula>
    </cfRule>
    <cfRule type="cellIs" dxfId="882" priority="1100" operator="lessThan">
      <formula>0</formula>
    </cfRule>
  </conditionalFormatting>
  <conditionalFormatting sqref="J394">
    <cfRule type="cellIs" dxfId="881" priority="1075" operator="equal">
      <formula>0</formula>
    </cfRule>
  </conditionalFormatting>
  <conditionalFormatting sqref="J396:J405">
    <cfRule type="cellIs" dxfId="880" priority="1082" operator="equal">
      <formula>0</formula>
    </cfRule>
    <cfRule type="cellIs" dxfId="879" priority="1083" operator="lessThan">
      <formula>0</formula>
    </cfRule>
  </conditionalFormatting>
  <conditionalFormatting sqref="J454">
    <cfRule type="cellIs" dxfId="878" priority="25" operator="equal">
      <formula>0</formula>
    </cfRule>
    <cfRule type="cellIs" dxfId="877" priority="26" operator="lessThan">
      <formula>0</formula>
    </cfRule>
  </conditionalFormatting>
  <conditionalFormatting sqref="J137:K137">
    <cfRule type="cellIs" dxfId="876" priority="905" operator="equal">
      <formula>0</formula>
    </cfRule>
    <cfRule type="cellIs" dxfId="875" priority="906" operator="lessThan">
      <formula>0</formula>
    </cfRule>
  </conditionalFormatting>
  <conditionalFormatting sqref="J144:L144">
    <cfRule type="cellIs" dxfId="874" priority="472" operator="equal">
      <formula>0</formula>
    </cfRule>
    <cfRule type="cellIs" dxfId="873" priority="473" operator="lessThan">
      <formula>0</formula>
    </cfRule>
  </conditionalFormatting>
  <conditionalFormatting sqref="K10">
    <cfRule type="containsText" dxfId="872" priority="1289" operator="containsText" text="Error, PreCER vs CBD Diff">
      <formula>NOT(ISERROR(SEARCH("Error, PreCER vs CBD Diff",K10)))</formula>
    </cfRule>
  </conditionalFormatting>
  <conditionalFormatting sqref="K12">
    <cfRule type="cellIs" dxfId="871" priority="1271" operator="equal">
      <formula>0</formula>
    </cfRule>
    <cfRule type="cellIs" dxfId="870" priority="1272" operator="lessThan">
      <formula>0</formula>
    </cfRule>
  </conditionalFormatting>
  <conditionalFormatting sqref="K30:K31">
    <cfRule type="cellIs" dxfId="869" priority="722" operator="equal">
      <formula>0</formula>
    </cfRule>
    <cfRule type="cellIs" dxfId="868" priority="723" operator="lessThan">
      <formula>0</formula>
    </cfRule>
  </conditionalFormatting>
  <conditionalFormatting sqref="K34">
    <cfRule type="cellIs" dxfId="867" priority="606" operator="equal">
      <formula>0</formula>
    </cfRule>
    <cfRule type="cellIs" dxfId="866" priority="607" operator="lessThan">
      <formula>0</formula>
    </cfRule>
  </conditionalFormatting>
  <conditionalFormatting sqref="K49">
    <cfRule type="containsText" dxfId="865" priority="681" operator="containsText" text="Error, Not full amortized">
      <formula>NOT(ISERROR(SEARCH("Error, Not full amortized",K49)))</formula>
    </cfRule>
  </conditionalFormatting>
  <conditionalFormatting sqref="K50">
    <cfRule type="cellIs" dxfId="864" priority="958" operator="equal">
      <formula>0</formula>
    </cfRule>
    <cfRule type="cellIs" dxfId="863" priority="959" operator="lessThan">
      <formula>0</formula>
    </cfRule>
  </conditionalFormatting>
  <conditionalFormatting sqref="K62">
    <cfRule type="cellIs" dxfId="862" priority="976" operator="equal">
      <formula>0</formula>
    </cfRule>
    <cfRule type="cellIs" dxfId="861" priority="977" operator="lessThan">
      <formula>0</formula>
    </cfRule>
  </conditionalFormatting>
  <conditionalFormatting sqref="K77">
    <cfRule type="cellIs" dxfId="860" priority="903" operator="equal">
      <formula>0</formula>
    </cfRule>
    <cfRule type="cellIs" dxfId="859" priority="904" operator="lessThan">
      <formula>0</formula>
    </cfRule>
  </conditionalFormatting>
  <conditionalFormatting sqref="K82">
    <cfRule type="containsText" dxfId="858" priority="576" operator="containsText" text="check">
      <formula>NOT(ISERROR(SEARCH("check",K82)))</formula>
    </cfRule>
    <cfRule type="cellIs" dxfId="857" priority="577" operator="equal">
      <formula>0</formula>
    </cfRule>
    <cfRule type="cellIs" dxfId="856" priority="578" operator="lessThan">
      <formula>0</formula>
    </cfRule>
    <cfRule type="cellIs" dxfId="855" priority="579" operator="equal">
      <formula>0</formula>
    </cfRule>
    <cfRule type="containsText" dxfId="854" priority="580" operator="containsText" text="wrong">
      <formula>NOT(ISERROR(SEARCH("wrong",K82)))</formula>
    </cfRule>
    <cfRule type="containsText" dxfId="853" priority="581" operator="containsText" text="ok">
      <formula>NOT(ISERROR(SEARCH("ok",K82)))</formula>
    </cfRule>
  </conditionalFormatting>
  <conditionalFormatting sqref="K95:K96">
    <cfRule type="cellIs" dxfId="852" priority="971" operator="equal">
      <formula>0</formula>
    </cfRule>
    <cfRule type="cellIs" dxfId="851" priority="972" operator="lessThan">
      <formula>0</formula>
    </cfRule>
  </conditionalFormatting>
  <conditionalFormatting sqref="K101">
    <cfRule type="cellIs" dxfId="850" priority="766" operator="equal">
      <formula>0</formula>
    </cfRule>
    <cfRule type="cellIs" dxfId="849" priority="767" operator="lessThan">
      <formula>0</formula>
    </cfRule>
    <cfRule type="cellIs" dxfId="848" priority="768" operator="equal">
      <formula>0</formula>
    </cfRule>
  </conditionalFormatting>
  <conditionalFormatting sqref="K108:K110">
    <cfRule type="containsText" dxfId="847" priority="738" operator="containsText" text="check">
      <formula>NOT(ISERROR(SEARCH("check",K108)))</formula>
    </cfRule>
    <cfRule type="containsText" dxfId="846" priority="739" operator="containsText" text="wrong">
      <formula>NOT(ISERROR(SEARCH("wrong",K108)))</formula>
    </cfRule>
    <cfRule type="containsText" dxfId="845" priority="740" operator="containsText" text="ok">
      <formula>NOT(ISERROR(SEARCH("ok",K108)))</formula>
    </cfRule>
    <cfRule type="cellIs" dxfId="844" priority="741" operator="equal">
      <formula>0</formula>
    </cfRule>
    <cfRule type="cellIs" dxfId="843" priority="742" operator="lessThan">
      <formula>0</formula>
    </cfRule>
    <cfRule type="containsText" dxfId="842" priority="743" operator="containsText" text="OK">
      <formula>NOT(ISERROR(SEARCH("OK",K108)))</formula>
    </cfRule>
    <cfRule type="containsText" dxfId="841" priority="744" operator="containsText" text="ERROR">
      <formula>NOT(ISERROR(SEARCH("ERROR",K108)))</formula>
    </cfRule>
    <cfRule type="containsText" dxfId="840" priority="747" operator="containsText" text="OK">
      <formula>NOT(ISERROR(SEARCH("OK",K108)))</formula>
    </cfRule>
    <cfRule type="containsText" dxfId="839" priority="748" operator="containsText" text="ERROR">
      <formula>NOT(ISERROR(SEARCH("ERROR",K108)))</formula>
    </cfRule>
  </conditionalFormatting>
  <conditionalFormatting sqref="K108:K111">
    <cfRule type="cellIs" dxfId="838" priority="745" operator="equal">
      <formula>0</formula>
    </cfRule>
    <cfRule type="cellIs" dxfId="837" priority="746" operator="lessThan">
      <formula>0</formula>
    </cfRule>
  </conditionalFormatting>
  <conditionalFormatting sqref="K122">
    <cfRule type="cellIs" dxfId="836" priority="734" operator="equal">
      <formula>0</formula>
    </cfRule>
    <cfRule type="cellIs" dxfId="835" priority="735" operator="lessThan">
      <formula>0</formula>
    </cfRule>
  </conditionalFormatting>
  <conditionalFormatting sqref="K124:K125">
    <cfRule type="cellIs" dxfId="834" priority="764" operator="equal">
      <formula>0</formula>
    </cfRule>
    <cfRule type="cellIs" dxfId="833" priority="765" operator="lessThan">
      <formula>0</formula>
    </cfRule>
  </conditionalFormatting>
  <conditionalFormatting sqref="K133">
    <cfRule type="cellIs" dxfId="832" priority="648" operator="equal">
      <formula>0</formula>
    </cfRule>
    <cfRule type="cellIs" dxfId="831" priority="649" operator="lessThan">
      <formula>0</formula>
    </cfRule>
  </conditionalFormatting>
  <conditionalFormatting sqref="K176">
    <cfRule type="cellIs" dxfId="830" priority="654" operator="equal">
      <formula>0</formula>
    </cfRule>
    <cfRule type="cellIs" dxfId="829" priority="655" operator="lessThan">
      <formula>0</formula>
    </cfRule>
  </conditionalFormatting>
  <conditionalFormatting sqref="K182:K187">
    <cfRule type="containsText" dxfId="828" priority="660" operator="containsText" text="OK">
      <formula>NOT(ISERROR(SEARCH("OK",K182)))</formula>
    </cfRule>
    <cfRule type="containsText" dxfId="827" priority="661" operator="containsText" text="ERROR">
      <formula>NOT(ISERROR(SEARCH("ERROR",K182)))</formula>
    </cfRule>
    <cfRule type="cellIs" dxfId="826" priority="662" operator="equal">
      <formula>0</formula>
    </cfRule>
    <cfRule type="cellIs" dxfId="825" priority="663" operator="lessThan">
      <formula>0</formula>
    </cfRule>
  </conditionalFormatting>
  <conditionalFormatting sqref="K192:K194">
    <cfRule type="cellIs" dxfId="824" priority="620" operator="equal">
      <formula>0</formula>
    </cfRule>
    <cfRule type="cellIs" dxfId="823" priority="621" operator="lessThan">
      <formula>0</formula>
    </cfRule>
  </conditionalFormatting>
  <conditionalFormatting sqref="K329">
    <cfRule type="cellIs" dxfId="822" priority="985" operator="equal">
      <formula>0</formula>
    </cfRule>
    <cfRule type="cellIs" dxfId="821" priority="986" operator="lessThan">
      <formula>0</formula>
    </cfRule>
  </conditionalFormatting>
  <conditionalFormatting sqref="K368">
    <cfRule type="cellIs" dxfId="820" priority="1084" operator="equal">
      <formula>0</formula>
    </cfRule>
    <cfRule type="cellIs" dxfId="819" priority="1085" operator="lessThan">
      <formula>0</formula>
    </cfRule>
  </conditionalFormatting>
  <conditionalFormatting sqref="K386:K387">
    <cfRule type="cellIs" dxfId="818" priority="1101" operator="equal">
      <formula>0</formula>
    </cfRule>
    <cfRule type="cellIs" dxfId="817" priority="1102" operator="lessThan">
      <formula>0</formula>
    </cfRule>
  </conditionalFormatting>
  <conditionalFormatting sqref="K390">
    <cfRule type="cellIs" dxfId="816" priority="1088" operator="equal">
      <formula>0</formula>
    </cfRule>
    <cfRule type="cellIs" dxfId="815" priority="1089" operator="lessThan">
      <formula>0</formula>
    </cfRule>
  </conditionalFormatting>
  <conditionalFormatting sqref="K405">
    <cfRule type="containsText" dxfId="814" priority="1098" operator="containsText" text="Error, Not full amortized">
      <formula>NOT(ISERROR(SEARCH("Error, Not full amortized",K405)))</formula>
    </cfRule>
  </conditionalFormatting>
  <conditionalFormatting sqref="K434:K438 K453">
    <cfRule type="cellIs" dxfId="813" priority="56" operator="equal">
      <formula>0</formula>
    </cfRule>
    <cfRule type="cellIs" dxfId="812" priority="57" operator="lessThan">
      <formula>0</formula>
    </cfRule>
  </conditionalFormatting>
  <conditionalFormatting sqref="K440:K444">
    <cfRule type="cellIs" dxfId="811" priority="52" operator="equal">
      <formula>0</formula>
    </cfRule>
    <cfRule type="cellIs" dxfId="810" priority="53" operator="lessThan">
      <formula>0</formula>
    </cfRule>
  </conditionalFormatting>
  <conditionalFormatting sqref="K447">
    <cfRule type="cellIs" dxfId="809" priority="45" operator="equal">
      <formula>0</formula>
    </cfRule>
    <cfRule type="cellIs" dxfId="808" priority="46" operator="lessThan">
      <formula>0</formula>
    </cfRule>
  </conditionalFormatting>
  <conditionalFormatting sqref="K8:L8">
    <cfRule type="cellIs" dxfId="807" priority="1422" operator="equal">
      <formula>0</formula>
    </cfRule>
    <cfRule type="cellIs" dxfId="806" priority="1423" operator="lessThan">
      <formula>0</formula>
    </cfRule>
  </conditionalFormatting>
  <conditionalFormatting sqref="K23:L23">
    <cfRule type="cellIs" dxfId="805" priority="486" operator="equal">
      <formula>0</formula>
    </cfRule>
    <cfRule type="cellIs" dxfId="804" priority="487" operator="lessThan">
      <formula>0</formula>
    </cfRule>
  </conditionalFormatting>
  <conditionalFormatting sqref="K26:L26 N26:V26">
    <cfRule type="cellIs" dxfId="803" priority="895" operator="equal">
      <formula>0</formula>
    </cfRule>
    <cfRule type="cellIs" dxfId="802" priority="896" operator="lessThan">
      <formula>0</formula>
    </cfRule>
  </conditionalFormatting>
  <conditionalFormatting sqref="K27:L27 H30:L31 N27:AC27 N30:XFD31">
    <cfRule type="cellIs" dxfId="801" priority="800" operator="equal">
      <formula>0</formula>
    </cfRule>
    <cfRule type="cellIs" dxfId="800" priority="801" operator="lessThan">
      <formula>0</formula>
    </cfRule>
  </conditionalFormatting>
  <conditionalFormatting sqref="K30:L30 L31">
    <cfRule type="cellIs" dxfId="799" priority="730" operator="equal">
      <formula>0</formula>
    </cfRule>
    <cfRule type="cellIs" dxfId="798" priority="731" operator="lessThan">
      <formula>0</formula>
    </cfRule>
  </conditionalFormatting>
  <conditionalFormatting sqref="K115:L116">
    <cfRule type="containsText" dxfId="797" priority="562" operator="containsText" text="OK">
      <formula>NOT(ISERROR(SEARCH("OK",K115)))</formula>
    </cfRule>
    <cfRule type="containsText" dxfId="796" priority="563" operator="containsText" text="ERROR">
      <formula>NOT(ISERROR(SEARCH("ERROR",K115)))</formula>
    </cfRule>
  </conditionalFormatting>
  <conditionalFormatting sqref="K118:L144">
    <cfRule type="containsText" dxfId="795" priority="464" operator="containsText" text="OK">
      <formula>NOT(ISERROR(SEARCH("OK",K118)))</formula>
    </cfRule>
    <cfRule type="containsText" dxfId="794" priority="465" operator="containsText" text="ERROR">
      <formula>NOT(ISERROR(SEARCH("ERROR",K118)))</formula>
    </cfRule>
  </conditionalFormatting>
  <conditionalFormatting sqref="K138:L143">
    <cfRule type="cellIs" dxfId="793" priority="466" operator="equal">
      <formula>0</formula>
    </cfRule>
    <cfRule type="cellIs" dxfId="792" priority="467" operator="lessThan">
      <formula>0</formula>
    </cfRule>
  </conditionalFormatting>
  <conditionalFormatting sqref="K149:L158">
    <cfRule type="containsText" dxfId="791" priority="644" operator="containsText" text="OK">
      <formula>NOT(ISERROR(SEARCH("OK",K149)))</formula>
    </cfRule>
    <cfRule type="containsText" dxfId="790" priority="645" operator="containsText" text="ERROR">
      <formula>NOT(ISERROR(SEARCH("ERROR",K149)))</formula>
    </cfRule>
    <cfRule type="cellIs" dxfId="789" priority="646" operator="equal">
      <formula>0</formula>
    </cfRule>
    <cfRule type="cellIs" dxfId="788" priority="647" operator="lessThan">
      <formula>0</formula>
    </cfRule>
  </conditionalFormatting>
  <conditionalFormatting sqref="K160:L163">
    <cfRule type="containsText" dxfId="787" priority="638" operator="containsText" text="OK">
      <formula>NOT(ISERROR(SEARCH("OK",K160)))</formula>
    </cfRule>
    <cfRule type="containsText" dxfId="786" priority="639" operator="containsText" text="ERROR">
      <formula>NOT(ISERROR(SEARCH("ERROR",K160)))</formula>
    </cfRule>
  </conditionalFormatting>
  <conditionalFormatting sqref="K160:L164">
    <cfRule type="cellIs" dxfId="785" priority="640" operator="equal">
      <formula>0</formula>
    </cfRule>
    <cfRule type="cellIs" dxfId="784" priority="641" operator="lessThan">
      <formula>0</formula>
    </cfRule>
  </conditionalFormatting>
  <conditionalFormatting sqref="K165:L166">
    <cfRule type="containsText" dxfId="783" priority="512" operator="containsText" text="OK">
      <formula>NOT(ISERROR(SEARCH("OK",K165)))</formula>
    </cfRule>
    <cfRule type="containsText" dxfId="782" priority="513" operator="containsText" text="ERROR">
      <formula>NOT(ISERROR(SEARCH("ERROR",K165)))</formula>
    </cfRule>
  </conditionalFormatting>
  <conditionalFormatting sqref="K165:L168">
    <cfRule type="cellIs" dxfId="781" priority="514" operator="equal">
      <formula>0</formula>
    </cfRule>
    <cfRule type="cellIs" dxfId="780" priority="515" operator="lessThan">
      <formula>0</formula>
    </cfRule>
  </conditionalFormatting>
  <conditionalFormatting sqref="K169:L169">
    <cfRule type="containsText" dxfId="779" priority="504" operator="containsText" text="OK">
      <formula>NOT(ISERROR(SEARCH("OK",K169)))</formula>
    </cfRule>
    <cfRule type="containsText" dxfId="778" priority="505" operator="containsText" text="ERROR">
      <formula>NOT(ISERROR(SEARCH("ERROR",K169)))</formula>
    </cfRule>
  </conditionalFormatting>
  <conditionalFormatting sqref="K169:L171">
    <cfRule type="cellIs" dxfId="777" priority="506" operator="equal">
      <formula>0</formula>
    </cfRule>
    <cfRule type="cellIs" dxfId="776" priority="507" operator="lessThan">
      <formula>0</formula>
    </cfRule>
  </conditionalFormatting>
  <conditionalFormatting sqref="K173:L174">
    <cfRule type="cellIs" dxfId="775" priority="668" operator="equal">
      <formula>0</formula>
    </cfRule>
    <cfRule type="cellIs" dxfId="774" priority="669" operator="lessThan">
      <formula>0</formula>
    </cfRule>
  </conditionalFormatting>
  <conditionalFormatting sqref="K176:L181">
    <cfRule type="containsText" dxfId="773" priority="650" operator="containsText" text="OK">
      <formula>NOT(ISERROR(SEARCH("OK",K176)))</formula>
    </cfRule>
    <cfRule type="containsText" dxfId="772" priority="651" operator="containsText" text="ERROR">
      <formula>NOT(ISERROR(SEARCH("ERROR",K176)))</formula>
    </cfRule>
  </conditionalFormatting>
  <conditionalFormatting sqref="K188:L191">
    <cfRule type="cellIs" dxfId="771" priority="622" operator="equal">
      <formula>0</formula>
    </cfRule>
    <cfRule type="cellIs" dxfId="770" priority="623" operator="lessThan">
      <formula>0</formula>
    </cfRule>
  </conditionalFormatting>
  <conditionalFormatting sqref="K191:L195">
    <cfRule type="containsText" dxfId="769" priority="618" operator="containsText" text="OK">
      <formula>NOT(ISERROR(SEARCH("OK",K191)))</formula>
    </cfRule>
    <cfRule type="containsText" dxfId="768" priority="619" operator="containsText" text="ERROR">
      <formula>NOT(ISERROR(SEARCH("ERROR",K191)))</formula>
    </cfRule>
  </conditionalFormatting>
  <conditionalFormatting sqref="K195:L199">
    <cfRule type="cellIs" dxfId="767" priority="624" operator="equal">
      <formula>0</formula>
    </cfRule>
    <cfRule type="cellIs" dxfId="766" priority="625" operator="lessThan">
      <formula>0</formula>
    </cfRule>
  </conditionalFormatting>
  <conditionalFormatting sqref="K245:L275">
    <cfRule type="cellIs" dxfId="765" priority="534" operator="equal">
      <formula>0</formula>
    </cfRule>
    <cfRule type="cellIs" dxfId="764" priority="535" operator="lessThan">
      <formula>0</formula>
    </cfRule>
  </conditionalFormatting>
  <conditionalFormatting sqref="K386:L386 L387">
    <cfRule type="cellIs" dxfId="763" priority="1111" operator="equal">
      <formula>0</formula>
    </cfRule>
    <cfRule type="cellIs" dxfId="762" priority="1112" operator="lessThan">
      <formula>0</formula>
    </cfRule>
  </conditionalFormatting>
  <conditionalFormatting sqref="K90:AC90 K92:AC92 K93:V93">
    <cfRule type="cellIs" dxfId="761" priority="901" operator="equal">
      <formula>0</formula>
    </cfRule>
    <cfRule type="cellIs" dxfId="760" priority="902" operator="lessThan">
      <formula>0</formula>
    </cfRule>
  </conditionalFormatting>
  <conditionalFormatting sqref="L10">
    <cfRule type="cellIs" dxfId="759" priority="1001" operator="notEqual">
      <formula>"OK, SOP date entered"</formula>
    </cfRule>
    <cfRule type="cellIs" dxfId="758" priority="1002" operator="equal">
      <formula>"OK, SOP date entered"</formula>
    </cfRule>
  </conditionalFormatting>
  <conditionalFormatting sqref="L15">
    <cfRule type="cellIs" dxfId="757" priority="925" operator="equal">
      <formula>0</formula>
    </cfRule>
    <cfRule type="cellIs" dxfId="756" priority="926" operator="lessThan">
      <formula>0</formula>
    </cfRule>
  </conditionalFormatting>
  <conditionalFormatting sqref="L19">
    <cfRule type="containsText" dxfId="755" priority="980" operator="containsText" text="OK">
      <formula>NOT(ISERROR(SEARCH("OK",L19)))</formula>
    </cfRule>
    <cfRule type="containsText" dxfId="754" priority="981" operator="containsText" text="ERROR">
      <formula>NOT(ISERROR(SEARCH("ERROR",L19)))</formula>
    </cfRule>
  </conditionalFormatting>
  <conditionalFormatting sqref="L21:L22">
    <cfRule type="containsText" dxfId="753" priority="500" operator="containsText" text="OK">
      <formula>NOT(ISERROR(SEARCH("OK",L21)))</formula>
    </cfRule>
    <cfRule type="containsText" dxfId="752" priority="501" operator="containsText" text="ERROR">
      <formula>NOT(ISERROR(SEARCH("ERROR",L21)))</formula>
    </cfRule>
  </conditionalFormatting>
  <conditionalFormatting sqref="L22">
    <cfRule type="containsText" dxfId="751" priority="498" operator="containsText" text="OK">
      <formula>NOT(ISERROR(SEARCH("OK",L22)))</formula>
    </cfRule>
    <cfRule type="containsText" dxfId="750" priority="499" operator="containsText" text="ERROR">
      <formula>NOT(ISERROR(SEARCH("ERROR",L22)))</formula>
    </cfRule>
  </conditionalFormatting>
  <conditionalFormatting sqref="L23:L25">
    <cfRule type="containsText" dxfId="749" priority="915" operator="containsText" text="OK">
      <formula>NOT(ISERROR(SEARCH("OK",L23)))</formula>
    </cfRule>
    <cfRule type="containsText" dxfId="748" priority="916" operator="containsText" text="ERROR">
      <formula>NOT(ISERROR(SEARCH("ERROR",L23)))</formula>
    </cfRule>
    <cfRule type="containsText" dxfId="747" priority="917" operator="containsText" text="OK">
      <formula>NOT(ISERROR(SEARCH("OK",L23)))</formula>
    </cfRule>
    <cfRule type="containsText" dxfId="746" priority="918" operator="containsText" text="ERROR">
      <formula>NOT(ISERROR(SEARCH("ERROR",L23)))</formula>
    </cfRule>
    <cfRule type="containsText" dxfId="745" priority="919" operator="containsText" text="OK">
      <formula>NOT(ISERROR(SEARCH("OK",L23)))</formula>
    </cfRule>
    <cfRule type="containsText" dxfId="744" priority="920" operator="containsText" text="ERROR">
      <formula>NOT(ISERROR(SEARCH("ERROR",L23)))</formula>
    </cfRule>
  </conditionalFormatting>
  <conditionalFormatting sqref="L23:L26">
    <cfRule type="containsText" dxfId="743" priority="899" operator="containsText" text="OK">
      <formula>NOT(ISERROR(SEARCH("OK",L23)))</formula>
    </cfRule>
    <cfRule type="containsText" dxfId="742" priority="900" operator="containsText" text="ERROR">
      <formula>NOT(ISERROR(SEARCH("ERROR",L23)))</formula>
    </cfRule>
  </conditionalFormatting>
  <conditionalFormatting sqref="L24 K25:L25">
    <cfRule type="cellIs" dxfId="741" priority="490" operator="equal">
      <formula>0</formula>
    </cfRule>
    <cfRule type="cellIs" dxfId="740" priority="491" operator="lessThan">
      <formula>0</formula>
    </cfRule>
  </conditionalFormatting>
  <conditionalFormatting sqref="L26">
    <cfRule type="containsText" dxfId="739" priority="893" operator="containsText" text="OK">
      <formula>NOT(ISERROR(SEARCH("OK",L26)))</formula>
    </cfRule>
    <cfRule type="containsText" dxfId="738" priority="894" operator="containsText" text="ERROR">
      <formula>NOT(ISERROR(SEARCH("ERROR",L26)))</formula>
    </cfRule>
  </conditionalFormatting>
  <conditionalFormatting sqref="L26:L27 L30:L31">
    <cfRule type="containsText" dxfId="737" priority="804" operator="containsText" text="OK">
      <formula>NOT(ISERROR(SEARCH("OK",L26)))</formula>
    </cfRule>
    <cfRule type="containsText" dxfId="736" priority="805" operator="containsText" text="ERROR">
      <formula>NOT(ISERROR(SEARCH("ERROR",L26)))</formula>
    </cfRule>
  </conditionalFormatting>
  <conditionalFormatting sqref="L27 L30:L31">
    <cfRule type="containsText" dxfId="735" priority="795" operator="containsText" text="ERROR">
      <formula>NOT(ISERROR(SEARCH("ERROR",L27)))</formula>
    </cfRule>
    <cfRule type="containsText" dxfId="734" priority="798" operator="containsText" text="OK">
      <formula>NOT(ISERROR(SEARCH("OK",L27)))</formula>
    </cfRule>
    <cfRule type="containsText" dxfId="733" priority="799" operator="containsText" text="ERROR">
      <formula>NOT(ISERROR(SEARCH("ERROR",L27)))</formula>
    </cfRule>
  </conditionalFormatting>
  <conditionalFormatting sqref="L30:L31 L27">
    <cfRule type="containsText" dxfId="732" priority="794" operator="containsText" text="OK">
      <formula>NOT(ISERROR(SEARCH("OK",L27)))</formula>
    </cfRule>
  </conditionalFormatting>
  <conditionalFormatting sqref="L30:L31">
    <cfRule type="containsText" dxfId="731" priority="728" operator="containsText" text="OK">
      <formula>NOT(ISERROR(SEARCH("OK",L30)))</formula>
    </cfRule>
    <cfRule type="containsText" dxfId="730" priority="729" operator="containsText" text="ERROR">
      <formula>NOT(ISERROR(SEARCH("ERROR",L30)))</formula>
    </cfRule>
  </conditionalFormatting>
  <conditionalFormatting sqref="L35">
    <cfRule type="cellIs" dxfId="729" priority="945" operator="equal">
      <formula>0</formula>
    </cfRule>
    <cfRule type="cellIs" dxfId="728" priority="946" operator="lessThan">
      <formula>0</formula>
    </cfRule>
    <cfRule type="containsText" dxfId="727" priority="947" operator="containsText" text="OK">
      <formula>NOT(ISERROR(SEARCH("OK",L35)))</formula>
    </cfRule>
    <cfRule type="containsText" dxfId="726" priority="948" operator="containsText" text="ERROR">
      <formula>NOT(ISERROR(SEARCH("ERROR",L35)))</formula>
    </cfRule>
  </conditionalFormatting>
  <conditionalFormatting sqref="L37 N37:V37">
    <cfRule type="containsText" dxfId="725" priority="930" operator="containsText" text="ERROR">
      <formula>NOT(ISERROR(SEARCH("ERROR",L37)))</formula>
    </cfRule>
    <cfRule type="cellIs" dxfId="724" priority="931" operator="equal">
      <formula>0</formula>
    </cfRule>
    <cfRule type="cellIs" dxfId="723" priority="932" operator="lessThan">
      <formula>0</formula>
    </cfRule>
  </conditionalFormatting>
  <conditionalFormatting sqref="L37:L38">
    <cfRule type="cellIs" dxfId="722" priority="568" operator="equal">
      <formula>0</formula>
    </cfRule>
    <cfRule type="cellIs" dxfId="721" priority="569" operator="lessThan">
      <formula>0</formula>
    </cfRule>
  </conditionalFormatting>
  <conditionalFormatting sqref="L37:L39">
    <cfRule type="containsText" dxfId="720" priority="566" operator="containsText" text="OK">
      <formula>NOT(ISERROR(SEARCH("OK",L37)))</formula>
    </cfRule>
    <cfRule type="containsText" dxfId="719" priority="567" operator="containsText" text="ERROR">
      <formula>NOT(ISERROR(SEARCH("ERROR",L37)))</formula>
    </cfRule>
  </conditionalFormatting>
  <conditionalFormatting sqref="L39:L40">
    <cfRule type="containsText" dxfId="718" priority="616" operator="containsText" text="OK">
      <formula>NOT(ISERROR(SEARCH("OK",L39)))</formula>
    </cfRule>
    <cfRule type="containsText" dxfId="717" priority="617" operator="containsText" text="ERROR">
      <formula>NOT(ISERROR(SEARCH("ERROR",L39)))</formula>
    </cfRule>
  </conditionalFormatting>
  <conditionalFormatting sqref="L40">
    <cfRule type="cellIs" dxfId="716" priority="923" operator="equal">
      <formula>0</formula>
    </cfRule>
    <cfRule type="cellIs" dxfId="715" priority="924" operator="lessThan">
      <formula>0</formula>
    </cfRule>
  </conditionalFormatting>
  <conditionalFormatting sqref="L41:L48">
    <cfRule type="cellIs" dxfId="714" priority="574" operator="equal">
      <formula>0</formula>
    </cfRule>
    <cfRule type="cellIs" dxfId="713" priority="575" operator="lessThan">
      <formula>0</formula>
    </cfRule>
  </conditionalFormatting>
  <conditionalFormatting sqref="L41:L49">
    <cfRule type="containsText" dxfId="712" priority="572" operator="containsText" text="OK">
      <formula>NOT(ISERROR(SEARCH("OK",L41)))</formula>
    </cfRule>
    <cfRule type="containsText" dxfId="711" priority="573" operator="containsText" text="ERROR">
      <formula>NOT(ISERROR(SEARCH("ERROR",L41)))</formula>
    </cfRule>
  </conditionalFormatting>
  <conditionalFormatting sqref="L53:L61">
    <cfRule type="cellIs" dxfId="710" priority="891" operator="equal">
      <formula>0</formula>
    </cfRule>
  </conditionalFormatting>
  <conditionalFormatting sqref="L53:L62">
    <cfRule type="containsText" dxfId="709" priority="889" operator="containsText" text="OK">
      <formula>NOT(ISERROR(SEARCH("OK",L53)))</formula>
    </cfRule>
    <cfRule type="containsText" dxfId="708" priority="890" operator="containsText" text="ERROR">
      <formula>NOT(ISERROR(SEARCH("ERROR",L53)))</formula>
    </cfRule>
  </conditionalFormatting>
  <conditionalFormatting sqref="L53:L64">
    <cfRule type="cellIs" dxfId="707" priority="892" operator="lessThan">
      <formula>0</formula>
    </cfRule>
  </conditionalFormatting>
  <conditionalFormatting sqref="L62:L65">
    <cfRule type="cellIs" dxfId="706" priority="955" operator="equal">
      <formula>0</formula>
    </cfRule>
  </conditionalFormatting>
  <conditionalFormatting sqref="L63:L64">
    <cfRule type="containsText" dxfId="705" priority="956" operator="containsText" text="OK">
      <formula>NOT(ISERROR(SEARCH("OK",L63)))</formula>
    </cfRule>
    <cfRule type="containsText" dxfId="704" priority="957" operator="containsText" text="ERROR">
      <formula>NOT(ISERROR(SEARCH("ERROR",L63)))</formula>
    </cfRule>
  </conditionalFormatting>
  <conditionalFormatting sqref="L65">
    <cfRule type="containsText" dxfId="703" priority="953" operator="containsText" text="OK">
      <formula>NOT(ISERROR(SEARCH("OK",L65)))</formula>
    </cfRule>
    <cfRule type="containsText" dxfId="702" priority="954" operator="containsText" text="ERROR">
      <formula>NOT(ISERROR(SEARCH("ERROR",L65)))</formula>
    </cfRule>
  </conditionalFormatting>
  <conditionalFormatting sqref="L69:L75">
    <cfRule type="cellIs" dxfId="701" priority="526" operator="equal">
      <formula>0</formula>
    </cfRule>
    <cfRule type="cellIs" dxfId="700" priority="527" operator="lessThan">
      <formula>0</formula>
    </cfRule>
  </conditionalFormatting>
  <conditionalFormatting sqref="L86">
    <cfRule type="cellIs" dxfId="699" priority="540" operator="equal">
      <formula>0</formula>
    </cfRule>
    <cfRule type="cellIs" dxfId="698" priority="541" operator="lessThan">
      <formula>0</formula>
    </cfRule>
    <cfRule type="containsText" dxfId="697" priority="542" operator="containsText" text="OK">
      <formula>NOT(ISERROR(SEARCH("OK",L86)))</formula>
    </cfRule>
    <cfRule type="containsText" dxfId="696" priority="543" operator="containsText" text="ERROR">
      <formula>NOT(ISERROR(SEARCH("ERROR",L86)))</formula>
    </cfRule>
  </conditionalFormatting>
  <conditionalFormatting sqref="L94:L95 L98:L100 L102:L104 P107">
    <cfRule type="containsText" dxfId="695" priority="949" operator="containsText" text="check">
      <formula>NOT(ISERROR(SEARCH("check",L94)))</formula>
    </cfRule>
    <cfRule type="containsText" dxfId="694" priority="988" operator="containsText" text="ok">
      <formula>NOT(ISERROR(SEARCH("ok",L94)))</formula>
    </cfRule>
  </conditionalFormatting>
  <conditionalFormatting sqref="L94:L95 L99:L100 L102:L104 P107 N100:AC103 N94 N95:AC95 N97:O97 Q97:R97 V97 N99:V99">
    <cfRule type="cellIs" dxfId="693" priority="991" operator="equal">
      <formula>0</formula>
    </cfRule>
  </conditionalFormatting>
  <conditionalFormatting sqref="L94:L95 L99:L100 L102:L104 P107 N100:AC103 N97:O97 Q97:R97 V97">
    <cfRule type="cellIs" dxfId="692" priority="992" operator="lessThan">
      <formula>0</formula>
    </cfRule>
  </conditionalFormatting>
  <conditionalFormatting sqref="L98">
    <cfRule type="cellIs" dxfId="691" priority="950" operator="equal">
      <formula>0</formula>
    </cfRule>
    <cfRule type="cellIs" dxfId="690" priority="951" operator="lessThan">
      <formula>0</formula>
    </cfRule>
    <cfRule type="cellIs" dxfId="689" priority="952" operator="equal">
      <formula>0</formula>
    </cfRule>
  </conditionalFormatting>
  <conditionalFormatting sqref="L98:L100 L94:L95 L102:L104 P107">
    <cfRule type="containsText" dxfId="688" priority="987" operator="containsText" text="wrong">
      <formula>NOT(ISERROR(SEARCH("wrong",L94)))</formula>
    </cfRule>
  </conditionalFormatting>
  <conditionalFormatting sqref="L101">
    <cfRule type="containsText" dxfId="687" priority="680" operator="containsText" text="Error, must fully repay">
      <formula>NOT(ISERROR(SEARCH("Error, must fully repay",L101)))</formula>
    </cfRule>
  </conditionalFormatting>
  <conditionalFormatting sqref="L118:L137">
    <cfRule type="cellIs" dxfId="686" priority="474" operator="equal">
      <formula>0</formula>
    </cfRule>
    <cfRule type="cellIs" dxfId="685" priority="475" operator="lessThan">
      <formula>0</formula>
    </cfRule>
  </conditionalFormatting>
  <conditionalFormatting sqref="L175:L176">
    <cfRule type="cellIs" dxfId="684" priority="652" operator="equal">
      <formula>0</formula>
    </cfRule>
    <cfRule type="cellIs" dxfId="683" priority="653" operator="lessThan">
      <formula>0</formula>
    </cfRule>
  </conditionalFormatting>
  <conditionalFormatting sqref="L182">
    <cfRule type="containsText" dxfId="682" priority="656" operator="containsText" text="OK">
      <formula>NOT(ISERROR(SEARCH("OK",L182)))</formula>
    </cfRule>
    <cfRule type="containsText" dxfId="681" priority="657" operator="containsText" text="ERROR">
      <formula>NOT(ISERROR(SEARCH("ERROR",L182)))</formula>
    </cfRule>
  </conditionalFormatting>
  <conditionalFormatting sqref="L182:L187">
    <cfRule type="cellIs" dxfId="680" priority="658" operator="equal">
      <formula>0</formula>
    </cfRule>
    <cfRule type="cellIs" dxfId="679" priority="659" operator="lessThan">
      <formula>0</formula>
    </cfRule>
  </conditionalFormatting>
  <conditionalFormatting sqref="L225:L240">
    <cfRule type="cellIs" dxfId="678" priority="558" operator="equal">
      <formula>0</formula>
    </cfRule>
    <cfRule type="cellIs" dxfId="677" priority="559" operator="lessThan">
      <formula>0</formula>
    </cfRule>
  </conditionalFormatting>
  <conditionalFormatting sqref="L326">
    <cfRule type="cellIs" dxfId="676" priority="560" operator="equal">
      <formula>0</formula>
    </cfRule>
  </conditionalFormatting>
  <conditionalFormatting sqref="L326:L327">
    <cfRule type="cellIs" dxfId="675" priority="561" operator="lessThan">
      <formula>0</formula>
    </cfRule>
  </conditionalFormatting>
  <conditionalFormatting sqref="L327">
    <cfRule type="cellIs" dxfId="674" priority="936" operator="equal">
      <formula>0</formula>
    </cfRule>
  </conditionalFormatting>
  <conditionalFormatting sqref="L329">
    <cfRule type="cellIs" dxfId="673" priority="933" operator="equal">
      <formula>0</formula>
    </cfRule>
  </conditionalFormatting>
  <conditionalFormatting sqref="L329:L330">
    <cfRule type="cellIs" dxfId="672" priority="934" operator="lessThan">
      <formula>0</formula>
    </cfRule>
  </conditionalFormatting>
  <conditionalFormatting sqref="L330">
    <cfRule type="cellIs" dxfId="671" priority="935" operator="equal">
      <formula>0</formula>
    </cfRule>
  </conditionalFormatting>
  <conditionalFormatting sqref="L333:L335">
    <cfRule type="cellIs" dxfId="670" priority="1509" operator="lessThan">
      <formula>0</formula>
    </cfRule>
    <cfRule type="cellIs" dxfId="669" priority="1510" operator="equal">
      <formula>0</formula>
    </cfRule>
    <cfRule type="cellIs" dxfId="668" priority="1511" operator="lessThan">
      <formula>0</formula>
    </cfRule>
  </conditionalFormatting>
  <conditionalFormatting sqref="L371">
    <cfRule type="cellIs" dxfId="667" priority="1195" operator="equal">
      <formula>0</formula>
    </cfRule>
    <cfRule type="cellIs" dxfId="666" priority="1196" operator="lessThan">
      <formula>0</formula>
    </cfRule>
  </conditionalFormatting>
  <conditionalFormatting sqref="L375">
    <cfRule type="containsText" dxfId="665" priority="1215" operator="containsText" text="OK">
      <formula>NOT(ISERROR(SEARCH("OK",L375)))</formula>
    </cfRule>
    <cfRule type="containsText" dxfId="664" priority="1216" operator="containsText" text="ERROR">
      <formula>NOT(ISERROR(SEARCH("ERROR",L375)))</formula>
    </cfRule>
  </conditionalFormatting>
  <conditionalFormatting sqref="L377:L378">
    <cfRule type="containsText" dxfId="663" priority="1065" operator="containsText" text="OK">
      <formula>NOT(ISERROR(SEARCH("OK",L377)))</formula>
    </cfRule>
    <cfRule type="containsText" dxfId="662" priority="1066" operator="containsText" text="ERROR">
      <formula>NOT(ISERROR(SEARCH("ERROR",L377)))</formula>
    </cfRule>
  </conditionalFormatting>
  <conditionalFormatting sqref="L378">
    <cfRule type="containsText" dxfId="661" priority="1063" operator="containsText" text="OK">
      <formula>NOT(ISERROR(SEARCH("OK",L378)))</formula>
    </cfRule>
    <cfRule type="containsText" dxfId="660" priority="1064" operator="containsText" text="ERROR">
      <formula>NOT(ISERROR(SEARCH("ERROR",L378)))</formula>
    </cfRule>
  </conditionalFormatting>
  <conditionalFormatting sqref="L379:L381">
    <cfRule type="containsText" dxfId="659" priority="1187" operator="containsText" text="OK">
      <formula>NOT(ISERROR(SEARCH("OK",L379)))</formula>
    </cfRule>
    <cfRule type="containsText" dxfId="658" priority="1188" operator="containsText" text="ERROR">
      <formula>NOT(ISERROR(SEARCH("ERROR",L379)))</formula>
    </cfRule>
    <cfRule type="containsText" dxfId="657" priority="1189" operator="containsText" text="OK">
      <formula>NOT(ISERROR(SEARCH("OK",L379)))</formula>
    </cfRule>
    <cfRule type="containsText" dxfId="656" priority="1190" operator="containsText" text="ERROR">
      <formula>NOT(ISERROR(SEARCH("ERROR",L379)))</formula>
    </cfRule>
    <cfRule type="containsText" dxfId="655" priority="1191" operator="containsText" text="OK">
      <formula>NOT(ISERROR(SEARCH("OK",L379)))</formula>
    </cfRule>
    <cfRule type="containsText" dxfId="654" priority="1192" operator="containsText" text="ERROR">
      <formula>NOT(ISERROR(SEARCH("ERROR",L379)))</formula>
    </cfRule>
  </conditionalFormatting>
  <conditionalFormatting sqref="L379:L382">
    <cfRule type="containsText" dxfId="653" priority="1185" operator="containsText" text="OK">
      <formula>NOT(ISERROR(SEARCH("OK",L379)))</formula>
    </cfRule>
    <cfRule type="containsText" dxfId="652" priority="1186" operator="containsText" text="ERROR">
      <formula>NOT(ISERROR(SEARCH("ERROR",L379)))</formula>
    </cfRule>
  </conditionalFormatting>
  <conditionalFormatting sqref="L382">
    <cfRule type="containsText" dxfId="651" priority="1179" operator="containsText" text="OK">
      <formula>NOT(ISERROR(SEARCH("OK",L382)))</formula>
    </cfRule>
    <cfRule type="containsText" dxfId="650" priority="1180" operator="containsText" text="ERROR">
      <formula>NOT(ISERROR(SEARCH("ERROR",L382)))</formula>
    </cfRule>
  </conditionalFormatting>
  <conditionalFormatting sqref="L382:L383 L386:L387">
    <cfRule type="containsText" dxfId="649" priority="1125" operator="containsText" text="OK">
      <formula>NOT(ISERROR(SEARCH("OK",L382)))</formula>
    </cfRule>
    <cfRule type="containsText" dxfId="648" priority="1126" operator="containsText" text="ERROR">
      <formula>NOT(ISERROR(SEARCH("ERROR",L382)))</formula>
    </cfRule>
  </conditionalFormatting>
  <conditionalFormatting sqref="L383 L386:L387">
    <cfRule type="containsText" dxfId="647" priority="1116" operator="containsText" text="ERROR">
      <formula>NOT(ISERROR(SEARCH("ERROR",L383)))</formula>
    </cfRule>
    <cfRule type="containsText" dxfId="646" priority="1119" operator="containsText" text="OK">
      <formula>NOT(ISERROR(SEARCH("OK",L383)))</formula>
    </cfRule>
    <cfRule type="containsText" dxfId="645" priority="1120" operator="containsText" text="ERROR">
      <formula>NOT(ISERROR(SEARCH("ERROR",L383)))</formula>
    </cfRule>
  </conditionalFormatting>
  <conditionalFormatting sqref="L386:L387 L383">
    <cfRule type="containsText" dxfId="644" priority="1115" operator="containsText" text="OK">
      <formula>NOT(ISERROR(SEARCH("OK",L383)))</formula>
    </cfRule>
  </conditionalFormatting>
  <conditionalFormatting sqref="L386:L387">
    <cfRule type="containsText" dxfId="643" priority="1109" operator="containsText" text="OK">
      <formula>NOT(ISERROR(SEARCH("OK",L386)))</formula>
    </cfRule>
    <cfRule type="containsText" dxfId="642" priority="1110" operator="containsText" text="ERROR">
      <formula>NOT(ISERROR(SEARCH("ERROR",L386)))</formula>
    </cfRule>
  </conditionalFormatting>
  <conditionalFormatting sqref="L391">
    <cfRule type="cellIs" dxfId="641" priority="1211" operator="equal">
      <formula>0</formula>
    </cfRule>
    <cfRule type="cellIs" dxfId="640" priority="1212" operator="lessThan">
      <formula>0</formula>
    </cfRule>
    <cfRule type="containsText" dxfId="639" priority="1213" operator="containsText" text="OK">
      <formula>NOT(ISERROR(SEARCH("OK",L391)))</formula>
    </cfRule>
    <cfRule type="containsText" dxfId="638" priority="1214" operator="containsText" text="ERROR">
      <formula>NOT(ISERROR(SEARCH("ERROR",L391)))</formula>
    </cfRule>
  </conditionalFormatting>
  <conditionalFormatting sqref="L393 N393:V393 I393:J393">
    <cfRule type="cellIs" dxfId="637" priority="1201" operator="equal">
      <formula>0</formula>
    </cfRule>
  </conditionalFormatting>
  <conditionalFormatting sqref="L393 N393:V393">
    <cfRule type="containsText" dxfId="636" priority="1200" operator="containsText" text="ERROR">
      <formula>NOT(ISERROR(SEARCH("ERROR",L393)))</formula>
    </cfRule>
    <cfRule type="cellIs" dxfId="635" priority="1202" operator="lessThan">
      <formula>0</formula>
    </cfRule>
  </conditionalFormatting>
  <conditionalFormatting sqref="L393:L394">
    <cfRule type="cellIs" dxfId="634" priority="1073" operator="equal">
      <formula>0</formula>
    </cfRule>
    <cfRule type="cellIs" dxfId="633" priority="1074" operator="lessThan">
      <formula>0</formula>
    </cfRule>
  </conditionalFormatting>
  <conditionalFormatting sqref="L393:L395">
    <cfRule type="containsText" dxfId="632" priority="1071" operator="containsText" text="OK">
      <formula>NOT(ISERROR(SEARCH("OK",L393)))</formula>
    </cfRule>
    <cfRule type="containsText" dxfId="631" priority="1072" operator="containsText" text="ERROR">
      <formula>NOT(ISERROR(SEARCH("ERROR",L393)))</formula>
    </cfRule>
  </conditionalFormatting>
  <conditionalFormatting sqref="L395:L396">
    <cfRule type="containsText" dxfId="630" priority="1096" operator="containsText" text="OK">
      <formula>NOT(ISERROR(SEARCH("OK",L395)))</formula>
    </cfRule>
    <cfRule type="containsText" dxfId="629" priority="1097" operator="containsText" text="ERROR">
      <formula>NOT(ISERROR(SEARCH("ERROR",L395)))</formula>
    </cfRule>
  </conditionalFormatting>
  <conditionalFormatting sqref="L396">
    <cfRule type="cellIs" dxfId="628" priority="1193" operator="equal">
      <formula>0</formula>
    </cfRule>
    <cfRule type="cellIs" dxfId="627" priority="1194" operator="lessThan">
      <formula>0</formula>
    </cfRule>
  </conditionalFormatting>
  <conditionalFormatting sqref="L397:L404">
    <cfRule type="cellIs" dxfId="626" priority="1080" operator="equal">
      <formula>0</formula>
    </cfRule>
    <cfRule type="cellIs" dxfId="625" priority="1081" operator="lessThan">
      <formula>0</formula>
    </cfRule>
  </conditionalFormatting>
  <conditionalFormatting sqref="L397:L405">
    <cfRule type="containsText" dxfId="624" priority="1078" operator="containsText" text="OK">
      <formula>NOT(ISERROR(SEARCH("OK",L397)))</formula>
    </cfRule>
    <cfRule type="containsText" dxfId="623" priority="1079" operator="containsText" text="ERROR">
      <formula>NOT(ISERROR(SEARCH("ERROR",L397)))</formula>
    </cfRule>
  </conditionalFormatting>
  <conditionalFormatting sqref="N15">
    <cfRule type="cellIs" dxfId="622" priority="941" operator="equal">
      <formula>0</formula>
    </cfRule>
    <cfRule type="cellIs" dxfId="621" priority="942" operator="lessThan">
      <formula>0</formula>
    </cfRule>
    <cfRule type="containsText" dxfId="620" priority="943" operator="containsText" text="OK">
      <formula>NOT(ISERROR(SEARCH("OK",N15)))</formula>
    </cfRule>
    <cfRule type="containsText" dxfId="619" priority="944" operator="containsText" text="ERROR">
      <formula>NOT(ISERROR(SEARCH("ERROR",N15)))</formula>
    </cfRule>
  </conditionalFormatting>
  <conditionalFormatting sqref="N78">
    <cfRule type="cellIs" dxfId="618" priority="110" operator="equal">
      <formula>0</formula>
    </cfRule>
    <cfRule type="cellIs" dxfId="617" priority="111" operator="lessThan">
      <formula>0</formula>
    </cfRule>
  </conditionalFormatting>
  <conditionalFormatting sqref="N326:N329">
    <cfRule type="cellIs" dxfId="616" priority="521" operator="equal">
      <formula>0</formula>
    </cfRule>
    <cfRule type="cellIs" dxfId="615" priority="522" operator="lessThan">
      <formula>0</formula>
    </cfRule>
  </conditionalFormatting>
  <conditionalFormatting sqref="N363:N364">
    <cfRule type="cellIs" dxfId="614" priority="1035" operator="equal">
      <formula>0</formula>
    </cfRule>
    <cfRule type="cellIs" dxfId="613" priority="1036" operator="lessThan">
      <formula>0</formula>
    </cfRule>
    <cfRule type="containsText" dxfId="612" priority="1037" operator="containsText" text="OK">
      <formula>NOT(ISERROR(SEARCH("OK",N363)))</formula>
    </cfRule>
    <cfRule type="containsText" dxfId="611" priority="1038" operator="containsText" text="ERROR">
      <formula>NOT(ISERROR(SEARCH("ERROR",N363)))</formula>
    </cfRule>
    <cfRule type="containsText" dxfId="610" priority="1039" operator="containsText" text="OK">
      <formula>NOT(ISERROR(SEARCH("OK",N363)))</formula>
    </cfRule>
    <cfRule type="containsText" dxfId="609" priority="1040" operator="containsText" text="ERROR">
      <formula>NOT(ISERROR(SEARCH("ERROR",N363)))</formula>
    </cfRule>
  </conditionalFormatting>
  <conditionalFormatting sqref="N371">
    <cfRule type="cellIs" dxfId="608" priority="1207" operator="equal">
      <formula>0</formula>
    </cfRule>
    <cfRule type="cellIs" dxfId="607" priority="1208" operator="lessThan">
      <formula>0</formula>
    </cfRule>
    <cfRule type="containsText" dxfId="606" priority="1209" operator="containsText" text="OK">
      <formula>NOT(ISERROR(SEARCH("OK",N371)))</formula>
    </cfRule>
    <cfRule type="containsText" dxfId="605" priority="1210" operator="containsText" text="ERROR">
      <formula>NOT(ISERROR(SEARCH("ERROR",N371)))</formula>
    </cfRule>
  </conditionalFormatting>
  <conditionalFormatting sqref="N78:O78">
    <cfRule type="cellIs" dxfId="604" priority="58" operator="equal">
      <formula>0</formula>
    </cfRule>
    <cfRule type="containsText" dxfId="603" priority="60" operator="containsText" text="OK">
      <formula>NOT(ISERROR(SEARCH("OK",N78)))</formula>
    </cfRule>
    <cfRule type="containsText" dxfId="602" priority="61" operator="containsText" text="ERROR">
      <formula>NOT(ISERROR(SEARCH("ERROR",N78)))</formula>
    </cfRule>
  </conditionalFormatting>
  <conditionalFormatting sqref="N294:P294">
    <cfRule type="containsText" dxfId="601" priority="1" operator="containsText" text="OK">
      <formula>NOT(ISERROR(SEARCH("OK",N294)))</formula>
    </cfRule>
    <cfRule type="containsText" dxfId="600" priority="2" operator="containsText" text="ERROR">
      <formula>NOT(ISERROR(SEARCH("ERROR",N294)))</formula>
    </cfRule>
    <cfRule type="containsText" dxfId="599" priority="3" operator="containsText" text="OK">
      <formula>NOT(ISERROR(SEARCH("OK",N294)))</formula>
    </cfRule>
    <cfRule type="containsText" dxfId="598" priority="4" operator="containsText" text="ERROR">
      <formula>NOT(ISERROR(SEARCH("ERROR",N294)))</formula>
    </cfRule>
    <cfRule type="cellIs" dxfId="597" priority="5" operator="equal">
      <formula>0</formula>
    </cfRule>
    <cfRule type="cellIs" dxfId="596" priority="6" operator="lessThan">
      <formula>0</formula>
    </cfRule>
    <cfRule type="containsText" dxfId="595" priority="9" operator="containsText" text="OK">
      <formula>NOT(ISERROR(SEARCH("OK",N294)))</formula>
    </cfRule>
    <cfRule type="containsText" dxfId="594" priority="10" operator="containsText" text="ERROR">
      <formula>NOT(ISERROR(SEARCH("ERROR",N294)))</formula>
    </cfRule>
  </conditionalFormatting>
  <conditionalFormatting sqref="N18:V23">
    <cfRule type="containsText" dxfId="593" priority="488" operator="containsText" text="OK">
      <formula>NOT(ISERROR(SEARCH("OK",N18)))</formula>
    </cfRule>
    <cfRule type="containsText" dxfId="592" priority="489" operator="containsText" text="ERROR">
      <formula>NOT(ISERROR(SEARCH("ERROR",N18)))</formula>
    </cfRule>
  </conditionalFormatting>
  <conditionalFormatting sqref="N24:V25">
    <cfRule type="cellIs" dxfId="591" priority="35" operator="equal">
      <formula>0</formula>
    </cfRule>
    <cfRule type="cellIs" dxfId="590" priority="36" operator="lessThan">
      <formula>0</formula>
    </cfRule>
    <cfRule type="containsText" dxfId="589" priority="37" operator="containsText" text="OK">
      <formula>NOT(ISERROR(SEARCH("OK",N24)))</formula>
    </cfRule>
    <cfRule type="containsText" dxfId="588" priority="38" operator="containsText" text="ERROR">
      <formula>NOT(ISERROR(SEARCH("ERROR",N24)))</formula>
    </cfRule>
  </conditionalFormatting>
  <conditionalFormatting sqref="N26:V26">
    <cfRule type="containsText" dxfId="587" priority="897" operator="containsText" text="OK">
      <formula>NOT(ISERROR(SEARCH("OK",N26)))</formula>
    </cfRule>
    <cfRule type="containsText" dxfId="586" priority="898" operator="containsText" text="ERROR">
      <formula>NOT(ISERROR(SEARCH("ERROR",N26)))</formula>
    </cfRule>
  </conditionalFormatting>
  <conditionalFormatting sqref="N34:V35">
    <cfRule type="cellIs" dxfId="585" priority="939" operator="equal">
      <formula>0</formula>
    </cfRule>
    <cfRule type="cellIs" dxfId="584" priority="940" operator="lessThan">
      <formula>0</formula>
    </cfRule>
    <cfRule type="containsText" dxfId="583" priority="982" operator="containsText" text="OK">
      <formula>NOT(ISERROR(SEARCH("OK",N34)))</formula>
    </cfRule>
    <cfRule type="containsText" dxfId="582" priority="983" operator="containsText" text="ERROR">
      <formula>NOT(ISERROR(SEARCH("ERROR",N34)))</formula>
    </cfRule>
  </conditionalFormatting>
  <conditionalFormatting sqref="N35:V35">
    <cfRule type="containsText" dxfId="581" priority="937" operator="containsText" text="OK">
      <formula>NOT(ISERROR(SEARCH("OK",N35)))</formula>
    </cfRule>
    <cfRule type="containsText" dxfId="580" priority="938" operator="containsText" text="ERROR">
      <formula>NOT(ISERROR(SEARCH("ERROR",N35)))</formula>
    </cfRule>
  </conditionalFormatting>
  <conditionalFormatting sqref="N37:V37 L37">
    <cfRule type="containsText" dxfId="579" priority="929" operator="containsText" text="OK">
      <formula>NOT(ISERROR(SEARCH("OK",L37)))</formula>
    </cfRule>
  </conditionalFormatting>
  <conditionalFormatting sqref="N37:V37">
    <cfRule type="containsText" dxfId="578" priority="927" operator="containsText" text="OK">
      <formula>NOT(ISERROR(SEARCH("OK",N37)))</formula>
    </cfRule>
    <cfRule type="containsText" dxfId="577" priority="928" operator="containsText" text="ERROR">
      <formula>NOT(ISERROR(SEARCH("ERROR",N37)))</formula>
    </cfRule>
  </conditionalFormatting>
  <conditionalFormatting sqref="N53:V65">
    <cfRule type="containsText" dxfId="576" priority="973" operator="containsText" text="OK">
      <formula>NOT(ISERROR(SEARCH("OK",N53)))</formula>
    </cfRule>
    <cfRule type="containsText" dxfId="575" priority="974" operator="containsText" text="ERROR">
      <formula>NOT(ISERROR(SEARCH("ERROR",N53)))</formula>
    </cfRule>
  </conditionalFormatting>
  <conditionalFormatting sqref="N65:V65 N276:V276">
    <cfRule type="cellIs" dxfId="574" priority="975" operator="equal">
      <formula>0</formula>
    </cfRule>
  </conditionalFormatting>
  <conditionalFormatting sqref="N88:V88">
    <cfRule type="containsText" dxfId="573" priority="779" operator="containsText" text="OK">
      <formula>NOT(ISERROR(SEARCH("OK",N88)))</formula>
    </cfRule>
    <cfRule type="containsText" dxfId="572" priority="780" operator="containsText" text="ERROR">
      <formula>NOT(ISERROR(SEARCH("ERROR",N88)))</formula>
    </cfRule>
    <cfRule type="cellIs" dxfId="571" priority="781" operator="equal">
      <formula>0</formula>
    </cfRule>
    <cfRule type="cellIs" dxfId="570" priority="782" operator="lessThan">
      <formula>0</formula>
    </cfRule>
  </conditionalFormatting>
  <conditionalFormatting sqref="N99:V103">
    <cfRule type="cellIs" dxfId="569" priority="759" operator="lessThan">
      <formula>0</formula>
    </cfRule>
  </conditionalFormatting>
  <conditionalFormatting sqref="N101:V101">
    <cfRule type="containsText" dxfId="568" priority="756" operator="containsText" text="OK">
      <formula>NOT(ISERROR(SEARCH("OK",N101)))</formula>
    </cfRule>
    <cfRule type="containsText" dxfId="567" priority="757" operator="containsText" text="ERROR">
      <formula>NOT(ISERROR(SEARCH("ERROR",N101)))</formula>
    </cfRule>
    <cfRule type="cellIs" dxfId="566" priority="758" operator="equal">
      <formula>0</formula>
    </cfRule>
  </conditionalFormatting>
  <conditionalFormatting sqref="N154:V155">
    <cfRule type="containsText" dxfId="565" priority="362" operator="containsText" text="OK">
      <formula>NOT(ISERROR(SEARCH("OK",N154)))</formula>
    </cfRule>
    <cfRule type="containsText" dxfId="564" priority="363" operator="containsText" text="ERROR">
      <formula>NOT(ISERROR(SEARCH("ERROR",N154)))</formula>
    </cfRule>
    <cfRule type="cellIs" dxfId="563" priority="364" operator="equal">
      <formula>0</formula>
    </cfRule>
    <cfRule type="cellIs" dxfId="562" priority="365" operator="lessThan">
      <formula>0</formula>
    </cfRule>
  </conditionalFormatting>
  <conditionalFormatting sqref="N227:V227">
    <cfRule type="cellIs" dxfId="561" priority="965" operator="equal">
      <formula>0</formula>
    </cfRule>
    <cfRule type="cellIs" dxfId="560" priority="966" operator="lessThan">
      <formula>0</formula>
    </cfRule>
  </conditionalFormatting>
  <conditionalFormatting sqref="N241:V243">
    <cfRule type="cellIs" dxfId="559" priority="546" operator="equal">
      <formula>0</formula>
    </cfRule>
  </conditionalFormatting>
  <conditionalFormatting sqref="N247:V250">
    <cfRule type="cellIs" dxfId="558" priority="907" operator="equal">
      <formula>0</formula>
    </cfRule>
    <cfRule type="cellIs" dxfId="557" priority="908" operator="lessThan">
      <formula>0</formula>
    </cfRule>
  </conditionalFormatting>
  <conditionalFormatting sqref="N314:V314">
    <cfRule type="cellIs" dxfId="556" priority="911" operator="equal">
      <formula>0</formula>
    </cfRule>
    <cfRule type="cellIs" dxfId="555" priority="912" operator="lessThan">
      <formula>0</formula>
    </cfRule>
  </conditionalFormatting>
  <conditionalFormatting sqref="N316:V316">
    <cfRule type="cellIs" dxfId="554" priority="960" operator="equal">
      <formula>0</formula>
    </cfRule>
    <cfRule type="cellIs" dxfId="553" priority="961" operator="lessThan">
      <formula>0</formula>
    </cfRule>
  </conditionalFormatting>
  <conditionalFormatting sqref="N374:V379">
    <cfRule type="containsText" dxfId="552" priority="1049" operator="containsText" text="OK">
      <formula>NOT(ISERROR(SEARCH("OK",N374)))</formula>
    </cfRule>
    <cfRule type="containsText" dxfId="551" priority="1050" operator="containsText" text="ERROR">
      <formula>NOT(ISERROR(SEARCH("ERROR",N374)))</formula>
    </cfRule>
  </conditionalFormatting>
  <conditionalFormatting sqref="N380:V381 I380:J380 L380 I381:L381">
    <cfRule type="cellIs" dxfId="550" priority="1055" operator="equal">
      <formula>0</formula>
    </cfRule>
    <cfRule type="cellIs" dxfId="549" priority="1056" operator="lessThan">
      <formula>0</formula>
    </cfRule>
  </conditionalFormatting>
  <conditionalFormatting sqref="N380:V381">
    <cfRule type="containsText" dxfId="548" priority="1057" operator="containsText" text="OK">
      <formula>NOT(ISERROR(SEARCH("OK",N380)))</formula>
    </cfRule>
    <cfRule type="containsText" dxfId="547" priority="1058" operator="containsText" text="ERROR">
      <formula>NOT(ISERROR(SEARCH("ERROR",N380)))</formula>
    </cfRule>
  </conditionalFormatting>
  <conditionalFormatting sqref="N382:V382">
    <cfRule type="containsText" dxfId="546" priority="1183" operator="containsText" text="OK">
      <formula>NOT(ISERROR(SEARCH("OK",N382)))</formula>
    </cfRule>
    <cfRule type="containsText" dxfId="545" priority="1184" operator="containsText" text="ERROR">
      <formula>NOT(ISERROR(SEARCH("ERROR",N382)))</formula>
    </cfRule>
  </conditionalFormatting>
  <conditionalFormatting sqref="N390:V391">
    <cfRule type="cellIs" dxfId="544" priority="1205" operator="equal">
      <formula>0</formula>
    </cfRule>
    <cfRule type="cellIs" dxfId="543" priority="1206" operator="lessThan">
      <formula>0</formula>
    </cfRule>
    <cfRule type="containsText" dxfId="542" priority="1217" operator="containsText" text="OK">
      <formula>NOT(ISERROR(SEARCH("OK",N390)))</formula>
    </cfRule>
    <cfRule type="containsText" dxfId="541" priority="1218" operator="containsText" text="ERROR">
      <formula>NOT(ISERROR(SEARCH("ERROR",N390)))</formula>
    </cfRule>
  </conditionalFormatting>
  <conditionalFormatting sqref="N391:V391">
    <cfRule type="containsText" dxfId="540" priority="1203" operator="containsText" text="OK">
      <formula>NOT(ISERROR(SEARCH("OK",N391)))</formula>
    </cfRule>
    <cfRule type="containsText" dxfId="539" priority="1204" operator="containsText" text="ERROR">
      <formula>NOT(ISERROR(SEARCH("ERROR",N391)))</formula>
    </cfRule>
  </conditionalFormatting>
  <conditionalFormatting sqref="N393:V393 L393">
    <cfRule type="containsText" dxfId="538" priority="1199" operator="containsText" text="OK">
      <formula>NOT(ISERROR(SEARCH("OK",L393)))</formula>
    </cfRule>
  </conditionalFormatting>
  <conditionalFormatting sqref="N393:V393">
    <cfRule type="containsText" dxfId="537" priority="1197" operator="containsText" text="OK">
      <formula>NOT(ISERROR(SEARCH("OK",N393)))</formula>
    </cfRule>
    <cfRule type="containsText" dxfId="536" priority="1198" operator="containsText" text="ERROR">
      <formula>NOT(ISERROR(SEARCH("ERROR",N393)))</formula>
    </cfRule>
  </conditionalFormatting>
  <conditionalFormatting sqref="N71:W71">
    <cfRule type="cellIs" dxfId="535" priority="217" operator="lessThan">
      <formula>0</formula>
    </cfRule>
    <cfRule type="cellIs" dxfId="534" priority="218" operator="equal">
      <formula>0</formula>
    </cfRule>
    <cfRule type="containsText" dxfId="533" priority="232" operator="containsText" text="OK">
      <formula>NOT(ISERROR(SEARCH("OK",N71)))</formula>
    </cfRule>
    <cfRule type="containsText" dxfId="532" priority="233" operator="containsText" text="ERROR">
      <formula>NOT(ISERROR(SEARCH("ERROR",N71)))</formula>
    </cfRule>
  </conditionalFormatting>
  <conditionalFormatting sqref="N74:W74">
    <cfRule type="containsText" dxfId="531" priority="184" operator="containsText" text="OK">
      <formula>NOT(ISERROR(SEARCH("OK",N74)))</formula>
    </cfRule>
    <cfRule type="containsText" dxfId="530" priority="185" operator="containsText" text="ERROR">
      <formula>NOT(ISERROR(SEARCH("ERROR",N74)))</formula>
    </cfRule>
  </conditionalFormatting>
  <conditionalFormatting sqref="N23:AA23">
    <cfRule type="cellIs" dxfId="529" priority="482" operator="equal">
      <formula>0</formula>
    </cfRule>
    <cfRule type="cellIs" dxfId="528" priority="483" operator="lessThan">
      <formula>0</formula>
    </cfRule>
  </conditionalFormatting>
  <conditionalFormatting sqref="N23:AA25">
    <cfRule type="containsText" dxfId="527" priority="33" operator="containsText" text="OK">
      <formula>NOT(ISERROR(SEARCH("OK",N23)))</formula>
    </cfRule>
    <cfRule type="containsText" dxfId="526" priority="34" operator="containsText" text="ERROR">
      <formula>NOT(ISERROR(SEARCH("ERROR",N23)))</formula>
    </cfRule>
  </conditionalFormatting>
  <conditionalFormatting sqref="N35:AA35">
    <cfRule type="cellIs" dxfId="525" priority="884" operator="lessThan">
      <formula>0</formula>
    </cfRule>
  </conditionalFormatting>
  <conditionalFormatting sqref="N37:AA37">
    <cfRule type="cellIs" dxfId="524" priority="879" operator="equal">
      <formula>0</formula>
    </cfRule>
    <cfRule type="cellIs" dxfId="523" priority="880" operator="lessThan">
      <formula>0</formula>
    </cfRule>
  </conditionalFormatting>
  <conditionalFormatting sqref="N74:AA74">
    <cfRule type="cellIs" dxfId="522" priority="166" operator="equal">
      <formula>0</formula>
    </cfRule>
    <cfRule type="cellIs" dxfId="521" priority="167" operator="lessThan">
      <formula>0</formula>
    </cfRule>
  </conditionalFormatting>
  <conditionalFormatting sqref="N88:AA88">
    <cfRule type="cellIs" dxfId="520" priority="778" operator="lessThan">
      <formula>0</formula>
    </cfRule>
  </conditionalFormatting>
  <conditionalFormatting sqref="N89:AA89 W97:AA103">
    <cfRule type="cellIs" dxfId="519" priority="888" operator="lessThan">
      <formula>0</formula>
    </cfRule>
  </conditionalFormatting>
  <conditionalFormatting sqref="N379:AA379">
    <cfRule type="containsText" dxfId="518" priority="1041" operator="containsText" text="OK">
      <formula>NOT(ISERROR(SEARCH("OK",N379)))</formula>
    </cfRule>
    <cfRule type="containsText" dxfId="517" priority="1042" operator="containsText" text="ERROR">
      <formula>NOT(ISERROR(SEARCH("ERROR",N379)))</formula>
    </cfRule>
    <cfRule type="cellIs" dxfId="516" priority="1043" operator="equal">
      <formula>0</formula>
    </cfRule>
    <cfRule type="cellIs" dxfId="515" priority="1044" operator="lessThan">
      <formula>0</formula>
    </cfRule>
  </conditionalFormatting>
  <conditionalFormatting sqref="N380:AA381">
    <cfRule type="containsText" dxfId="514" priority="1053" operator="containsText" text="OK">
      <formula>NOT(ISERROR(SEARCH("OK",N380)))</formula>
    </cfRule>
    <cfRule type="containsText" dxfId="513" priority="1054" operator="containsText" text="ERROR">
      <formula>NOT(ISERROR(SEARCH("ERROR",N380)))</formula>
    </cfRule>
  </conditionalFormatting>
  <conditionalFormatting sqref="N382:AA382">
    <cfRule type="containsText" dxfId="512" priority="1167" operator="containsText" text="OK">
      <formula>NOT(ISERROR(SEARCH("OK",N382)))</formula>
    </cfRule>
    <cfRule type="containsText" dxfId="511" priority="1168" operator="containsText" text="ERROR">
      <formula>NOT(ISERROR(SEARCH("ERROR",N382)))</formula>
    </cfRule>
  </conditionalFormatting>
  <conditionalFormatting sqref="N391:AA391">
    <cfRule type="cellIs" dxfId="510" priority="1178" operator="lessThan">
      <formula>0</formula>
    </cfRule>
  </conditionalFormatting>
  <conditionalFormatting sqref="N393:AA393">
    <cfRule type="cellIs" dxfId="509" priority="1173" operator="equal">
      <formula>0</formula>
    </cfRule>
    <cfRule type="cellIs" dxfId="508" priority="1174" operator="lessThan">
      <formula>0</formula>
    </cfRule>
  </conditionalFormatting>
  <conditionalFormatting sqref="N251:AB255">
    <cfRule type="cellIs" dxfId="507" priority="712" operator="equal">
      <formula>0</formula>
    </cfRule>
    <cfRule type="cellIs" dxfId="506" priority="713" operator="lessThan">
      <formula>0</formula>
    </cfRule>
  </conditionalFormatting>
  <conditionalFormatting sqref="N270:AB270">
    <cfRule type="cellIs" dxfId="505" priority="788" operator="equal">
      <formula>0</formula>
    </cfRule>
    <cfRule type="cellIs" dxfId="504" priority="789" operator="lessThan">
      <formula>0</formula>
    </cfRule>
  </conditionalFormatting>
  <conditionalFormatting sqref="N272:AB272">
    <cfRule type="cellIs" dxfId="503" priority="786" operator="equal">
      <formula>0</formula>
    </cfRule>
    <cfRule type="cellIs" dxfId="502" priority="787" operator="lessThan">
      <formula>0</formula>
    </cfRule>
  </conditionalFormatting>
  <conditionalFormatting sqref="N10:AC10">
    <cfRule type="containsText" dxfId="501" priority="1227" operator="containsText" text="wrong">
      <formula>NOT(ISERROR(SEARCH("wrong",N10)))</formula>
    </cfRule>
    <cfRule type="containsText" dxfId="500" priority="1228" operator="containsText" text="ok">
      <formula>NOT(ISERROR(SEARCH("ok",N10)))</formula>
    </cfRule>
  </conditionalFormatting>
  <conditionalFormatting sqref="N15:AC17 L16:L21 N33:AC36 L34:L36 N66:AC68 N89:V89 O93:AC93 N94 L94:L95 N95:AC95 N97:O97 Q97:R97 V97 W98:AC98 L99:L100 N99:AC103 L102:L104 P107 N112:AC113 J117:M117 K148:L159 K164:L164 N164:AC164 K167:L168 K170:L171 L183:L187 K188:L190">
    <cfRule type="containsText" dxfId="499" priority="996" operator="containsText" text="ERROR">
      <formula>NOT(ISERROR(SEARCH("ERROR",J15)))</formula>
    </cfRule>
  </conditionalFormatting>
  <conditionalFormatting sqref="N26:AC27 N30:AC31">
    <cfRule type="containsText" dxfId="498" priority="802" operator="containsText" text="OK">
      <formula>NOT(ISERROR(SEARCH("OK",N26)))</formula>
    </cfRule>
    <cfRule type="containsText" dxfId="497" priority="803" operator="containsText" text="ERROR">
      <formula>NOT(ISERROR(SEARCH("ERROR",N26)))</formula>
    </cfRule>
  </conditionalFormatting>
  <conditionalFormatting sqref="N27:AC27 N30:AC31">
    <cfRule type="containsText" dxfId="496" priority="797" operator="containsText" text="ERROR">
      <formula>NOT(ISERROR(SEARCH("ERROR",N27)))</formula>
    </cfRule>
  </conditionalFormatting>
  <conditionalFormatting sqref="N30:AC31 N27:AC27">
    <cfRule type="containsText" dxfId="495" priority="796" operator="containsText" text="OK">
      <formula>NOT(ISERROR(SEARCH("OK",N27)))</formula>
    </cfRule>
  </conditionalFormatting>
  <conditionalFormatting sqref="N30:AC31">
    <cfRule type="containsText" dxfId="494" priority="724" operator="containsText" text="OK">
      <formula>NOT(ISERROR(SEARCH("OK",N30)))</formula>
    </cfRule>
    <cfRule type="containsText" dxfId="493" priority="725" operator="containsText" text="ERROR">
      <formula>NOT(ISERROR(SEARCH("ERROR",N30)))</formula>
    </cfRule>
    <cfRule type="cellIs" dxfId="492" priority="726" operator="equal">
      <formula>0</formula>
    </cfRule>
    <cfRule type="cellIs" dxfId="491" priority="727" operator="lessThan">
      <formula>0</formula>
    </cfRule>
  </conditionalFormatting>
  <conditionalFormatting sqref="N35:AC35">
    <cfRule type="cellIs" dxfId="490" priority="830" operator="equal">
      <formula>0</formula>
    </cfRule>
  </conditionalFormatting>
  <conditionalFormatting sqref="N38:AC38">
    <cfRule type="containsText" dxfId="489" priority="564" operator="containsText" text="OK">
      <formula>NOT(ISERROR(SEARCH("OK",N38)))</formula>
    </cfRule>
    <cfRule type="containsText" dxfId="488" priority="565" operator="containsText" text="ERROR">
      <formula>NOT(ISERROR(SEARCH("ERROR",N38)))</formula>
    </cfRule>
  </conditionalFormatting>
  <conditionalFormatting sqref="N39:AC39">
    <cfRule type="containsText" dxfId="487" priority="612" operator="containsText" text="OK">
      <formula>NOT(ISERROR(SEARCH("OK",N39)))</formula>
    </cfRule>
    <cfRule type="containsText" dxfId="486" priority="613" operator="containsText" text="ERROR">
      <formula>NOT(ISERROR(SEARCH("ERROR",N39)))</formula>
    </cfRule>
  </conditionalFormatting>
  <conditionalFormatting sqref="N40:AC49">
    <cfRule type="containsText" dxfId="485" priority="570" operator="containsText" text="OK">
      <formula>NOT(ISERROR(SEARCH("OK",N40)))</formula>
    </cfRule>
    <cfRule type="containsText" dxfId="484" priority="571" operator="containsText" text="ERROR">
      <formula>NOT(ISERROR(SEARCH("ERROR",N40)))</formula>
    </cfRule>
  </conditionalFormatting>
  <conditionalFormatting sqref="N46:AC46">
    <cfRule type="cellIs" dxfId="483" priority="732" operator="equal">
      <formula>0</formula>
    </cfRule>
    <cfRule type="cellIs" dxfId="482" priority="733" operator="lessThan">
      <formula>0</formula>
    </cfRule>
  </conditionalFormatting>
  <conditionalFormatting sqref="N51:AC51">
    <cfRule type="cellIs" dxfId="481" priority="700" operator="equal">
      <formula>0</formula>
    </cfRule>
    <cfRule type="cellIs" dxfId="480" priority="701" operator="lessThan">
      <formula>0</formula>
    </cfRule>
    <cfRule type="containsText" dxfId="479" priority="702" operator="containsText" text="OK">
      <formula>NOT(ISERROR(SEARCH("OK",N51)))</formula>
    </cfRule>
    <cfRule type="containsText" dxfId="478" priority="703" operator="containsText" text="ERROR">
      <formula>NOT(ISERROR(SEARCH("ERROR",N51)))</formula>
    </cfRule>
  </conditionalFormatting>
  <conditionalFormatting sqref="N67:AC67">
    <cfRule type="cellIs" dxfId="477" priority="843" operator="equal">
      <formula>0</formula>
    </cfRule>
    <cfRule type="cellIs" dxfId="476" priority="844" operator="lessThan">
      <formula>0</formula>
    </cfRule>
  </conditionalFormatting>
  <conditionalFormatting sqref="N69:AC69">
    <cfRule type="cellIs" dxfId="475" priority="523" operator="equal">
      <formula>0</formula>
    </cfRule>
    <cfRule type="cellIs" dxfId="474" priority="524" operator="lessThan">
      <formula>0</formula>
    </cfRule>
  </conditionalFormatting>
  <conditionalFormatting sqref="N69:AC70">
    <cfRule type="containsText" dxfId="473" priority="528" operator="containsText" text="OK">
      <formula>NOT(ISERROR(SEARCH("OK",N69)))</formula>
    </cfRule>
    <cfRule type="containsText" dxfId="472" priority="529" operator="containsText" text="ERROR">
      <formula>NOT(ISERROR(SEARCH("ERROR",N69)))</formula>
    </cfRule>
  </conditionalFormatting>
  <conditionalFormatting sqref="N72:AC72">
    <cfRule type="cellIs" dxfId="471" priority="259" operator="lessThan">
      <formula>0</formula>
    </cfRule>
    <cfRule type="cellIs" dxfId="470" priority="260" operator="equal">
      <formula>0</formula>
    </cfRule>
    <cfRule type="containsText" dxfId="469" priority="286" operator="containsText" text="OK">
      <formula>NOT(ISERROR(SEARCH("OK",N72)))</formula>
    </cfRule>
    <cfRule type="containsText" dxfId="468" priority="287" operator="containsText" text="ERROR">
      <formula>NOT(ISERROR(SEARCH("ERROR",N72)))</formula>
    </cfRule>
  </conditionalFormatting>
  <conditionalFormatting sqref="N73:AC73">
    <cfRule type="containsText" dxfId="467" priority="130" operator="containsText" text="OK">
      <formula>NOT(ISERROR(SEARCH("OK",N73)))</formula>
    </cfRule>
    <cfRule type="containsText" dxfId="466" priority="131" operator="containsText" text="ERROR">
      <formula>NOT(ISERROR(SEARCH("ERROR",N73)))</formula>
    </cfRule>
  </conditionalFormatting>
  <conditionalFormatting sqref="N75:AC76">
    <cfRule type="cellIs" dxfId="465" priority="117" operator="lessThan">
      <formula>0</formula>
    </cfRule>
    <cfRule type="cellIs" dxfId="464" priority="118" operator="equal">
      <formula>0</formula>
    </cfRule>
  </conditionalFormatting>
  <conditionalFormatting sqref="N75:AC77">
    <cfRule type="containsText" dxfId="463" priority="128" operator="containsText" text="OK">
      <formula>NOT(ISERROR(SEARCH("OK",N75)))</formula>
    </cfRule>
    <cfRule type="containsText" dxfId="462" priority="129" operator="containsText" text="ERROR">
      <formula>NOT(ISERROR(SEARCH("ERROR",N75)))</formula>
    </cfRule>
  </conditionalFormatting>
  <conditionalFormatting sqref="N78:AC85">
    <cfRule type="cellIs" dxfId="461" priority="59" operator="lessThan">
      <formula>0</formula>
    </cfRule>
  </conditionalFormatting>
  <conditionalFormatting sqref="N79:AC79">
    <cfRule type="containsText" dxfId="460" priority="114" operator="containsText" text="OK">
      <formula>NOT(ISERROR(SEARCH("OK",N79)))</formula>
    </cfRule>
    <cfRule type="containsText" dxfId="459" priority="115" operator="containsText" text="ERROR">
      <formula>NOT(ISERROR(SEARCH("ERROR",N79)))</formula>
    </cfRule>
  </conditionalFormatting>
  <conditionalFormatting sqref="N79:AC85">
    <cfRule type="cellIs" dxfId="458" priority="112" operator="equal">
      <formula>0</formula>
    </cfRule>
  </conditionalFormatting>
  <conditionalFormatting sqref="N80:AC87">
    <cfRule type="containsText" dxfId="457" priority="538" operator="containsText" text="OK">
      <formula>NOT(ISERROR(SEARCH("OK",N80)))</formula>
    </cfRule>
    <cfRule type="containsText" dxfId="456" priority="539" operator="containsText" text="ERROR">
      <formula>NOT(ISERROR(SEARCH("ERROR",N80)))</formula>
    </cfRule>
  </conditionalFormatting>
  <conditionalFormatting sqref="N87:AC87">
    <cfRule type="cellIs" dxfId="455" priority="537" operator="lessThan">
      <formula>0</formula>
    </cfRule>
  </conditionalFormatting>
  <conditionalFormatting sqref="N87:AC89">
    <cfRule type="cellIs" dxfId="454" priority="536" operator="equal">
      <formula>0</formula>
    </cfRule>
  </conditionalFormatting>
  <conditionalFormatting sqref="N91:AC91">
    <cfRule type="containsText" dxfId="453" priority="21" operator="containsText" text="OK">
      <formula>NOT(ISERROR(SEARCH("OK",N91)))</formula>
    </cfRule>
    <cfRule type="containsText" dxfId="452" priority="22" operator="containsText" text="ERROR">
      <formula>NOT(ISERROR(SEARCH("ERROR",N91)))</formula>
    </cfRule>
  </conditionalFormatting>
  <conditionalFormatting sqref="N94:AC95">
    <cfRule type="cellIs" dxfId="451" priority="721" operator="lessThan">
      <formula>0</formula>
    </cfRule>
  </conditionalFormatting>
  <conditionalFormatting sqref="N102:AC102">
    <cfRule type="cellIs" dxfId="450" priority="836" operator="equal">
      <formula>0</formula>
    </cfRule>
  </conditionalFormatting>
  <conditionalFormatting sqref="N105:AC105">
    <cfRule type="containsText" dxfId="449" priority="708" operator="containsText" text="OK">
      <formula>NOT(ISERROR(SEARCH("OK",N105)))</formula>
    </cfRule>
    <cfRule type="containsText" dxfId="448" priority="709" operator="containsText" text="ERROR">
      <formula>NOT(ISERROR(SEARCH("ERROR",N105)))</formula>
    </cfRule>
  </conditionalFormatting>
  <conditionalFormatting sqref="N108:AC110">
    <cfRule type="containsText" dxfId="447" priority="760" operator="containsText" text="OK">
      <formula>NOT(ISERROR(SEARCH("OK",N108)))</formula>
    </cfRule>
    <cfRule type="containsText" dxfId="446" priority="761" operator="containsText" text="ERROR">
      <formula>NOT(ISERROR(SEARCH("ERROR",N108)))</formula>
    </cfRule>
    <cfRule type="cellIs" dxfId="445" priority="762" operator="equal">
      <formula>0</formula>
    </cfRule>
    <cfRule type="cellIs" dxfId="444" priority="763" operator="lessThan">
      <formula>0</formula>
    </cfRule>
  </conditionalFormatting>
  <conditionalFormatting sqref="N111:AC111">
    <cfRule type="cellIs" dxfId="443" priority="714" operator="lessThan">
      <formula>0</formula>
    </cfRule>
    <cfRule type="cellIs" dxfId="442" priority="736" operator="greaterThan">
      <formula>1000000</formula>
    </cfRule>
    <cfRule type="cellIs" dxfId="441" priority="737" operator="between">
      <formula>500000</formula>
      <formula>1000000</formula>
    </cfRule>
  </conditionalFormatting>
  <conditionalFormatting sqref="N115:AC116">
    <cfRule type="containsText" dxfId="440" priority="370" operator="containsText" text="OK">
      <formula>NOT(ISERROR(SEARCH("OK",N115)))</formula>
    </cfRule>
    <cfRule type="containsText" dxfId="439" priority="371" operator="containsText" text="ERROR">
      <formula>NOT(ISERROR(SEARCH("ERROR",N115)))</formula>
    </cfRule>
  </conditionalFormatting>
  <conditionalFormatting sqref="N117:AC143">
    <cfRule type="containsText" dxfId="438" priority="376" operator="containsText" text="OK">
      <formula>NOT(ISERROR(SEARCH("OK",N117)))</formula>
    </cfRule>
    <cfRule type="containsText" dxfId="437" priority="377" operator="containsText" text="ERROR">
      <formula>NOT(ISERROR(SEARCH("ERROR",N117)))</formula>
    </cfRule>
  </conditionalFormatting>
  <conditionalFormatting sqref="N133:AC133">
    <cfRule type="cellIs" dxfId="436" priority="400" operator="equal">
      <formula>0</formula>
    </cfRule>
    <cfRule type="cellIs" dxfId="435" priority="401" operator="lessThan">
      <formula>0</formula>
    </cfRule>
  </conditionalFormatting>
  <conditionalFormatting sqref="N142:AC142">
    <cfRule type="cellIs" dxfId="434" priority="470" operator="equal">
      <formula>0</formula>
    </cfRule>
    <cfRule type="cellIs" dxfId="433" priority="471" operator="lessThan">
      <formula>0</formula>
    </cfRule>
  </conditionalFormatting>
  <conditionalFormatting sqref="N146:AC146">
    <cfRule type="containsText" dxfId="432" priority="632" operator="containsText" text="OK">
      <formula>NOT(ISERROR(SEARCH("OK",N146)))</formula>
    </cfRule>
    <cfRule type="containsText" dxfId="431" priority="633" operator="containsText" text="ERROR">
      <formula>NOT(ISERROR(SEARCH("ERROR",N146)))</formula>
    </cfRule>
  </conditionalFormatting>
  <conditionalFormatting sqref="N146:AC147">
    <cfRule type="cellIs" dxfId="430" priority="628" operator="equal">
      <formula>0</formula>
    </cfRule>
    <cfRule type="cellIs" dxfId="429" priority="629" operator="lessThan">
      <formula>0</formula>
    </cfRule>
  </conditionalFormatting>
  <conditionalFormatting sqref="N147:AC159">
    <cfRule type="containsText" dxfId="428" priority="368" operator="containsText" text="OK">
      <formula>NOT(ISERROR(SEARCH("OK",N147)))</formula>
    </cfRule>
    <cfRule type="containsText" dxfId="427" priority="369" operator="containsText" text="ERROR">
      <formula>NOT(ISERROR(SEARCH("ERROR",N147)))</formula>
    </cfRule>
  </conditionalFormatting>
  <conditionalFormatting sqref="N148:AC148">
    <cfRule type="containsText" dxfId="426" priority="334" operator="containsText" text="OK">
      <formula>NOT(ISERROR(SEARCH("OK",N148)))</formula>
    </cfRule>
    <cfRule type="containsText" dxfId="425" priority="335" operator="containsText" text="ERROR">
      <formula>NOT(ISERROR(SEARCH("ERROR",N148)))</formula>
    </cfRule>
  </conditionalFormatting>
  <conditionalFormatting sqref="N148:AC152">
    <cfRule type="containsText" dxfId="424" priority="328" operator="containsText" text="OK">
      <formula>NOT(ISERROR(SEARCH("OK",N148)))</formula>
    </cfRule>
    <cfRule type="containsText" dxfId="423" priority="329" operator="containsText" text="ERROR">
      <formula>NOT(ISERROR(SEARCH("ERROR",N148)))</formula>
    </cfRule>
    <cfRule type="cellIs" dxfId="422" priority="336" operator="equal">
      <formula>0</formula>
    </cfRule>
    <cfRule type="cellIs" dxfId="421" priority="337" operator="lessThan">
      <formula>0</formula>
    </cfRule>
  </conditionalFormatting>
  <conditionalFormatting sqref="N149:AC152">
    <cfRule type="containsText" dxfId="420" priority="326" operator="containsText" text="OK">
      <formula>NOT(ISERROR(SEARCH("OK",N149)))</formula>
    </cfRule>
    <cfRule type="containsText" dxfId="419" priority="327" operator="containsText" text="ERROR">
      <formula>NOT(ISERROR(SEARCH("ERROR",N149)))</formula>
    </cfRule>
    <cfRule type="cellIs" dxfId="418" priority="330" operator="equal">
      <formula>0</formula>
    </cfRule>
    <cfRule type="cellIs" dxfId="417" priority="331" operator="lessThan">
      <formula>0</formula>
    </cfRule>
  </conditionalFormatting>
  <conditionalFormatting sqref="N156:AC158">
    <cfRule type="containsText" dxfId="416" priority="320" operator="containsText" text="OK">
      <formula>NOT(ISERROR(SEARCH("OK",N156)))</formula>
    </cfRule>
    <cfRule type="containsText" dxfId="415" priority="321" operator="containsText" text="ERROR">
      <formula>NOT(ISERROR(SEARCH("ERROR",N156)))</formula>
    </cfRule>
    <cfRule type="containsText" dxfId="414" priority="322" operator="containsText" text="OK">
      <formula>NOT(ISERROR(SEARCH("OK",N156)))</formula>
    </cfRule>
    <cfRule type="containsText" dxfId="413" priority="323" operator="containsText" text="ERROR">
      <formula>NOT(ISERROR(SEARCH("ERROR",N156)))</formula>
    </cfRule>
  </conditionalFormatting>
  <conditionalFormatting sqref="N160:AC162">
    <cfRule type="containsText" dxfId="412" priority="288" operator="containsText" text="OK">
      <formula>NOT(ISERROR(SEARCH("OK",N160)))</formula>
    </cfRule>
    <cfRule type="containsText" dxfId="411" priority="289" operator="containsText" text="ERROR">
      <formula>NOT(ISERROR(SEARCH("ERROR",N160)))</formula>
    </cfRule>
    <cfRule type="cellIs" dxfId="410" priority="290" operator="equal">
      <formula>0</formula>
    </cfRule>
    <cfRule type="cellIs" dxfId="409" priority="291" operator="lessThan">
      <formula>0</formula>
    </cfRule>
  </conditionalFormatting>
  <conditionalFormatting sqref="N164:AC164 L94:L95 N97:O97 Q97:R97 V97 L99:L100 N99:AC103 L102:L104 P107 N94 N95:AC95 N33:AC36 L16:L21 L34:L36 N15:AC17 O93:AC93 N89:V89 W98:AC98 N66:AC68 L183:L187 K148:L159 K164:L164 K188:L190 K167:L168 K170:L171 N112:AC113 J117:M117">
    <cfRule type="containsText" dxfId="408" priority="995" operator="containsText" text="OK">
      <formula>NOT(ISERROR(SEARCH("OK",J15)))</formula>
    </cfRule>
  </conditionalFormatting>
  <conditionalFormatting sqref="N165:AC165">
    <cfRule type="containsText" dxfId="407" priority="508" operator="containsText" text="OK">
      <formula>NOT(ISERROR(SEARCH("OK",N165)))</formula>
    </cfRule>
    <cfRule type="containsText" dxfId="406" priority="509" operator="containsText" text="ERROR">
      <formula>NOT(ISERROR(SEARCH("ERROR",N165)))</formula>
    </cfRule>
    <cfRule type="cellIs" dxfId="405" priority="510" operator="equal">
      <formula>0</formula>
    </cfRule>
    <cfRule type="cellIs" dxfId="404" priority="511" operator="lessThan">
      <formula>0</formula>
    </cfRule>
  </conditionalFormatting>
  <conditionalFormatting sqref="N167:AC171">
    <cfRule type="containsText" dxfId="403" priority="502" operator="containsText" text="OK">
      <formula>NOT(ISERROR(SEARCH("OK",N167)))</formula>
    </cfRule>
    <cfRule type="containsText" dxfId="402" priority="503" operator="containsText" text="ERROR">
      <formula>NOT(ISERROR(SEARCH("ERROR",N167)))</formula>
    </cfRule>
  </conditionalFormatting>
  <conditionalFormatting sqref="N172:AC173">
    <cfRule type="containsText" dxfId="401" priority="674" operator="containsText" text="OK">
      <formula>NOT(ISERROR(SEARCH("OK",N172)))</formula>
    </cfRule>
    <cfRule type="containsText" dxfId="400" priority="675" operator="containsText" text="ERROR">
      <formula>NOT(ISERROR(SEARCH("ERROR",N172)))</formula>
    </cfRule>
  </conditionalFormatting>
  <conditionalFormatting sqref="N173:AC173">
    <cfRule type="cellIs" dxfId="399" priority="672" operator="equal">
      <formula>0</formula>
    </cfRule>
    <cfRule type="cellIs" dxfId="398" priority="673" operator="lessThan">
      <formula>0</formula>
    </cfRule>
  </conditionalFormatting>
  <conditionalFormatting sqref="N174:AC187">
    <cfRule type="containsText" dxfId="397" priority="551" operator="containsText" text="OK">
      <formula>NOT(ISERROR(SEARCH("OK",N174)))</formula>
    </cfRule>
    <cfRule type="containsText" dxfId="396" priority="552" operator="containsText" text="ERROR">
      <formula>NOT(ISERROR(SEARCH("ERROR",N174)))</formula>
    </cfRule>
  </conditionalFormatting>
  <conditionalFormatting sqref="N176:AC176">
    <cfRule type="cellIs" dxfId="395" priority="664" operator="equal">
      <formula>0</formula>
    </cfRule>
    <cfRule type="cellIs" dxfId="394" priority="665" operator="lessThan">
      <formula>0</formula>
    </cfRule>
  </conditionalFormatting>
  <conditionalFormatting sqref="N188:AC195">
    <cfRule type="containsText" dxfId="393" priority="555" operator="containsText" text="OK">
      <formula>NOT(ISERROR(SEARCH("OK",N188)))</formula>
    </cfRule>
    <cfRule type="containsText" dxfId="392" priority="556" operator="containsText" text="ERROR">
      <formula>NOT(ISERROR(SEARCH("ERROR",N188)))</formula>
    </cfRule>
  </conditionalFormatting>
  <conditionalFormatting sqref="N191:AC193">
    <cfRule type="cellIs" dxfId="391" priority="642" operator="equal">
      <formula>0</formula>
    </cfRule>
    <cfRule type="cellIs" dxfId="390" priority="643" operator="lessThan">
      <formula>0</formula>
    </cfRule>
  </conditionalFormatting>
  <conditionalFormatting sqref="N195:AC195">
    <cfRule type="cellIs" dxfId="389" priority="666" operator="equal">
      <formula>0</formula>
    </cfRule>
    <cfRule type="cellIs" dxfId="388" priority="667" operator="lessThan">
      <formula>0</formula>
    </cfRule>
  </conditionalFormatting>
  <conditionalFormatting sqref="N196:AC197">
    <cfRule type="containsText" dxfId="387" priority="692" operator="containsText" text="OK">
      <formula>NOT(ISERROR(SEARCH("OK",N196)))</formula>
    </cfRule>
    <cfRule type="containsText" dxfId="386" priority="693" operator="containsText" text="ERROR">
      <formula>NOT(ISERROR(SEARCH("ERROR",N196)))</formula>
    </cfRule>
  </conditionalFormatting>
  <conditionalFormatting sqref="N197:AC197">
    <cfRule type="cellIs" dxfId="385" priority="690" operator="equal">
      <formula>0</formula>
    </cfRule>
    <cfRule type="cellIs" dxfId="384" priority="691" operator="lessThan">
      <formula>0</formula>
    </cfRule>
  </conditionalFormatting>
  <conditionalFormatting sqref="N200:AC204">
    <cfRule type="cellIs" dxfId="383" priority="783" operator="equal">
      <formula>0</formula>
    </cfRule>
    <cfRule type="cellIs" dxfId="382" priority="784" operator="lessThan">
      <formula>0</formula>
    </cfRule>
  </conditionalFormatting>
  <conditionalFormatting sqref="N211:AC211">
    <cfRule type="cellIs" dxfId="381" priority="967" operator="equal">
      <formula>0</formula>
    </cfRule>
    <cfRule type="cellIs" dxfId="380" priority="968" operator="lessThan">
      <formula>0</formula>
    </cfRule>
  </conditionalFormatting>
  <conditionalFormatting sqref="N220:AC221">
    <cfRule type="containsText" dxfId="379" priority="837" operator="containsText" text="wrong">
      <formula>NOT(ISERROR(SEARCH("wrong",N220)))</formula>
    </cfRule>
  </conditionalFormatting>
  <conditionalFormatting sqref="N226:AC226">
    <cfRule type="cellIs" dxfId="378" priority="969" operator="equal">
      <formula>0</formula>
    </cfRule>
    <cfRule type="cellIs" dxfId="377" priority="970" operator="lessThan">
      <formula>0</formula>
    </cfRule>
  </conditionalFormatting>
  <conditionalFormatting sqref="N243:AC243">
    <cfRule type="cellIs" dxfId="376" priority="545" operator="lessThan">
      <formula>0</formula>
    </cfRule>
    <cfRule type="containsText" dxfId="375" priority="547" operator="containsText" text="OK">
      <formula>NOT(ISERROR(SEARCH("OK",N243)))</formula>
    </cfRule>
    <cfRule type="containsText" dxfId="374" priority="548" operator="containsText" text="ERROR">
      <formula>NOT(ISERROR(SEARCH("ERROR",N243)))</formula>
    </cfRule>
  </conditionalFormatting>
  <conditionalFormatting sqref="N245:AC245">
    <cfRule type="cellIs" dxfId="373" priority="806" operator="equal">
      <formula>0</formula>
    </cfRule>
    <cfRule type="cellIs" dxfId="372" priority="807" operator="lessThan">
      <formula>0</formula>
    </cfRule>
  </conditionalFormatting>
  <conditionalFormatting sqref="N258:AC258">
    <cfRule type="cellIs" dxfId="371" priority="590" operator="equal">
      <formula>0</formula>
    </cfRule>
    <cfRule type="cellIs" dxfId="370" priority="591" operator="lessThan">
      <formula>0</formula>
    </cfRule>
    <cfRule type="containsText" dxfId="369" priority="592" operator="containsText" text="OK">
      <formula>NOT(ISERROR(SEARCH("OK",N258)))</formula>
    </cfRule>
    <cfRule type="containsText" dxfId="368" priority="593" operator="containsText" text="ERROR">
      <formula>NOT(ISERROR(SEARCH("ERROR",N258)))</formula>
    </cfRule>
    <cfRule type="cellIs" dxfId="367" priority="594" operator="equal">
      <formula>0</formula>
    </cfRule>
    <cfRule type="cellIs" dxfId="366" priority="595" operator="lessThan">
      <formula>0</formula>
    </cfRule>
  </conditionalFormatting>
  <conditionalFormatting sqref="N260:AC264">
    <cfRule type="cellIs" dxfId="365" priority="530" operator="equal">
      <formula>0</formula>
    </cfRule>
    <cfRule type="cellIs" dxfId="364" priority="531" operator="lessThan">
      <formula>0</formula>
    </cfRule>
  </conditionalFormatting>
  <conditionalFormatting sqref="N269:AC269">
    <cfRule type="cellIs" dxfId="363" priority="790" operator="equal">
      <formula>0</formula>
    </cfRule>
    <cfRule type="cellIs" dxfId="362" priority="791" operator="lessThan">
      <formula>0</formula>
    </cfRule>
  </conditionalFormatting>
  <conditionalFormatting sqref="N271:AC271">
    <cfRule type="cellIs" dxfId="361" priority="792" operator="equal">
      <formula>0</formula>
    </cfRule>
    <cfRule type="cellIs" dxfId="360" priority="793" operator="lessThan">
      <formula>0</formula>
    </cfRule>
  </conditionalFormatting>
  <conditionalFormatting sqref="N305:AC305">
    <cfRule type="containsText" dxfId="359" priority="962" operator="containsText" text="wrong">
      <formula>NOT(ISERROR(SEARCH("wrong",N305)))</formula>
    </cfRule>
    <cfRule type="cellIs" dxfId="358" priority="963" operator="equal">
      <formula>0</formula>
    </cfRule>
    <cfRule type="cellIs" dxfId="357" priority="964" operator="lessThan">
      <formula>0</formula>
    </cfRule>
  </conditionalFormatting>
  <conditionalFormatting sqref="N318:AC318">
    <cfRule type="cellIs" dxfId="356" priority="682" operator="equal">
      <formula>0</formula>
    </cfRule>
    <cfRule type="cellIs" dxfId="355" priority="683" operator="lessThan">
      <formula>0</formula>
    </cfRule>
    <cfRule type="containsText" dxfId="354" priority="684" operator="containsText" text="OK">
      <formula>NOT(ISERROR(SEARCH("OK",N318)))</formula>
    </cfRule>
    <cfRule type="containsText" dxfId="353" priority="685" operator="containsText" text="ERROR">
      <formula>NOT(ISERROR(SEARCH("ERROR",N318)))</formula>
    </cfRule>
  </conditionalFormatting>
  <conditionalFormatting sqref="N350:AC350">
    <cfRule type="cellIs" dxfId="352" priority="1275" operator="equal">
      <formula>0</formula>
    </cfRule>
    <cfRule type="cellIs" dxfId="351" priority="1276" operator="lessThan">
      <formula>0</formula>
    </cfRule>
    <cfRule type="containsText" dxfId="350" priority="1283" operator="containsText" text="OK">
      <formula>NOT(ISERROR(SEARCH("OK",N350)))</formula>
    </cfRule>
    <cfRule type="containsText" dxfId="349" priority="1284" operator="containsText" text="ERROR">
      <formula>NOT(ISERROR(SEARCH("ERROR",N350)))</formula>
    </cfRule>
  </conditionalFormatting>
  <conditionalFormatting sqref="N368:AC368">
    <cfRule type="cellIs" dxfId="348" priority="1086" operator="equal">
      <formula>0</formula>
    </cfRule>
    <cfRule type="cellIs" dxfId="347" priority="1087" operator="lessThan">
      <formula>0</formula>
    </cfRule>
  </conditionalFormatting>
  <conditionalFormatting sqref="N371:AC373 L372:L377 N389:AC392 L390:L392">
    <cfRule type="containsText" dxfId="346" priority="1220" operator="containsText" text="ERROR">
      <formula>NOT(ISERROR(SEARCH("ERROR",L371)))</formula>
    </cfRule>
  </conditionalFormatting>
  <conditionalFormatting sqref="N383:AC383 N386:AC387">
    <cfRule type="containsText" dxfId="345" priority="1118" operator="containsText" text="ERROR">
      <formula>NOT(ISERROR(SEARCH("ERROR",N383)))</formula>
    </cfRule>
    <cfRule type="containsText" dxfId="344" priority="1123" operator="containsText" text="OK">
      <formula>NOT(ISERROR(SEARCH("OK",N383)))</formula>
    </cfRule>
    <cfRule type="containsText" dxfId="343" priority="1124" operator="containsText" text="ERROR">
      <formula>NOT(ISERROR(SEARCH("ERROR",N383)))</formula>
    </cfRule>
  </conditionalFormatting>
  <conditionalFormatting sqref="N386:AC387 N383:AC383">
    <cfRule type="containsText" dxfId="342" priority="1117" operator="containsText" text="OK">
      <formula>NOT(ISERROR(SEARCH("OK",N383)))</formula>
    </cfRule>
  </conditionalFormatting>
  <conditionalFormatting sqref="N386:AC387">
    <cfRule type="containsText" dxfId="341" priority="1103" operator="containsText" text="OK">
      <formula>NOT(ISERROR(SEARCH("OK",N386)))</formula>
    </cfRule>
    <cfRule type="containsText" dxfId="340" priority="1104" operator="containsText" text="ERROR">
      <formula>NOT(ISERROR(SEARCH("ERROR",N386)))</formula>
    </cfRule>
    <cfRule type="cellIs" dxfId="339" priority="1105" operator="equal">
      <formula>0</formula>
    </cfRule>
    <cfRule type="cellIs" dxfId="338" priority="1106" operator="lessThan">
      <formula>0</formula>
    </cfRule>
  </conditionalFormatting>
  <conditionalFormatting sqref="N389:AC392 L372:L377 L390:L392 N371:AC373">
    <cfRule type="containsText" dxfId="337" priority="1219" operator="containsText" text="OK">
      <formula>NOT(ISERROR(SEARCH("OK",L371)))</formula>
    </cfRule>
  </conditionalFormatting>
  <conditionalFormatting sqref="N391:AC391">
    <cfRule type="cellIs" dxfId="336" priority="1145" operator="equal">
      <formula>0</formula>
    </cfRule>
  </conditionalFormatting>
  <conditionalFormatting sqref="N394:AC394">
    <cfRule type="containsText" dxfId="335" priority="1069" operator="containsText" text="OK">
      <formula>NOT(ISERROR(SEARCH("OK",N394)))</formula>
    </cfRule>
    <cfRule type="containsText" dxfId="334" priority="1070" operator="containsText" text="ERROR">
      <formula>NOT(ISERROR(SEARCH("ERROR",N394)))</formula>
    </cfRule>
  </conditionalFormatting>
  <conditionalFormatting sqref="N395:AC395">
    <cfRule type="cellIs" dxfId="333" priority="1090" operator="equal">
      <formula>0</formula>
    </cfRule>
    <cfRule type="cellIs" dxfId="332" priority="1091" operator="lessThan">
      <formula>0</formula>
    </cfRule>
    <cfRule type="containsText" dxfId="331" priority="1092" operator="containsText" text="OK">
      <formula>NOT(ISERROR(SEARCH("OK",N395)))</formula>
    </cfRule>
    <cfRule type="containsText" dxfId="330" priority="1093" operator="containsText" text="ERROR">
      <formula>NOT(ISERROR(SEARCH("ERROR",N395)))</formula>
    </cfRule>
  </conditionalFormatting>
  <conditionalFormatting sqref="N396:AC405">
    <cfRule type="containsText" dxfId="329" priority="1076" operator="containsText" text="OK">
      <formula>NOT(ISERROR(SEARCH("OK",N396)))</formula>
    </cfRule>
    <cfRule type="containsText" dxfId="328" priority="1077" operator="containsText" text="ERROR">
      <formula>NOT(ISERROR(SEARCH("ERROR",N396)))</formula>
    </cfRule>
  </conditionalFormatting>
  <conditionalFormatting sqref="N402:AC402">
    <cfRule type="cellIs" dxfId="327" priority="1113" operator="equal">
      <formula>0</formula>
    </cfRule>
    <cfRule type="cellIs" dxfId="326" priority="1114" operator="lessThan">
      <formula>0</formula>
    </cfRule>
  </conditionalFormatting>
  <conditionalFormatting sqref="N105:AD105">
    <cfRule type="cellIs" dxfId="325" priority="706" operator="equal">
      <formula>0</formula>
    </cfRule>
    <cfRule type="cellIs" dxfId="324" priority="707" operator="lessThan">
      <formula>0</formula>
    </cfRule>
  </conditionalFormatting>
  <conditionalFormatting sqref="N124:AD125">
    <cfRule type="cellIs" dxfId="323" priority="420" operator="equal">
      <formula>0</formula>
    </cfRule>
    <cfRule type="cellIs" dxfId="322" priority="421" operator="lessThan">
      <formula>0</formula>
    </cfRule>
  </conditionalFormatting>
  <conditionalFormatting sqref="N156:AD158">
    <cfRule type="cellIs" dxfId="321" priority="324" operator="equal">
      <formula>0</formula>
    </cfRule>
    <cfRule type="cellIs" dxfId="320" priority="325" operator="lessThan">
      <formula>0</formula>
    </cfRule>
  </conditionalFormatting>
  <conditionalFormatting sqref="N182:AD190">
    <cfRule type="cellIs" dxfId="319" priority="553" operator="equal">
      <formula>0</formula>
    </cfRule>
    <cfRule type="cellIs" dxfId="318" priority="554" operator="lessThan">
      <formula>0</formula>
    </cfRule>
  </conditionalFormatting>
  <conditionalFormatting sqref="N197:AD197 N318:AD318 N173:AD175 N146:AC146 W164:AC164">
    <cfRule type="cellIs" dxfId="317" priority="993" operator="equal">
      <formula>0</formula>
    </cfRule>
    <cfRule type="cellIs" dxfId="316" priority="994" operator="lessThan">
      <formula>0</formula>
    </cfRule>
  </conditionalFormatting>
  <conditionalFormatting sqref="N243:AD243">
    <cfRule type="cellIs" dxfId="315" priority="549" operator="equal">
      <formula>0</formula>
    </cfRule>
    <cfRule type="cellIs" dxfId="314" priority="550" operator="lessThan">
      <formula>0</formula>
    </cfRule>
  </conditionalFormatting>
  <conditionalFormatting sqref="N350:AD350 J52 AE90:AT90 AU91:XFD91 AE95:AF95 AD96 AE100:AT100 AD101 AU101:XFD101 AE104:AT104 AU105:XFD105 AE123:AT124 AU124:XFD125 AE131:AT132 AD132:AD133 AU132:XFD133 AE145:AT151 AD146:AD152 AU146:XFD152 AE155:AT157 AU156:XFD158 AE159:AT162 AD160:AD163 AU160:XFD163 AE172:AT174 AU173:XFD175 AE181:AT189 AU182:XFD190 AE196:AT196 AU197:XFD197 AE242:AT242 AU243:XFD243 AE244:AT274 AD245:AD275 AU245:XFD275 AE310:AT310 AD311 AU311:XFD311 AE313:AT313 AD314 AU314:XFD314 AE317:AT317 AU318:XFD318 AE349:AT349 AU350:XFD350">
    <cfRule type="cellIs" dxfId="313" priority="1523" operator="lessThan">
      <formula>0</formula>
    </cfRule>
  </conditionalFormatting>
  <conditionalFormatting sqref="N350:AD350 J52 AE90:AT90 AU91:XFD91 AE95:AF95 AD96 AE100:AT100 AU101:XFD101 AE104:AT104 AU105:XFD105 AE123:AT124 AU124:XFD125 AE131:AT132 AD132:AD133 AU132:XFD133 AE145:AT151 AD146:AD152 AU146:XFD152 AE155:AT157 AU156:XFD158 AE159:AT162 AD160:AD163 AU160:XFD163 AE172:AT174 AU173:XFD175 AE181:AT189 AU182:XFD190 AE196:AT196 AU197:XFD197 AE242:AT242 AU243:XFD243 AE244:AT274 AD245:AD275 AU245:XFD275 AE310:AT310 AD311 AU311:XFD311 AE313:AT313 AD314 AU314:XFD314 AE317:AT317 AU318:XFD318 AE349:AT349 AU350:XFD350">
    <cfRule type="cellIs" dxfId="312" priority="1522" operator="equal">
      <formula>0</formula>
    </cfRule>
  </conditionalFormatting>
  <conditionalFormatting sqref="N39:XFD39">
    <cfRule type="cellIs" dxfId="311" priority="610" operator="equal">
      <formula>0</formula>
    </cfRule>
    <cfRule type="cellIs" dxfId="310" priority="611" operator="lessThan">
      <formula>0</formula>
    </cfRule>
  </conditionalFormatting>
  <conditionalFormatting sqref="N51:XFD51 H51:L51">
    <cfRule type="cellIs" dxfId="309" priority="704" operator="equal">
      <formula>0</formula>
    </cfRule>
    <cfRule type="cellIs" dxfId="308" priority="705" operator="lessThan">
      <formula>0</formula>
    </cfRule>
  </conditionalFormatting>
  <conditionalFormatting sqref="O97">
    <cfRule type="cellIs" dxfId="307" priority="600" operator="greaterThan">
      <formula>60%</formula>
    </cfRule>
    <cfRule type="cellIs" dxfId="306" priority="601" operator="between">
      <formula>19.999%</formula>
      <formula>49.99%</formula>
    </cfRule>
    <cfRule type="cellIs" dxfId="305" priority="602" operator="between">
      <formula>10.001%</formula>
      <formula>19.999%</formula>
    </cfRule>
    <cfRule type="cellIs" dxfId="304" priority="603" operator="lessThanOrEqual">
      <formula>10%</formula>
    </cfRule>
  </conditionalFormatting>
  <conditionalFormatting sqref="O119:P120 O122:P123">
    <cfRule type="cellIs" dxfId="303" priority="394" operator="equal">
      <formula>0</formula>
    </cfRule>
    <cfRule type="cellIs" dxfId="302" priority="395" operator="lessThan">
      <formula>0</formula>
    </cfRule>
  </conditionalFormatting>
  <conditionalFormatting sqref="O126:P132">
    <cfRule type="cellIs" dxfId="301" priority="388" operator="equal">
      <formula>0</formula>
    </cfRule>
    <cfRule type="cellIs" dxfId="300" priority="389" operator="lessThan">
      <formula>0</formula>
    </cfRule>
  </conditionalFormatting>
  <conditionalFormatting sqref="O134:P134 O136:P137">
    <cfRule type="cellIs" dxfId="299" priority="382" operator="equal">
      <formula>0</formula>
    </cfRule>
    <cfRule type="cellIs" dxfId="298" priority="383" operator="lessThan">
      <formula>0</formula>
    </cfRule>
  </conditionalFormatting>
  <conditionalFormatting sqref="O139:P139">
    <cfRule type="cellIs" dxfId="297" priority="416" operator="equal">
      <formula>0</formula>
    </cfRule>
    <cfRule type="cellIs" dxfId="296" priority="417" operator="lessThan">
      <formula>0</formula>
    </cfRule>
  </conditionalFormatting>
  <conditionalFormatting sqref="O101:R101">
    <cfRule type="cellIs" dxfId="295" priority="754" operator="equal">
      <formula>0</formula>
    </cfRule>
    <cfRule type="cellIs" dxfId="294" priority="755" operator="lessThan">
      <formula>0</formula>
    </cfRule>
  </conditionalFormatting>
  <conditionalFormatting sqref="O329:V329">
    <cfRule type="cellIs" dxfId="293" priority="984" operator="lessThan">
      <formula>0</formula>
    </cfRule>
  </conditionalFormatting>
  <conditionalFormatting sqref="O12:AC12">
    <cfRule type="cellIs" dxfId="292" priority="1273" operator="equal">
      <formula>0</formula>
    </cfRule>
    <cfRule type="cellIs" dxfId="291" priority="1274" operator="lessThan">
      <formula>0</formula>
    </cfRule>
  </conditionalFormatting>
  <conditionalFormatting sqref="O94:AC94">
    <cfRule type="cellIs" dxfId="290" priority="715" operator="equal">
      <formula>0</formula>
    </cfRule>
    <cfRule type="cellIs" dxfId="289" priority="716" operator="lessThan">
      <formula>0</formula>
    </cfRule>
    <cfRule type="containsText" dxfId="288" priority="718" operator="containsText" text="OK">
      <formula>NOT(ISERROR(SEARCH("OK",O94)))</formula>
    </cfRule>
    <cfRule type="containsText" dxfId="287" priority="719" operator="containsText" text="ERROR">
      <formula>NOT(ISERROR(SEARCH("ERROR",O94)))</formula>
    </cfRule>
    <cfRule type="cellIs" dxfId="286" priority="720" operator="equal">
      <formula>0</formula>
    </cfRule>
  </conditionalFormatting>
  <conditionalFormatting sqref="O326:AC326">
    <cfRule type="cellIs" dxfId="285" priority="519" operator="equal">
      <formula>0</formula>
    </cfRule>
    <cfRule type="cellIs" dxfId="284" priority="520" operator="lessThan">
      <formula>0</formula>
    </cfRule>
  </conditionalFormatting>
  <conditionalFormatting sqref="O329:AC329">
    <cfRule type="cellIs" dxfId="283" priority="841" operator="equal">
      <formula>0</formula>
    </cfRule>
  </conditionalFormatting>
  <conditionalFormatting sqref="P347:P348">
    <cfRule type="cellIs" dxfId="282" priority="1265" operator="equal">
      <formula>0</formula>
    </cfRule>
    <cfRule type="cellIs" dxfId="281" priority="1266" operator="lessThan">
      <formula>0</formula>
    </cfRule>
  </conditionalFormatting>
  <conditionalFormatting sqref="P352:P359">
    <cfRule type="containsText" dxfId="280" priority="1029" operator="containsText" text="wrong">
      <formula>NOT(ISERROR(SEARCH("wrong",P352)))</formula>
    </cfRule>
  </conditionalFormatting>
  <conditionalFormatting sqref="P353:P359">
    <cfRule type="cellIs" dxfId="279" priority="1012" operator="equal">
      <formula>0</formula>
    </cfRule>
    <cfRule type="cellIs" dxfId="278" priority="1013" operator="lessThan">
      <formula>0</formula>
    </cfRule>
  </conditionalFormatting>
  <conditionalFormatting sqref="P78:AC78">
    <cfRule type="cellIs" dxfId="277" priority="62" operator="equal">
      <formula>0</formula>
    </cfRule>
    <cfRule type="containsText" dxfId="276" priority="102" operator="containsText" text="OK">
      <formula>NOT(ISERROR(SEARCH("OK",P78)))</formula>
    </cfRule>
    <cfRule type="containsText" dxfId="275" priority="103" operator="containsText" text="ERROR">
      <formula>NOT(ISERROR(SEARCH("ERROR",P78)))</formula>
    </cfRule>
  </conditionalFormatting>
  <conditionalFormatting sqref="P78:AD78">
    <cfRule type="cellIs" dxfId="274" priority="104" operator="equal">
      <formula>0</formula>
    </cfRule>
    <cfRule type="cellIs" dxfId="273" priority="105" operator="lessThan">
      <formula>0</formula>
    </cfRule>
  </conditionalFormatting>
  <conditionalFormatting sqref="Q352:Q359">
    <cfRule type="cellIs" dxfId="272" priority="1027" operator="equal">
      <formula>0</formula>
    </cfRule>
    <cfRule type="cellIs" dxfId="271" priority="1028" operator="lessThan">
      <formula>0</formula>
    </cfRule>
  </conditionalFormatting>
  <conditionalFormatting sqref="R97">
    <cfRule type="cellIs" dxfId="270" priority="997" operator="between">
      <formula>0</formula>
      <formula>$V$356</formula>
    </cfRule>
    <cfRule type="cellIs" dxfId="269" priority="998" operator="greaterThan">
      <formula>$V$356*3</formula>
    </cfRule>
    <cfRule type="cellIs" dxfId="268" priority="999" operator="between">
      <formula>$V$356</formula>
      <formula>$V$356*2.999</formula>
    </cfRule>
    <cfRule type="cellIs" dxfId="267" priority="1000" operator="lessThan">
      <formula>0</formula>
    </cfRule>
  </conditionalFormatting>
  <conditionalFormatting sqref="R71:W71">
    <cfRule type="cellIs" dxfId="266" priority="216" operator="equal">
      <formula>0</formula>
    </cfRule>
  </conditionalFormatting>
  <conditionalFormatting sqref="R74:W74">
    <cfRule type="cellIs" dxfId="265" priority="168" operator="equal">
      <formula>0</formula>
    </cfRule>
  </conditionalFormatting>
  <conditionalFormatting sqref="R69:AC69">
    <cfRule type="cellIs" dxfId="264" priority="525" operator="equal">
      <formula>0</formula>
    </cfRule>
  </conditionalFormatting>
  <conditionalFormatting sqref="R72:AC72">
    <cfRule type="cellIs" dxfId="263" priority="258" operator="equal">
      <formula>0</formula>
    </cfRule>
  </conditionalFormatting>
  <conditionalFormatting sqref="R75:AC75">
    <cfRule type="cellIs" dxfId="262" priority="116" operator="equal">
      <formula>0</formula>
    </cfRule>
  </conditionalFormatting>
  <conditionalFormatting sqref="R78:AC78">
    <cfRule type="cellIs" dxfId="261" priority="64" operator="equal">
      <formula>0</formula>
    </cfRule>
  </conditionalFormatting>
  <conditionalFormatting sqref="R94:AC94">
    <cfRule type="cellIs" dxfId="260" priority="717" operator="equal">
      <formula>0</formula>
    </cfRule>
  </conditionalFormatting>
  <conditionalFormatting sqref="S352:S355">
    <cfRule type="cellIs" dxfId="259" priority="1005" operator="equal">
      <formula>0</formula>
    </cfRule>
    <cfRule type="cellIs" dxfId="258" priority="1006" operator="lessThan">
      <formula>0</formula>
    </cfRule>
  </conditionalFormatting>
  <conditionalFormatting sqref="S352:S359 Z352:Z359">
    <cfRule type="cellIs" dxfId="257" priority="1025" operator="equal">
      <formula>0</formula>
    </cfRule>
    <cfRule type="cellIs" dxfId="256" priority="1026" operator="lessThan">
      <formula>0</formula>
    </cfRule>
  </conditionalFormatting>
  <conditionalFormatting sqref="S356:S357">
    <cfRule type="cellIs" dxfId="255" priority="1007" operator="lessThan">
      <formula>0.25</formula>
    </cfRule>
    <cfRule type="cellIs" dxfId="254" priority="1008" operator="greaterThanOrEqual">
      <formula>0.25</formula>
    </cfRule>
  </conditionalFormatting>
  <conditionalFormatting sqref="S358">
    <cfRule type="cellIs" dxfId="253" priority="1003" operator="equal">
      <formula>0</formula>
    </cfRule>
    <cfRule type="cellIs" dxfId="252" priority="1004" operator="lessThan">
      <formula>0</formula>
    </cfRule>
  </conditionalFormatting>
  <conditionalFormatting sqref="S359">
    <cfRule type="cellIs" dxfId="251" priority="1009" operator="greaterThan">
      <formula>3</formula>
    </cfRule>
    <cfRule type="cellIs" dxfId="250" priority="1010" operator="between">
      <formula>2</formula>
      <formula>2.999</formula>
    </cfRule>
    <cfRule type="cellIs" dxfId="249" priority="1011" operator="lessThan">
      <formula>2</formula>
    </cfRule>
  </conditionalFormatting>
  <conditionalFormatting sqref="U97">
    <cfRule type="cellIs" dxfId="248" priority="596" operator="greaterThan">
      <formula>3</formula>
    </cfRule>
    <cfRule type="cellIs" dxfId="247" priority="597" operator="between">
      <formula>2</formula>
      <formula>2.999</formula>
    </cfRule>
    <cfRule type="cellIs" dxfId="246" priority="598" operator="between">
      <formula>1</formula>
      <formula>1.999</formula>
    </cfRule>
    <cfRule type="cellIs" dxfId="245" priority="599" operator="lessThan">
      <formula>1</formula>
    </cfRule>
  </conditionalFormatting>
  <conditionalFormatting sqref="U334">
    <cfRule type="cellIs" dxfId="244" priority="1268" operator="lessThan">
      <formula>0</formula>
    </cfRule>
  </conditionalFormatting>
  <conditionalFormatting sqref="U334:V334">
    <cfRule type="cellIs" dxfId="243" priority="1267" operator="equal">
      <formula>0</formula>
    </cfRule>
  </conditionalFormatting>
  <conditionalFormatting sqref="V333">
    <cfRule type="cellIs" dxfId="242" priority="1507" operator="equal">
      <formula>0</formula>
    </cfRule>
  </conditionalFormatting>
  <conditionalFormatting sqref="V333:V334">
    <cfRule type="cellIs" dxfId="241" priority="1508" operator="lessThan">
      <formula>0</formula>
    </cfRule>
  </conditionalFormatting>
  <conditionalFormatting sqref="V335:V349 V351">
    <cfRule type="containsText" dxfId="240" priority="1472" operator="containsText" text="wrong">
      <formula>NOT(ISERROR(SEARCH("wrong",V335)))</formula>
    </cfRule>
  </conditionalFormatting>
  <conditionalFormatting sqref="V353:V359">
    <cfRule type="cellIs" dxfId="239" priority="1023" operator="equal">
      <formula>0</formula>
    </cfRule>
    <cfRule type="cellIs" dxfId="238" priority="1024" operator="lessThan">
      <formula>0</formula>
    </cfRule>
  </conditionalFormatting>
  <conditionalFormatting sqref="W35:AA35">
    <cfRule type="containsText" dxfId="237" priority="881" operator="containsText" text="OK">
      <formula>NOT(ISERROR(SEARCH("OK",W35)))</formula>
    </cfRule>
    <cfRule type="containsText" dxfId="236" priority="882" operator="containsText" text="ERROR">
      <formula>NOT(ISERROR(SEARCH("ERROR",W35)))</formula>
    </cfRule>
    <cfRule type="cellIs" dxfId="235" priority="883" operator="equal">
      <formula>0</formula>
    </cfRule>
  </conditionalFormatting>
  <conditionalFormatting sqref="W37:AA37">
    <cfRule type="containsText" dxfId="234" priority="875" operator="containsText" text="OK">
      <formula>NOT(ISERROR(SEARCH("OK",W37)))</formula>
    </cfRule>
    <cfRule type="containsText" dxfId="233" priority="876" operator="containsText" text="ERROR">
      <formula>NOT(ISERROR(SEARCH("ERROR",W37)))</formula>
    </cfRule>
    <cfRule type="containsText" dxfId="232" priority="877" operator="containsText" text="OK">
      <formula>NOT(ISERROR(SEARCH("OK",W37)))</formula>
    </cfRule>
    <cfRule type="containsText" dxfId="231" priority="878" operator="containsText" text="ERROR">
      <formula>NOT(ISERROR(SEARCH("ERROR",W37)))</formula>
    </cfRule>
  </conditionalFormatting>
  <conditionalFormatting sqref="W88:AA88">
    <cfRule type="containsText" dxfId="230" priority="775" operator="containsText" text="OK">
      <formula>NOT(ISERROR(SEARCH("OK",W88)))</formula>
    </cfRule>
    <cfRule type="containsText" dxfId="229" priority="776" operator="containsText" text="ERROR">
      <formula>NOT(ISERROR(SEARCH("ERROR",W88)))</formula>
    </cfRule>
    <cfRule type="cellIs" dxfId="228" priority="777" operator="equal">
      <formula>0</formula>
    </cfRule>
  </conditionalFormatting>
  <conditionalFormatting sqref="W89:AA89 W97:AA103">
    <cfRule type="containsText" dxfId="227" priority="885" operator="containsText" text="OK">
      <formula>NOT(ISERROR(SEARCH("OK",W89)))</formula>
    </cfRule>
    <cfRule type="containsText" dxfId="226" priority="886" operator="containsText" text="ERROR">
      <formula>NOT(ISERROR(SEARCH("ERROR",W89)))</formula>
    </cfRule>
    <cfRule type="cellIs" dxfId="225" priority="887" operator="equal">
      <formula>0</formula>
    </cfRule>
  </conditionalFormatting>
  <conditionalFormatting sqref="W379:AA381">
    <cfRule type="containsText" dxfId="224" priority="1045" operator="containsText" text="OK">
      <formula>NOT(ISERROR(SEARCH("OK",W379)))</formula>
    </cfRule>
    <cfRule type="containsText" dxfId="223" priority="1046" operator="containsText" text="ERROR">
      <formula>NOT(ISERROR(SEARCH("ERROR",W379)))</formula>
    </cfRule>
  </conditionalFormatting>
  <conditionalFormatting sqref="W380:AA381">
    <cfRule type="cellIs" dxfId="222" priority="1051" operator="equal">
      <formula>0</formula>
    </cfRule>
    <cfRule type="cellIs" dxfId="221" priority="1052" operator="lessThan">
      <formula>0</formula>
    </cfRule>
  </conditionalFormatting>
  <conditionalFormatting sqref="W391:AA391">
    <cfRule type="containsText" dxfId="220" priority="1175" operator="containsText" text="OK">
      <formula>NOT(ISERROR(SEARCH("OK",W391)))</formula>
    </cfRule>
    <cfRule type="containsText" dxfId="219" priority="1176" operator="containsText" text="ERROR">
      <formula>NOT(ISERROR(SEARCH("ERROR",W391)))</formula>
    </cfRule>
    <cfRule type="cellIs" dxfId="218" priority="1177" operator="equal">
      <formula>0</formula>
    </cfRule>
  </conditionalFormatting>
  <conditionalFormatting sqref="W393:AA393">
    <cfRule type="containsText" dxfId="217" priority="1169" operator="containsText" text="OK">
      <formula>NOT(ISERROR(SEARCH("OK",W393)))</formula>
    </cfRule>
    <cfRule type="containsText" dxfId="216" priority="1170" operator="containsText" text="ERROR">
      <formula>NOT(ISERROR(SEARCH("ERROR",W393)))</formula>
    </cfRule>
    <cfRule type="containsText" dxfId="215" priority="1171" operator="containsText" text="OK">
      <formula>NOT(ISERROR(SEARCH("OK",W393)))</formula>
    </cfRule>
    <cfRule type="containsText" dxfId="214" priority="1172" operator="containsText" text="ERROR">
      <formula>NOT(ISERROR(SEARCH("ERROR",W393)))</formula>
    </cfRule>
  </conditionalFormatting>
  <conditionalFormatting sqref="W35:AB35">
    <cfRule type="cellIs" dxfId="213" priority="865" operator="lessThan">
      <formula>0</formula>
    </cfRule>
  </conditionalFormatting>
  <conditionalFormatting sqref="W37:AB37">
    <cfRule type="cellIs" dxfId="212" priority="860" operator="equal">
      <formula>0</formula>
    </cfRule>
    <cfRule type="cellIs" dxfId="211" priority="861" operator="lessThan">
      <formula>0</formula>
    </cfRule>
  </conditionalFormatting>
  <conditionalFormatting sqref="W52:AB65">
    <cfRule type="cellIs" dxfId="210" priority="866" operator="equal">
      <formula>0</formula>
    </cfRule>
  </conditionalFormatting>
  <conditionalFormatting sqref="W63:AB64">
    <cfRule type="containsText" dxfId="209" priority="871" operator="containsText" text="OK">
      <formula>NOT(ISERROR(SEARCH("OK",W63)))</formula>
    </cfRule>
    <cfRule type="containsText" dxfId="208" priority="872" operator="containsText" text="ERROR">
      <formula>NOT(ISERROR(SEARCH("ERROR",W63)))</formula>
    </cfRule>
  </conditionalFormatting>
  <conditionalFormatting sqref="W73:AB73">
    <cfRule type="cellIs" dxfId="207" priority="136" operator="equal">
      <formula>0</formula>
    </cfRule>
    <cfRule type="cellIs" dxfId="206" priority="137" operator="lessThan">
      <formula>0</formula>
    </cfRule>
  </conditionalFormatting>
  <conditionalFormatting sqref="W88:AB88">
    <cfRule type="cellIs" dxfId="205" priority="774" operator="lessThan">
      <formula>0</formula>
    </cfRule>
  </conditionalFormatting>
  <conditionalFormatting sqref="W89:AB89 W97:AB103 W275:AB275">
    <cfRule type="cellIs" dxfId="204" priority="870" operator="lessThan">
      <formula>0</formula>
    </cfRule>
  </conditionalFormatting>
  <conditionalFormatting sqref="W101:AB101">
    <cfRule type="cellIs" dxfId="203" priority="753" operator="lessThan">
      <formula>0</formula>
    </cfRule>
  </conditionalFormatting>
  <conditionalFormatting sqref="W246:AB250">
    <cfRule type="cellIs" dxfId="202" priority="854" operator="equal">
      <formula>0</formula>
    </cfRule>
    <cfRule type="cellIs" dxfId="201" priority="855" operator="lessThan">
      <formula>0</formula>
    </cfRule>
  </conditionalFormatting>
  <conditionalFormatting sqref="W275:AB277">
    <cfRule type="cellIs" dxfId="200" priority="589" operator="equal">
      <formula>0</formula>
    </cfRule>
  </conditionalFormatting>
  <conditionalFormatting sqref="W391:AB391">
    <cfRule type="cellIs" dxfId="199" priority="1166" operator="lessThan">
      <formula>0</formula>
    </cfRule>
  </conditionalFormatting>
  <conditionalFormatting sqref="W393:AB393">
    <cfRule type="cellIs" dxfId="198" priority="1161" operator="equal">
      <formula>0</formula>
    </cfRule>
    <cfRule type="cellIs" dxfId="197" priority="1162" operator="lessThan">
      <formula>0</formula>
    </cfRule>
  </conditionalFormatting>
  <conditionalFormatting sqref="W18:AC20 W53:AC62 AC89 AC97:AC103 J114:AC114">
    <cfRule type="containsText" dxfId="196" priority="847" operator="containsText" text="ERROR">
      <formula>NOT(ISERROR(SEARCH("ERROR",J18)))</formula>
    </cfRule>
  </conditionalFormatting>
  <conditionalFormatting sqref="W18:AC21 W52:AC64 AB89:AC89 AB97:AC103 W114:AC114 W170:AC170 W32:AC32 W198:AC199 W208:AC210 W212:AC225 W256:AC257 W319:AC323 W325:AC325">
    <cfRule type="cellIs" dxfId="195" priority="849" operator="lessThan">
      <formula>0</formula>
    </cfRule>
  </conditionalFormatting>
  <conditionalFormatting sqref="W18:AC21 AC52:AC64 AC89 AC97:AC103 W114:AC114 W212:AC225 W170:AC170 W32:AC32 W198:AC199 W208:AC210 W256:AC257 W319:AC323 W325:AC325 W327:AC328 W330:AC349">
    <cfRule type="cellIs" dxfId="194" priority="848" operator="equal">
      <formula>0</formula>
    </cfRule>
  </conditionalFormatting>
  <conditionalFormatting sqref="W21:AC21">
    <cfRule type="containsText" dxfId="193" priority="850" operator="containsText" text="OK">
      <formula>NOT(ISERROR(SEARCH("OK",W21)))</formula>
    </cfRule>
    <cfRule type="containsText" dxfId="192" priority="851" operator="containsText" text="ERROR">
      <formula>NOT(ISERROR(SEARCH("ERROR",W21)))</formula>
    </cfRule>
  </conditionalFormatting>
  <conditionalFormatting sqref="W22:AC22">
    <cfRule type="cellIs" dxfId="191" priority="494" operator="equal">
      <formula>0</formula>
    </cfRule>
    <cfRule type="cellIs" dxfId="190" priority="495" operator="lessThan">
      <formula>0</formula>
    </cfRule>
    <cfRule type="containsText" dxfId="189" priority="496" operator="containsText" text="OK">
      <formula>NOT(ISERROR(SEARCH("OK",W22)))</formula>
    </cfRule>
    <cfRule type="containsText" dxfId="188" priority="497" operator="containsText" text="ERROR">
      <formula>NOT(ISERROR(SEARCH("ERROR",W22)))</formula>
    </cfRule>
  </conditionalFormatting>
  <conditionalFormatting sqref="W23:AC23">
    <cfRule type="containsText" dxfId="187" priority="484" operator="containsText" text="OK">
      <formula>NOT(ISERROR(SEARCH("OK",W23)))</formula>
    </cfRule>
    <cfRule type="containsText" dxfId="186" priority="485" operator="containsText" text="ERROR">
      <formula>NOT(ISERROR(SEARCH("ERROR",W23)))</formula>
    </cfRule>
  </conditionalFormatting>
  <conditionalFormatting sqref="W24:AC26">
    <cfRule type="containsText" dxfId="185" priority="29" operator="containsText" text="OK">
      <formula>NOT(ISERROR(SEARCH("OK",W24)))</formula>
    </cfRule>
    <cfRule type="containsText" dxfId="184" priority="30" operator="containsText" text="ERROR">
      <formula>NOT(ISERROR(SEARCH("ERROR",W24)))</formula>
    </cfRule>
    <cfRule type="cellIs" dxfId="183" priority="31" operator="equal">
      <formula>0</formula>
    </cfRule>
    <cfRule type="cellIs" dxfId="182" priority="32" operator="lessThan">
      <formula>0</formula>
    </cfRule>
  </conditionalFormatting>
  <conditionalFormatting sqref="W65:AC65">
    <cfRule type="containsText" dxfId="181" priority="838" operator="containsText" text="OK">
      <formula>NOT(ISERROR(SEARCH("OK",W65)))</formula>
    </cfRule>
    <cfRule type="containsText" dxfId="180" priority="839" operator="containsText" text="ERROR">
      <formula>NOT(ISERROR(SEARCH("ERROR",W65)))</formula>
    </cfRule>
  </conditionalFormatting>
  <conditionalFormatting sqref="W70:AC70">
    <cfRule type="cellIs" dxfId="179" priority="604" operator="equal">
      <formula>0</formula>
    </cfRule>
    <cfRule type="cellIs" dxfId="178" priority="605" operator="lessThan">
      <formula>0</formula>
    </cfRule>
  </conditionalFormatting>
  <conditionalFormatting sqref="W97:AC103">
    <cfRule type="cellIs" dxfId="177" priority="845" operator="equal">
      <formula>0</formula>
    </cfRule>
  </conditionalFormatting>
  <conditionalFormatting sqref="W101:AC101">
    <cfRule type="containsText" dxfId="176" priority="749" operator="containsText" text="OK">
      <formula>NOT(ISERROR(SEARCH("OK",W101)))</formula>
    </cfRule>
    <cfRule type="containsText" dxfId="175" priority="750" operator="containsText" text="ERROR">
      <formula>NOT(ISERROR(SEARCH("ERROR",W101)))</formula>
    </cfRule>
  </conditionalFormatting>
  <conditionalFormatting sqref="W138:AC138">
    <cfRule type="cellIs" dxfId="174" priority="452" operator="equal">
      <formula>0</formula>
    </cfRule>
    <cfRule type="cellIs" dxfId="173" priority="453" operator="lessThan">
      <formula>0</formula>
    </cfRule>
  </conditionalFormatting>
  <conditionalFormatting sqref="W153:AC155">
    <cfRule type="containsText" dxfId="172" priority="338" operator="containsText" text="OK">
      <formula>NOT(ISERROR(SEARCH("OK",W153)))</formula>
    </cfRule>
    <cfRule type="containsText" dxfId="171" priority="339" operator="containsText" text="ERROR">
      <formula>NOT(ISERROR(SEARCH("ERROR",W153)))</formula>
    </cfRule>
    <cfRule type="cellIs" dxfId="170" priority="340" operator="equal">
      <formula>0</formula>
    </cfRule>
    <cfRule type="cellIs" dxfId="169" priority="341" operator="lessThan">
      <formula>0</formula>
    </cfRule>
  </conditionalFormatting>
  <conditionalFormatting sqref="W227:AC240">
    <cfRule type="cellIs" dxfId="168" priority="557" operator="lessThan">
      <formula>0</formula>
    </cfRule>
  </conditionalFormatting>
  <conditionalFormatting sqref="W227:AC243">
    <cfRule type="cellIs" dxfId="167" priority="544" operator="equal">
      <formula>0</formula>
    </cfRule>
  </conditionalFormatting>
  <conditionalFormatting sqref="W259:AC268">
    <cfRule type="cellIs" dxfId="166" priority="532" operator="equal">
      <formula>0</formula>
    </cfRule>
    <cfRule type="cellIs" dxfId="165" priority="533" operator="lessThan">
      <formula>0</formula>
    </cfRule>
  </conditionalFormatting>
  <conditionalFormatting sqref="W277:AC277">
    <cfRule type="cellIs" dxfId="164" priority="588" operator="lessThan">
      <formula>0</formula>
    </cfRule>
  </conditionalFormatting>
  <conditionalFormatting sqref="W306:AC306">
    <cfRule type="cellIs" dxfId="163" priority="585" operator="equal">
      <formula>0</formula>
    </cfRule>
    <cfRule type="cellIs" dxfId="162" priority="586" operator="lessThan">
      <formula>0</formula>
    </cfRule>
  </conditionalFormatting>
  <conditionalFormatting sqref="W311:AC317">
    <cfRule type="cellIs" dxfId="161" priority="816" operator="equal">
      <formula>0</formula>
    </cfRule>
    <cfRule type="cellIs" dxfId="160" priority="817" operator="lessThan">
      <formula>0</formula>
    </cfRule>
  </conditionalFormatting>
  <conditionalFormatting sqref="W327:AC349">
    <cfRule type="cellIs" dxfId="159" priority="842" operator="lessThan">
      <formula>0</formula>
    </cfRule>
  </conditionalFormatting>
  <conditionalFormatting sqref="W351:AC351">
    <cfRule type="cellIs" dxfId="158" priority="1436" operator="equal">
      <formula>0</formula>
    </cfRule>
    <cfRule type="cellIs" dxfId="157" priority="1437" operator="lessThan">
      <formula>0</formula>
    </cfRule>
  </conditionalFormatting>
  <conditionalFormatting sqref="W360:AC360 W865:AC1048576">
    <cfRule type="cellIs" dxfId="156" priority="1438" operator="equal">
      <formula>0</formula>
    </cfRule>
    <cfRule type="cellIs" dxfId="155" priority="1439" operator="lessThan">
      <formula>0</formula>
    </cfRule>
  </conditionalFormatting>
  <conditionalFormatting sqref="W362:AC362">
    <cfRule type="cellIs" dxfId="154" priority="1032" operator="equal">
      <formula>0</formula>
    </cfRule>
    <cfRule type="cellIs" dxfId="153" priority="1033" operator="lessThan">
      <formula>0</formula>
    </cfRule>
  </conditionalFormatting>
  <conditionalFormatting sqref="W374:AC376">
    <cfRule type="containsText" dxfId="152" priority="1151" operator="containsText" text="OK">
      <formula>NOT(ISERROR(SEARCH("OK",W374)))</formula>
    </cfRule>
    <cfRule type="containsText" dxfId="151" priority="1152" operator="containsText" text="ERROR">
      <formula>NOT(ISERROR(SEARCH("ERROR",W374)))</formula>
    </cfRule>
  </conditionalFormatting>
  <conditionalFormatting sqref="W374:AC377 W388:AC388">
    <cfRule type="cellIs" dxfId="150" priority="1153" operator="equal">
      <formula>0</formula>
    </cfRule>
    <cfRule type="cellIs" dxfId="149" priority="1154" operator="lessThan">
      <formula>0</formula>
    </cfRule>
  </conditionalFormatting>
  <conditionalFormatting sqref="W377:AC377">
    <cfRule type="containsText" dxfId="148" priority="1155" operator="containsText" text="OK">
      <formula>NOT(ISERROR(SEARCH("OK",W377)))</formula>
    </cfRule>
    <cfRule type="containsText" dxfId="147" priority="1156" operator="containsText" text="ERROR">
      <formula>NOT(ISERROR(SEARCH("ERROR",W377)))</formula>
    </cfRule>
  </conditionalFormatting>
  <conditionalFormatting sqref="W378:AC378">
    <cfRule type="cellIs" dxfId="146" priority="1059" operator="equal">
      <formula>0</formula>
    </cfRule>
    <cfRule type="cellIs" dxfId="145" priority="1060" operator="lessThan">
      <formula>0</formula>
    </cfRule>
    <cfRule type="containsText" dxfId="144" priority="1061" operator="containsText" text="OK">
      <formula>NOT(ISERROR(SEARCH("OK",W378)))</formula>
    </cfRule>
    <cfRule type="containsText" dxfId="143" priority="1062" operator="containsText" text="ERROR">
      <formula>NOT(ISERROR(SEARCH("ERROR",W378)))</formula>
    </cfRule>
  </conditionalFormatting>
  <conditionalFormatting sqref="W382:AC382">
    <cfRule type="containsText" dxfId="142" priority="1127" operator="containsText" text="OK">
      <formula>NOT(ISERROR(SEARCH("OK",W382)))</formula>
    </cfRule>
    <cfRule type="containsText" dxfId="141" priority="1128" operator="containsText" text="ERROR">
      <formula>NOT(ISERROR(SEARCH("ERROR",W382)))</formula>
    </cfRule>
    <cfRule type="cellIs" dxfId="140" priority="1129" operator="equal">
      <formula>0</formula>
    </cfRule>
    <cfRule type="cellIs" dxfId="139" priority="1130" operator="lessThan">
      <formula>0</formula>
    </cfRule>
  </conditionalFormatting>
  <conditionalFormatting sqref="W407:AC407">
    <cfRule type="cellIs" dxfId="138" priority="47" operator="equal">
      <formula>0</formula>
    </cfRule>
    <cfRule type="cellIs" dxfId="137" priority="48" operator="lessThan">
      <formula>0</formula>
    </cfRule>
  </conditionalFormatting>
  <conditionalFormatting sqref="W455:AC455">
    <cfRule type="cellIs" dxfId="136" priority="54" operator="equal">
      <formula>0</formula>
    </cfRule>
    <cfRule type="cellIs" dxfId="135" priority="55" operator="lessThan">
      <formula>0</formula>
    </cfRule>
  </conditionalFormatting>
  <conditionalFormatting sqref="W101:AD101">
    <cfRule type="cellIs" dxfId="134" priority="751" operator="equal">
      <formula>0</formula>
    </cfRule>
  </conditionalFormatting>
  <conditionalFormatting sqref="X71:AA71">
    <cfRule type="containsText" dxfId="133" priority="252" operator="containsText" text="OK">
      <formula>NOT(ISERROR(SEARCH("OK",X71)))</formula>
    </cfRule>
    <cfRule type="containsText" dxfId="132" priority="253" operator="containsText" text="ERROR">
      <formula>NOT(ISERROR(SEARCH("ERROR",X71)))</formula>
    </cfRule>
    <cfRule type="containsText" dxfId="131" priority="254" operator="containsText" text="OK">
      <formula>NOT(ISERROR(SEARCH("OK",X71)))</formula>
    </cfRule>
    <cfRule type="containsText" dxfId="130" priority="255" operator="containsText" text="ERROR">
      <formula>NOT(ISERROR(SEARCH("ERROR",X71)))</formula>
    </cfRule>
    <cfRule type="cellIs" dxfId="129" priority="256" operator="equal">
      <formula>0</formula>
    </cfRule>
    <cfRule type="cellIs" dxfId="128" priority="257" operator="lessThan">
      <formula>0</formula>
    </cfRule>
  </conditionalFormatting>
  <conditionalFormatting sqref="X74:AA74">
    <cfRule type="containsText" dxfId="127" priority="162" operator="containsText" text="OK">
      <formula>NOT(ISERROR(SEARCH("OK",X74)))</formula>
    </cfRule>
    <cfRule type="containsText" dxfId="126" priority="163" operator="containsText" text="ERROR">
      <formula>NOT(ISERROR(SEARCH("ERROR",X74)))</formula>
    </cfRule>
    <cfRule type="containsText" dxfId="125" priority="164" operator="containsText" text="OK">
      <formula>NOT(ISERROR(SEARCH("OK",X74)))</formula>
    </cfRule>
    <cfRule type="containsText" dxfId="124" priority="165" operator="containsText" text="ERROR">
      <formula>NOT(ISERROR(SEARCH("ERROR",X74)))</formula>
    </cfRule>
  </conditionalFormatting>
  <conditionalFormatting sqref="X71:AB71">
    <cfRule type="cellIs" dxfId="123" priority="248" operator="equal">
      <formula>0</formula>
    </cfRule>
    <cfRule type="cellIs" dxfId="122" priority="249" operator="lessThan">
      <formula>0</formula>
    </cfRule>
  </conditionalFormatting>
  <conditionalFormatting sqref="X74:AB74">
    <cfRule type="cellIs" dxfId="121" priority="158" operator="equal">
      <formula>0</formula>
    </cfRule>
    <cfRule type="cellIs" dxfId="120" priority="159" operator="lessThan">
      <formula>0</formula>
    </cfRule>
  </conditionalFormatting>
  <conditionalFormatting sqref="X259:AC259">
    <cfRule type="cellIs" dxfId="119" priority="808" operator="equal">
      <formula>0</formula>
    </cfRule>
    <cfRule type="cellIs" dxfId="118" priority="809" operator="lessThan">
      <formula>0</formula>
    </cfRule>
  </conditionalFormatting>
  <conditionalFormatting sqref="Y352:Y355">
    <cfRule type="cellIs" dxfId="117" priority="1016" operator="equal">
      <formula>0</formula>
    </cfRule>
    <cfRule type="cellIs" dxfId="116" priority="1017" operator="lessThan">
      <formula>0</formula>
    </cfRule>
  </conditionalFormatting>
  <conditionalFormatting sqref="Y356:Y357">
    <cfRule type="cellIs" dxfId="115" priority="1018" operator="lessThan">
      <formula>0.25</formula>
    </cfRule>
    <cfRule type="cellIs" dxfId="114" priority="1019" operator="greaterThanOrEqual">
      <formula>0.25</formula>
    </cfRule>
  </conditionalFormatting>
  <conditionalFormatting sqref="Y358">
    <cfRule type="cellIs" dxfId="113" priority="1014" operator="equal">
      <formula>0</formula>
    </cfRule>
    <cfRule type="cellIs" dxfId="112" priority="1015" operator="lessThan">
      <formula>0</formula>
    </cfRule>
  </conditionalFormatting>
  <conditionalFormatting sqref="Y359">
    <cfRule type="cellIs" dxfId="111" priority="1020" operator="greaterThan">
      <formula>3</formula>
    </cfRule>
    <cfRule type="cellIs" dxfId="110" priority="1021" operator="between">
      <formula>2</formula>
      <formula>2.999</formula>
    </cfRule>
    <cfRule type="cellIs" dxfId="109" priority="1022" operator="lessThan">
      <formula>2</formula>
    </cfRule>
  </conditionalFormatting>
  <conditionalFormatting sqref="AB35">
    <cfRule type="containsText" dxfId="108" priority="862" operator="containsText" text="OK">
      <formula>NOT(ISERROR(SEARCH("OK",AB35)))</formula>
    </cfRule>
    <cfRule type="containsText" dxfId="107" priority="863" operator="containsText" text="ERROR">
      <formula>NOT(ISERROR(SEARCH("ERROR",AB35)))</formula>
    </cfRule>
    <cfRule type="cellIs" dxfId="106" priority="864" operator="equal">
      <formula>0</formula>
    </cfRule>
  </conditionalFormatting>
  <conditionalFormatting sqref="AB37">
    <cfRule type="containsText" dxfId="105" priority="856" operator="containsText" text="OK">
      <formula>NOT(ISERROR(SEARCH("OK",AB37)))</formula>
    </cfRule>
    <cfRule type="containsText" dxfId="104" priority="857" operator="containsText" text="ERROR">
      <formula>NOT(ISERROR(SEARCH("ERROR",AB37)))</formula>
    </cfRule>
    <cfRule type="containsText" dxfId="103" priority="858" operator="containsText" text="OK">
      <formula>NOT(ISERROR(SEARCH("OK",AB37)))</formula>
    </cfRule>
    <cfRule type="containsText" dxfId="102" priority="859" operator="containsText" text="ERROR">
      <formula>NOT(ISERROR(SEARCH("ERROR",AB37)))</formula>
    </cfRule>
  </conditionalFormatting>
  <conditionalFormatting sqref="AB71">
    <cfRule type="containsText" dxfId="101" priority="244" operator="containsText" text="OK">
      <formula>NOT(ISERROR(SEARCH("OK",AB71)))</formula>
    </cfRule>
    <cfRule type="containsText" dxfId="100" priority="245" operator="containsText" text="ERROR">
      <formula>NOT(ISERROR(SEARCH("ERROR",AB71)))</formula>
    </cfRule>
    <cfRule type="containsText" dxfId="99" priority="246" operator="containsText" text="OK">
      <formula>NOT(ISERROR(SEARCH("OK",AB71)))</formula>
    </cfRule>
    <cfRule type="containsText" dxfId="98" priority="247" operator="containsText" text="ERROR">
      <formula>NOT(ISERROR(SEARCH("ERROR",AB71)))</formula>
    </cfRule>
  </conditionalFormatting>
  <conditionalFormatting sqref="AB74">
    <cfRule type="containsText" dxfId="97" priority="154" operator="containsText" text="OK">
      <formula>NOT(ISERROR(SEARCH("OK",AB74)))</formula>
    </cfRule>
    <cfRule type="containsText" dxfId="96" priority="155" operator="containsText" text="ERROR">
      <formula>NOT(ISERROR(SEARCH("ERROR",AB74)))</formula>
    </cfRule>
    <cfRule type="containsText" dxfId="95" priority="156" operator="containsText" text="OK">
      <formula>NOT(ISERROR(SEARCH("OK",AB74)))</formula>
    </cfRule>
    <cfRule type="containsText" dxfId="94" priority="157" operator="containsText" text="ERROR">
      <formula>NOT(ISERROR(SEARCH("ERROR",AB74)))</formula>
    </cfRule>
  </conditionalFormatting>
  <conditionalFormatting sqref="AB89 AB97:AB103">
    <cfRule type="containsText" dxfId="93" priority="867" operator="containsText" text="OK">
      <formula>NOT(ISERROR(SEARCH("OK",AB89)))</formula>
    </cfRule>
    <cfRule type="containsText" dxfId="92" priority="868" operator="containsText" text="ERROR">
      <formula>NOT(ISERROR(SEARCH("ERROR",AB89)))</formula>
    </cfRule>
    <cfRule type="cellIs" dxfId="91" priority="869" operator="equal">
      <formula>0</formula>
    </cfRule>
  </conditionalFormatting>
  <conditionalFormatting sqref="AB391">
    <cfRule type="containsText" dxfId="90" priority="1163" operator="containsText" text="OK">
      <formula>NOT(ISERROR(SEARCH("OK",AB391)))</formula>
    </cfRule>
    <cfRule type="containsText" dxfId="89" priority="1164" operator="containsText" text="ERROR">
      <formula>NOT(ISERROR(SEARCH("ERROR",AB391)))</formula>
    </cfRule>
    <cfRule type="cellIs" dxfId="88" priority="1165" operator="equal">
      <formula>0</formula>
    </cfRule>
  </conditionalFormatting>
  <conditionalFormatting sqref="AB393">
    <cfRule type="containsText" dxfId="87" priority="1157" operator="containsText" text="OK">
      <formula>NOT(ISERROR(SEARCH("OK",AB393)))</formula>
    </cfRule>
    <cfRule type="containsText" dxfId="86" priority="1158" operator="containsText" text="ERROR">
      <formula>NOT(ISERROR(SEARCH("ERROR",AB393)))</formula>
    </cfRule>
    <cfRule type="containsText" dxfId="85" priority="1159" operator="containsText" text="OK">
      <formula>NOT(ISERROR(SEARCH("OK",AB393)))</formula>
    </cfRule>
    <cfRule type="containsText" dxfId="84" priority="1160" operator="containsText" text="ERROR">
      <formula>NOT(ISERROR(SEARCH("ERROR",AB393)))</formula>
    </cfRule>
  </conditionalFormatting>
  <conditionalFormatting sqref="AB23:AC23">
    <cfRule type="cellIs" dxfId="83" priority="818" operator="equal">
      <formula>0</formula>
    </cfRule>
    <cfRule type="cellIs" dxfId="82" priority="819" operator="lessThan">
      <formula>0</formula>
    </cfRule>
    <cfRule type="containsText" dxfId="81" priority="820" operator="containsText" text="OK">
      <formula>NOT(ISERROR(SEARCH("OK",AB23)))</formula>
    </cfRule>
    <cfRule type="containsText" dxfId="80" priority="821" operator="containsText" text="ERROR">
      <formula>NOT(ISERROR(SEARCH("ERROR",AB23)))</formula>
    </cfRule>
  </conditionalFormatting>
  <conditionalFormatting sqref="AB24:AC25">
    <cfRule type="containsText" dxfId="79" priority="43" operator="containsText" text="OK">
      <formula>NOT(ISERROR(SEARCH("OK",AB24)))</formula>
    </cfRule>
    <cfRule type="containsText" dxfId="78" priority="44" operator="containsText" text="ERROR">
      <formula>NOT(ISERROR(SEARCH("ERROR",AB24)))</formula>
    </cfRule>
  </conditionalFormatting>
  <conditionalFormatting sqref="AB35:AC35">
    <cfRule type="cellIs" dxfId="77" priority="835" operator="lessThan">
      <formula>0</formula>
    </cfRule>
  </conditionalFormatting>
  <conditionalFormatting sqref="AB71:AC71">
    <cfRule type="cellIs" dxfId="76" priority="240" operator="equal">
      <formula>0</formula>
    </cfRule>
    <cfRule type="cellIs" dxfId="75" priority="241" operator="lessThan">
      <formula>0</formula>
    </cfRule>
  </conditionalFormatting>
  <conditionalFormatting sqref="AB74:AC74">
    <cfRule type="cellIs" dxfId="74" priority="150" operator="equal">
      <formula>0</formula>
    </cfRule>
    <cfRule type="cellIs" dxfId="73" priority="151" operator="lessThan">
      <formula>0</formula>
    </cfRule>
  </conditionalFormatting>
  <conditionalFormatting sqref="AB88:AC88">
    <cfRule type="cellIs" dxfId="72" priority="769" operator="lessThan">
      <formula>0</formula>
    </cfRule>
    <cfRule type="containsText" dxfId="71" priority="770" operator="containsText" text="OK">
      <formula>NOT(ISERROR(SEARCH("OK",AB88)))</formula>
    </cfRule>
    <cfRule type="containsText" dxfId="70" priority="771" operator="containsText" text="ERROR">
      <formula>NOT(ISERROR(SEARCH("ERROR",AB88)))</formula>
    </cfRule>
    <cfRule type="cellIs" dxfId="69" priority="772" operator="equal">
      <formula>0</formula>
    </cfRule>
  </conditionalFormatting>
  <conditionalFormatting sqref="AB379:AC381">
    <cfRule type="cellIs" dxfId="68" priority="1133" operator="equal">
      <formula>0</formula>
    </cfRule>
    <cfRule type="cellIs" dxfId="67" priority="1134" operator="lessThan">
      <formula>0</formula>
    </cfRule>
    <cfRule type="containsText" dxfId="66" priority="1135" operator="containsText" text="OK">
      <formula>NOT(ISERROR(SEARCH("OK",AB379)))</formula>
    </cfRule>
    <cfRule type="containsText" dxfId="65" priority="1136" operator="containsText" text="ERROR">
      <formula>NOT(ISERROR(SEARCH("ERROR",AB379)))</formula>
    </cfRule>
  </conditionalFormatting>
  <conditionalFormatting sqref="AB379:AC382">
    <cfRule type="containsText" dxfId="64" priority="1131" operator="containsText" text="OK">
      <formula>NOT(ISERROR(SEARCH("OK",AB379)))</formula>
    </cfRule>
    <cfRule type="containsText" dxfId="63" priority="1132" operator="containsText" text="ERROR">
      <formula>NOT(ISERROR(SEARCH("ERROR",AB379)))</formula>
    </cfRule>
  </conditionalFormatting>
  <conditionalFormatting sqref="AB391:AC391">
    <cfRule type="cellIs" dxfId="62" priority="1150" operator="lessThan">
      <formula>0</formula>
    </cfRule>
  </conditionalFormatting>
  <conditionalFormatting sqref="AB393:AC393">
    <cfRule type="cellIs" dxfId="61" priority="1143" operator="equal">
      <formula>0</formula>
    </cfRule>
    <cfRule type="cellIs" dxfId="60" priority="1144" operator="lessThan">
      <formula>0</formula>
    </cfRule>
  </conditionalFormatting>
  <conditionalFormatting sqref="AB37:XFD37">
    <cfRule type="cellIs" dxfId="59" priority="828" operator="equal">
      <formula>0</formula>
    </cfRule>
    <cfRule type="cellIs" dxfId="58" priority="829" operator="lessThan">
      <formula>0</formula>
    </cfRule>
  </conditionalFormatting>
  <conditionalFormatting sqref="AC35">
    <cfRule type="cellIs" dxfId="57" priority="831" operator="lessThan">
      <formula>0</formula>
    </cfRule>
    <cfRule type="containsText" dxfId="56" priority="832" operator="containsText" text="OK">
      <formula>NOT(ISERROR(SEARCH("OK",AC35)))</formula>
    </cfRule>
    <cfRule type="containsText" dxfId="55" priority="833" operator="containsText" text="ERROR">
      <formula>NOT(ISERROR(SEARCH("ERROR",AC35)))</formula>
    </cfRule>
    <cfRule type="cellIs" dxfId="54" priority="834" operator="equal">
      <formula>0</formula>
    </cfRule>
  </conditionalFormatting>
  <conditionalFormatting sqref="AC37">
    <cfRule type="cellIs" dxfId="53" priority="822" operator="equal">
      <formula>0</formula>
    </cfRule>
    <cfRule type="cellIs" dxfId="52" priority="823" operator="lessThan">
      <formula>0</formula>
    </cfRule>
    <cfRule type="containsText" dxfId="51" priority="824" operator="containsText" text="OK">
      <formula>NOT(ISERROR(SEARCH("OK",AC37)))</formula>
    </cfRule>
    <cfRule type="containsText" dxfId="50" priority="825" operator="containsText" text="ERROR">
      <formula>NOT(ISERROR(SEARCH("ERROR",AC37)))</formula>
    </cfRule>
    <cfRule type="containsText" dxfId="49" priority="826" operator="containsText" text="OK">
      <formula>NOT(ISERROR(SEARCH("OK",AC37)))</formula>
    </cfRule>
    <cfRule type="containsText" dxfId="48" priority="827" operator="containsText" text="ERROR">
      <formula>NOT(ISERROR(SEARCH("ERROR",AC37)))</formula>
    </cfRule>
  </conditionalFormatting>
  <conditionalFormatting sqref="AC63:AC64">
    <cfRule type="containsText" dxfId="47" priority="852" operator="containsText" text="OK">
      <formula>NOT(ISERROR(SEARCH("OK",AC63)))</formula>
    </cfRule>
    <cfRule type="containsText" dxfId="46" priority="853" operator="containsText" text="ERROR">
      <formula>NOT(ISERROR(SEARCH("ERROR",AC63)))</formula>
    </cfRule>
  </conditionalFormatting>
  <conditionalFormatting sqref="AC71">
    <cfRule type="cellIs" dxfId="45" priority="234" operator="equal">
      <formula>0</formula>
    </cfRule>
    <cfRule type="cellIs" dxfId="44" priority="235" operator="lessThan">
      <formula>0</formula>
    </cfRule>
    <cfRule type="containsText" dxfId="43" priority="236" operator="containsText" text="OK">
      <formula>NOT(ISERROR(SEARCH("OK",AC71)))</formula>
    </cfRule>
    <cfRule type="containsText" dxfId="42" priority="237" operator="containsText" text="ERROR">
      <formula>NOT(ISERROR(SEARCH("ERROR",AC71)))</formula>
    </cfRule>
    <cfRule type="containsText" dxfId="41" priority="238" operator="containsText" text="OK">
      <formula>NOT(ISERROR(SEARCH("OK",AC71)))</formula>
    </cfRule>
    <cfRule type="containsText" dxfId="40" priority="239" operator="containsText" text="ERROR">
      <formula>NOT(ISERROR(SEARCH("ERROR",AC71)))</formula>
    </cfRule>
  </conditionalFormatting>
  <conditionalFormatting sqref="AC73:AC74">
    <cfRule type="cellIs" dxfId="39" priority="132" operator="equal">
      <formula>0</formula>
    </cfRule>
    <cfRule type="cellIs" dxfId="38" priority="133" operator="lessThan">
      <formula>0</formula>
    </cfRule>
  </conditionalFormatting>
  <conditionalFormatting sqref="AC74">
    <cfRule type="containsText" dxfId="37" priority="146" operator="containsText" text="OK">
      <formula>NOT(ISERROR(SEARCH("OK",AC74)))</formula>
    </cfRule>
    <cfRule type="containsText" dxfId="36" priority="147" operator="containsText" text="ERROR">
      <formula>NOT(ISERROR(SEARCH("ERROR",AC74)))</formula>
    </cfRule>
    <cfRule type="containsText" dxfId="35" priority="148" operator="containsText" text="OK">
      <formula>NOT(ISERROR(SEARCH("OK",AC74)))</formula>
    </cfRule>
    <cfRule type="containsText" dxfId="34" priority="149" operator="containsText" text="ERROR">
      <formula>NOT(ISERROR(SEARCH("ERROR",AC74)))</formula>
    </cfRule>
  </conditionalFormatting>
  <conditionalFormatting sqref="AC88:AC89">
    <cfRule type="cellIs" dxfId="33" priority="773" operator="lessThan">
      <formula>0</formula>
    </cfRule>
  </conditionalFormatting>
  <conditionalFormatting sqref="AC97:AC103 AC89 W18:AC20 W53:AC62 J114:AC114">
    <cfRule type="containsText" dxfId="32" priority="846" operator="containsText" text="OK">
      <formula>NOT(ISERROR(SEARCH("OK",J18)))</formula>
    </cfRule>
  </conditionalFormatting>
  <conditionalFormatting sqref="AC97:AC103">
    <cfRule type="cellIs" dxfId="31" priority="752" operator="lessThan">
      <formula>0</formula>
    </cfRule>
  </conditionalFormatting>
  <conditionalFormatting sqref="AC117">
    <cfRule type="cellIs" dxfId="30" priority="374" operator="equal">
      <formula>0</formula>
    </cfRule>
    <cfRule type="cellIs" dxfId="29" priority="375" operator="lessThan">
      <formula>0</formula>
    </cfRule>
  </conditionalFormatting>
  <conditionalFormatting sqref="AC246:AC255">
    <cfRule type="cellIs" dxfId="28" priority="710" operator="equal">
      <formula>0</formula>
    </cfRule>
    <cfRule type="cellIs" dxfId="27" priority="711" operator="lessThan">
      <formula>0</formula>
    </cfRule>
  </conditionalFormatting>
  <conditionalFormatting sqref="AC269:AC275">
    <cfRule type="cellIs" dxfId="26" priority="785" operator="lessThan">
      <formula>0</formula>
    </cfRule>
  </conditionalFormatting>
  <conditionalFormatting sqref="AC269:AC277">
    <cfRule type="cellIs" dxfId="25" priority="587" operator="equal">
      <formula>0</formula>
    </cfRule>
  </conditionalFormatting>
  <conditionalFormatting sqref="AC391">
    <cfRule type="cellIs" dxfId="24" priority="1146" operator="lessThan">
      <formula>0</formula>
    </cfRule>
    <cfRule type="containsText" dxfId="23" priority="1147" operator="containsText" text="OK">
      <formula>NOT(ISERROR(SEARCH("OK",AC391)))</formula>
    </cfRule>
    <cfRule type="containsText" dxfId="22" priority="1148" operator="containsText" text="ERROR">
      <formula>NOT(ISERROR(SEARCH("ERROR",AC391)))</formula>
    </cfRule>
    <cfRule type="cellIs" dxfId="21" priority="1149" operator="equal">
      <formula>0</formula>
    </cfRule>
  </conditionalFormatting>
  <conditionalFormatting sqref="AC393">
    <cfRule type="cellIs" dxfId="20" priority="1137" operator="equal">
      <formula>0</formula>
    </cfRule>
    <cfRule type="cellIs" dxfId="19" priority="1138" operator="lessThan">
      <formula>0</formula>
    </cfRule>
    <cfRule type="containsText" dxfId="18" priority="1139" operator="containsText" text="OK">
      <formula>NOT(ISERROR(SEARCH("OK",AC393)))</formula>
    </cfRule>
    <cfRule type="containsText" dxfId="17" priority="1140" operator="containsText" text="ERROR">
      <formula>NOT(ISERROR(SEARCH("ERROR",AC393)))</formula>
    </cfRule>
    <cfRule type="containsText" dxfId="16" priority="1141" operator="containsText" text="OK">
      <formula>NOT(ISERROR(SEARCH("OK",AC393)))</formula>
    </cfRule>
    <cfRule type="containsText" dxfId="15" priority="1142" operator="containsText" text="ERROR">
      <formula>NOT(ISERROR(SEARCH("ERROR",AC393)))</formula>
    </cfRule>
  </conditionalFormatting>
  <conditionalFormatting sqref="AC65:XFD65">
    <cfRule type="cellIs" dxfId="14" priority="840" operator="equal">
      <formula>0</formula>
    </cfRule>
  </conditionalFormatting>
  <conditionalFormatting sqref="AD68">
    <cfRule type="containsText" dxfId="13" priority="1524" operator="containsText" text="OK">
      <formula>NOT(ISERROR(SEARCH("OK",AD68)))</formula>
    </cfRule>
    <cfRule type="containsText" dxfId="12" priority="1525" operator="containsText" text="ERROR">
      <formula>NOT(ISERROR(SEARCH("ERROR",AD68)))</formula>
    </cfRule>
  </conditionalFormatting>
  <conditionalFormatting sqref="AD90:AD92">
    <cfRule type="cellIs" dxfId="11" priority="1450" operator="equal">
      <formula>0</formula>
    </cfRule>
    <cfRule type="cellIs" dxfId="10" priority="1451" operator="lessThan">
      <formula>0</formula>
    </cfRule>
  </conditionalFormatting>
  <conditionalFormatting sqref="AQ77">
    <cfRule type="cellIs" dxfId="9" priority="1253" operator="equal">
      <formula>0</formula>
    </cfRule>
    <cfRule type="cellIs" dxfId="8" priority="1254" operator="lessThan">
      <formula>0</formula>
    </cfRule>
  </conditionalFormatting>
  <conditionalFormatting sqref="AQ352:BB359">
    <cfRule type="cellIs" dxfId="7" priority="1030" operator="equal">
      <formula>0</formula>
    </cfRule>
    <cfRule type="cellIs" dxfId="6" priority="1031" operator="lessThan">
      <formula>0</formula>
    </cfRule>
  </conditionalFormatting>
  <conditionalFormatting sqref="AQ361:BB362">
    <cfRule type="cellIs" dxfId="5" priority="1221" operator="equal">
      <formula>0</formula>
    </cfRule>
    <cfRule type="cellIs" dxfId="4" priority="1222" operator="lessThan">
      <formula>0</formula>
    </cfRule>
  </conditionalFormatting>
  <conditionalFormatting sqref="AQ407:BB407">
    <cfRule type="cellIs" dxfId="3" priority="50" operator="equal">
      <formula>0</formula>
    </cfRule>
    <cfRule type="cellIs" dxfId="2" priority="51" operator="lessThan">
      <formula>0</formula>
    </cfRule>
  </conditionalFormatting>
  <conditionalFormatting sqref="AU78:XFD78">
    <cfRule type="cellIs" dxfId="1" priority="1414" operator="equal">
      <formula>0</formula>
    </cfRule>
    <cfRule type="cellIs" dxfId="0" priority="1415" operator="lessThan">
      <formula>0</formula>
    </cfRule>
  </conditionalFormatting>
  <dataValidations count="17">
    <dataValidation type="whole" errorStyle="warning" operator="greaterThan" allowBlank="1" showInputMessage="1" showErrorMessage="1" errorTitle="Error in data entered" error="Capex, Tooling Invetsment and Asset Transfers are normally postive (+) values" sqref="N75:AB75" xr:uid="{594F3BCA-9348-4DFD-9EAB-71044F6F20A4}">
      <formula1>0</formula1>
    </dataValidation>
    <dataValidation type="whole" allowBlank="1" showInputMessage="1" showErrorMessage="1" promptTitle="+20 days on top of RFQ pay terms" prompt="Add minimum 20 to 30 days on top of RFQ payment terms._x000a_Cover customer's internal process, typical delays due to 1) breach of INCOTERM on title transfer, 2) delays recording receipt, 3) tax reconciliation, 4) infrequent payment runs, 5) delinquency.   " sqref="N79:N80 O79:AC79" xr:uid="{8417CF5F-BE94-41EF-A634-277657978D36}">
      <formula1>15</formula1>
      <formula2>9999</formula2>
    </dataValidation>
    <dataValidation type="whole" allowBlank="1" showInputMessage="1" showErrorMessage="1" promptTitle="+15 days on top of RFQ pay terms" prompt="Add minimum 15 days on top of RFQ payment terms._x000a_Cover customer's internal process, typical delays due to 1) ignoring INCOTERM on title transfer, 2) delays recording receipt, 3) tax reconciliation, 4) infrequent payment runs, 5) delinquency   " sqref="O80:AC80" xr:uid="{F313D90A-BEF8-4F6C-93DA-E1A510B594D5}">
      <formula1>15</formula1>
      <formula2>9999</formula2>
    </dataValidation>
    <dataValidation type="decimal" errorStyle="warning" operator="greaterThan" allowBlank="1" showInputMessage="1" showErrorMessage="1" errorTitle="Error in data entered" error="Capex, Tooling Invetsment and Asset Transfers are normally postive (+) values" sqref="N70:AC72 AC74:AC75 N74:AB74" xr:uid="{A2C0BDBD-C85F-4CF7-A298-A04B63EF5A63}">
      <formula1>0</formula1>
    </dataValidation>
    <dataValidation type="decimal" errorStyle="warning" operator="greaterThan" allowBlank="1" showInputMessage="1" showErrorMessage="1" errorTitle="Input Value" error="COPA is typically postive (+) value" sqref="K182" xr:uid="{3FA53584-C349-45FC-8474-009D69C9F0FA}">
      <formula1>0</formula1>
    </dataValidation>
    <dataValidation type="decimal" errorStyle="warning" operator="lessThan" allowBlank="1" showInputMessage="1" showErrorMessage="1" errorTitle="Input Value" error="Enter negative (-) % for cost" sqref="K183:K187" xr:uid="{B303956F-E617-4701-A652-7B6DEB3BBDCA}">
      <formula1>0</formula1>
    </dataValidation>
    <dataValidation allowBlank="1" showInputMessage="1" showErrorMessage="1" errorTitle="Error in data entered" error="Data entered has errors. Correction needed. e.g. Div 0!_x000a__x000a_This will cause errors in the calculations and financial model output. " sqref="N69:AC69" xr:uid="{608E1F9F-63AF-4B0C-BAFD-42790EE57E01}"/>
    <dataValidation type="list" allowBlank="1" showInputMessage="1" showErrorMessage="1" sqref="P107 L99" xr:uid="{2B4E6EB9-E7EF-4729-A384-64E802F49E56}">
      <formula1>"No, Yes"</formula1>
    </dataValidation>
    <dataValidation type="whole" allowBlank="1" showInputMessage="1" showErrorMessage="1" sqref="N88:AC88 N78:AC78" xr:uid="{576CE757-0FD5-4553-9DDF-8779D31ADAB6}">
      <formula1>0</formula1>
      <formula2>9999</formula2>
    </dataValidation>
    <dataValidation type="whole" showInputMessage="1" showErrorMessage="1" sqref="N81:AC82 O83:AC84" xr:uid="{F1A1BB12-6AD7-477F-8D7D-A4C2ECEA97EC}">
      <formula1>0</formula1>
      <formula2>9999</formula2>
    </dataValidation>
    <dataValidation type="list" allowBlank="1" showInputMessage="1" showErrorMessage="1" sqref="N12" xr:uid="{EF54551D-4D12-42A1-BA5D-A08E53F3D14D}">
      <formula1>"Calendar Year, Fiscal Year"</formula1>
    </dataValidation>
    <dataValidation type="whole" allowBlank="1" showInputMessage="1" showErrorMessage="1" sqref="N81:AC81" xr:uid="{C6F552F4-A502-4970-99C8-E3D975666EC3}">
      <formula1>0</formula1>
      <formula2>300</formula2>
    </dataValidation>
    <dataValidation type="whole" allowBlank="1" showInputMessage="1" showErrorMessage="1" sqref="N82:AC84" xr:uid="{1B081C23-B5A6-495B-B43C-62C9EF0A2BAF}">
      <formula1>0</formula1>
      <formula2>500</formula2>
    </dataValidation>
    <dataValidation type="whole" operator="greaterThanOrEqual" showInputMessage="1" showErrorMessage="1" errorTitle="Mandatory Input" error="Must NOT be zero or blank" promptTitle="MUST enter SOP Month &amp; Year" prompt="This is a mandatory field for this worksheet_x000a_Enter Month of SOP (MM), and_x000a_Enter Year of SOP (YYYY)" sqref="L11:L12" xr:uid="{5DCD75C2-7D18-4782-82DB-C7F701CEA6A5}">
      <formula1>1</formula1>
    </dataValidation>
    <dataValidation type="whole" errorStyle="warning" operator="lessThanOrEqual" allowBlank="1" showInputMessage="1" showErrorMessage="1" errorTitle="Enter Negative number" error="Tool Cost must be entered as a negative number" promptTitle="Enter Tool Cost (-ve)" prompt="Tool Cost must be entered as a negative amount (e.g. -650,000)" sqref="AJ81 AJ71" xr:uid="{ED54E320-10FF-48A3-813E-042FDAB86E38}">
      <formula1>0</formula1>
    </dataValidation>
    <dataValidation type="whole" errorStyle="warning" operator="greaterThanOrEqual" allowBlank="1" showInputMessage="1" showErrorMessage="1" errorTitle="Tool Price (+)" error="Tool price must be entered as a positive (+) number" promptTitle="Enter Tool Price (+ amount(" prompt="Tool Price must be entered as a postive number" sqref="AL71 AL81" xr:uid="{1BFD36F8-935C-46F6-A410-6A706337CE5A}">
      <formula1>0</formula1>
    </dataValidation>
    <dataValidation type="list" allowBlank="1" showInputMessage="1" showErrorMessage="1" errorTitle="Select from Drop Box ONLY" error="Selection MUST be made from the drop box only" promptTitle="Must Select Method" prompt="Select method of calculating tooling recoverable balance i.e. funding Interplex must provide during Tool Fabrication, If Manual Calculation is selected, enter the balances manually in the next row or use the default formulas (refer column AE:AL)" sqref="L86" xr:uid="{47D0B8D3-5F27-4A50-ACF3-62EE9BDAB400}">
      <formula1>"Milestone Calculation, Manual Calculation"</formula1>
    </dataValidation>
  </dataValidations>
  <pageMargins left="0.70866141732283472" right="0.51181102362204722" top="0.55118110236220474" bottom="0.35433070866141736" header="0.31496062992125984" footer="0.31496062992125984"/>
  <pageSetup paperSize="8" scale="28" fitToHeight="2" orientation="portrait" r:id="rId1"/>
  <rowBreaks count="1" manualBreakCount="1">
    <brk id="221" min="7" max="20"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ca34f17-57b1-4c0a-a6ab-b6d3c9045616" xsi:nil="true"/>
    <lcf76f155ced4ddcb4097134ff3c332f xmlns="838de4be-0993-49e0-ae95-e308ea8d56e2">
      <Terms xmlns="http://schemas.microsoft.com/office/infopath/2007/PartnerControls"/>
    </lcf76f155ced4ddcb4097134ff3c332f>
    <_dlc_DocId xmlns="8ca34f17-57b1-4c0a-a6ab-b6d3c9045616">ECVDDJ2DJSPK-787675097-43674</_dlc_DocId>
    <_dlc_DocIdUrl xmlns="8ca34f17-57b1-4c0a-a6ab-b6d3c9045616">
      <Url>https://interplexgroup.sharepoint.com/sites/ieiblr/_layouts/15/DocIdRedir.aspx?ID=ECVDDJ2DJSPK-787675097-43674</Url>
      <Description>ECVDDJ2DJSPK-787675097-43674</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B15A725A6686EA4EBF40C21B2E1516A8" ma:contentTypeVersion="20" ma:contentTypeDescription="Create a new document." ma:contentTypeScope="" ma:versionID="5de803cd50c7896fb1c3105e92543d3f">
  <xsd:schema xmlns:xsd="http://www.w3.org/2001/XMLSchema" xmlns:xs="http://www.w3.org/2001/XMLSchema" xmlns:p="http://schemas.microsoft.com/office/2006/metadata/properties" xmlns:ns2="8ca34f17-57b1-4c0a-a6ab-b6d3c9045616" xmlns:ns3="838de4be-0993-49e0-ae95-e308ea8d56e2" targetNamespace="http://schemas.microsoft.com/office/2006/metadata/properties" ma:root="true" ma:fieldsID="0ddd4222c1e55856d7fa1c4f852b8fec" ns2:_="" ns3:_="">
    <xsd:import namespace="8ca34f17-57b1-4c0a-a6ab-b6d3c9045616"/>
    <xsd:import namespace="838de4be-0993-49e0-ae95-e308ea8d56e2"/>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DateTaken" minOccurs="0"/>
                <xsd:element ref="ns2:SharedWithUsers" minOccurs="0"/>
                <xsd:element ref="ns2:SharedWithDetails" minOccurs="0"/>
                <xsd:element ref="ns3:MediaServiceAutoTags" minOccurs="0"/>
                <xsd:element ref="ns3:MediaLengthInSeconds" minOccurs="0"/>
                <xsd:element ref="ns3:MediaServiceGenerationTime" minOccurs="0"/>
                <xsd:element ref="ns3:MediaServiceEventHashCode" minOccurs="0"/>
                <xsd:element ref="ns3:MediaServiceAutoKeyPoints" minOccurs="0"/>
                <xsd:element ref="ns3:MediaServiceKeyPoints" minOccurs="0"/>
                <xsd:element ref="ns3:lcf76f155ced4ddcb4097134ff3c332f" minOccurs="0"/>
                <xsd:element ref="ns2:TaxCatchAll" minOccurs="0"/>
                <xsd:element ref="ns3:MediaServiceOCR" minOccurs="0"/>
                <xsd:element ref="ns3:MediaServiceLocation"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a34f17-57b1-4c0a-a6ab-b6d3c9045616" elementFormDefault="qualified">
    <xsd:import namespace="http://schemas.microsoft.com/office/2006/documentManagement/types"/>
    <xsd:import namespace="http://schemas.microsoft.com/office/infopath/2007/PartnerControls"/>
    <xsd:element name="_dlc_DocId" ma:index="4" nillable="true" ma:displayName="Document ID Value" ma:description="The value of the document ID assigned to this item." ma:indexed="true" ma:internalName="_dlc_DocId" ma:readOnly="true">
      <xsd:simpleType>
        <xsd:restriction base="dms:Text"/>
      </xsd:simpleType>
    </xsd:element>
    <xsd:element name="_dlc_DocIdUrl" ma:index="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6" nillable="true" ma:displayName="Persist ID" ma:description="Keep ID on add." ma:hidden="true" ma:internalName="_dlc_DocIdPersistId" ma:readOnly="true">
      <xsd:simpleType>
        <xsd:restriction base="dms:Boolean"/>
      </xsd:simpleType>
    </xsd:element>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5947ef31-c262-46ea-94bb-5e781a23d140}" ma:internalName="TaxCatchAll" ma:showField="CatchAllData" ma:web="8ca34f17-57b1-4c0a-a6ab-b6d3c904561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38de4be-0993-49e0-ae95-e308ea8d56e2"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DateTaken" ma:index="9" nillable="true" ma:displayName="MediaServiceDateTaken" ma:hidden="true" ma:internalName="MediaServiceDateTaken" ma:readOnly="true">
      <xsd:simpleType>
        <xsd:restriction base="dms:Text"/>
      </xsd:simpleType>
    </xsd:element>
    <xsd:element name="MediaServiceAutoTags" ma:index="12" nillable="true" ma:displayName="Tags" ma:internalName="MediaServiceAutoTags"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880f92c-a4ac-4ef2-b173-c54c910a98bf" ma:termSetId="09814cd3-568e-fe90-9814-8d621ff8fb84" ma:anchorId="fba54fb3-c3e1-fe81-a776-ca4b69148c4d" ma:open="true" ma:isKeyword="false">
      <xsd:complexType>
        <xsd:sequence>
          <xsd:element ref="pc:Terms" minOccurs="0" maxOccurs="1"/>
        </xsd:sequence>
      </xsd:complexType>
    </xsd:element>
    <xsd:element name="MediaServiceOCR" ma:index="25" nillable="true" ma:displayName="Extracted Text" ma:internalName="MediaServiceOCR" ma:readOnly="true">
      <xsd:simpleType>
        <xsd:restriction base="dms:Note">
          <xsd:maxLength value="255"/>
        </xsd:restriction>
      </xsd:simpleType>
    </xsd:element>
    <xsd:element name="MediaServiceLocation" ma:index="26" nillable="true" ma:displayName="Location" ma:indexed="true" ma:internalName="MediaServiceLocation" ma:readOnly="true">
      <xsd:simpleType>
        <xsd:restriction base="dms:Text"/>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3"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009268-9A2E-47B7-BD8F-15370A37BA22}">
  <ds:schemaRefs>
    <ds:schemaRef ds:uri="http://schemas.microsoft.com/office/2006/metadata/properties"/>
    <ds:schemaRef ds:uri="http://schemas.microsoft.com/office/infopath/2007/PartnerControls"/>
    <ds:schemaRef ds:uri="8ca34f17-57b1-4c0a-a6ab-b6d3c9045616"/>
    <ds:schemaRef ds:uri="838de4be-0993-49e0-ae95-e308ea8d56e2"/>
  </ds:schemaRefs>
</ds:datastoreItem>
</file>

<file path=customXml/itemProps2.xml><?xml version="1.0" encoding="utf-8"?>
<ds:datastoreItem xmlns:ds="http://schemas.openxmlformats.org/officeDocument/2006/customXml" ds:itemID="{C1F5C071-9504-4F75-8648-49255E46C528}">
  <ds:schemaRefs>
    <ds:schemaRef ds:uri="http://schemas.microsoft.com/sharepoint/v3/contenttype/forms"/>
  </ds:schemaRefs>
</ds:datastoreItem>
</file>

<file path=customXml/itemProps3.xml><?xml version="1.0" encoding="utf-8"?>
<ds:datastoreItem xmlns:ds="http://schemas.openxmlformats.org/officeDocument/2006/customXml" ds:itemID="{2239DE9E-2B47-4202-B7FE-C06D7C024772}">
  <ds:schemaRefs>
    <ds:schemaRef ds:uri="http://schemas.microsoft.com/sharepoint/events"/>
  </ds:schemaRefs>
</ds:datastoreItem>
</file>

<file path=customXml/itemProps4.xml><?xml version="1.0" encoding="utf-8"?>
<ds:datastoreItem xmlns:ds="http://schemas.openxmlformats.org/officeDocument/2006/customXml" ds:itemID="{525FC771-794C-4F2A-A58F-FD8A7B25FC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ca34f17-57b1-4c0a-a6ab-b6d3c9045616"/>
    <ds:schemaRef ds:uri="838de4be-0993-49e0-ae95-e308ea8d56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vt:i4>
      </vt:variant>
    </vt:vector>
  </HeadingPairs>
  <TitlesOfParts>
    <vt:vector size="13" baseType="lpstr">
      <vt:lpstr>SFP254_Introduction</vt:lpstr>
      <vt:lpstr>SFP254v1.5_CONSOLIDATION</vt:lpstr>
      <vt:lpstr>Bgn&gt;&gt;</vt:lpstr>
      <vt:lpstr>&lt;&lt;End</vt:lpstr>
      <vt:lpstr>PPT1</vt:lpstr>
      <vt:lpstr>PPT2</vt:lpstr>
      <vt:lpstr>PPT2 CM</vt:lpstr>
      <vt:lpstr>Combine</vt:lpstr>
      <vt:lpstr>for summary need</vt:lpstr>
      <vt:lpstr>PI Summary</vt:lpstr>
      <vt:lpstr>SFP254v1.5_CER (Prog1)</vt:lpstr>
      <vt:lpstr>SFP254v1.5_CER (Prog2)</vt:lpstr>
      <vt:lpstr>SFP254v1.5_CER (Prog3)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LAM</dc:creator>
  <cp:lastModifiedBy>Yingwei HU</cp:lastModifiedBy>
  <dcterms:created xsi:type="dcterms:W3CDTF">2022-10-27T05:18:36Z</dcterms:created>
  <dcterms:modified xsi:type="dcterms:W3CDTF">2026-06-29T09:01:38Z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0x010100B15A725A6686EA4EBF40C21B2E1516A8</vt:lpwstr>
  </property>
  <property fmtid="{D5CDD505-2E9C-101B-9397-08002B2CF9AE}" pid="3" name="_dlc_DocIdItemGuid">
    <vt:lpwstr>255591f5-bc86-4230-8076-6762f5f73e70</vt:lpwstr>
  </property>
</Properties>
</file>